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CA65B161-AB61-4CF4-A640-5415B38B9E37}" xr6:coauthVersionLast="47" xr6:coauthVersionMax="47" xr10:uidLastSave="{00000000-0000-0000-0000-000000000000}"/>
  <bookViews>
    <workbookView xWindow="-108" yWindow="-108" windowWidth="23256" windowHeight="12456" tabRatio="857" activeTab="5" xr2:uid="{00000000-000D-0000-FFFF-FFFF00000000}"/>
  </bookViews>
  <sheets>
    <sheet name="INDEX" sheetId="1" r:id="rId1"/>
    <sheet name="AIR" sheetId="33" r:id="rId2"/>
    <sheet name="SEA" sheetId="5" r:id="rId3"/>
    <sheet name="LCL" sheetId="34" state="hidden" r:id="rId4"/>
    <sheet name="TMP_PASTE" sheetId="39" state="veryHidden" r:id="rId5"/>
    <sheet name="MONACHEM" sheetId="37" r:id="rId6"/>
    <sheet name="REQUEST" sheetId="11" r:id="rId7"/>
    <sheet name="PDF RATES" sheetId="23" r:id="rId8"/>
    <sheet name="RATE SHEET" sheetId="30" r:id="rId9"/>
    <sheet name="GEN" sheetId="40" r:id="rId10"/>
    <sheet name="FILETER" sheetId="8" state="hidden" r:id="rId11"/>
    <sheet name="LOCAL" sheetId="9" state="hidden" r:id="rId12"/>
    <sheet name="ROUTING" sheetId="10" state="hidden" r:id="rId13"/>
  </sheets>
  <functionGroups builtInGroupCount="19"/>
  <definedNames>
    <definedName name="_xlnm._FilterDatabase" localSheetId="1" hidden="1">AIR!$H$1:$M$4</definedName>
    <definedName name="_xleta.EOMONTH" hidden="1" xlm="1">#NAME?</definedName>
    <definedName name="_xleta.EXP" hidden="1" xlm="1">#NAME?</definedName>
    <definedName name="_xleta.IF" hidden="1" xlm="1">#NAME?</definedName>
    <definedName name="_xleta.NOW" hidden="1" xlm="1">#NAME?</definedName>
    <definedName name="_xleta.RATE" hidden="1" xlm="1">#NAME?</definedName>
    <definedName name="_xleta.SUM" hidden="1" xlm="1">#NAME?</definedName>
    <definedName name="_xleta.T" hidden="1" xlm="1">#NAME?</definedName>
    <definedName name="_xleta.UPPER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7" l="1"/>
  <c r="L2" i="5"/>
  <c r="L7" i="33"/>
  <c r="A1" i="11"/>
  <c r="B11" i="11"/>
  <c r="B15" i="11"/>
  <c r="C3" i="37"/>
  <c r="I7" i="5"/>
  <c r="F200" i="30"/>
  <c r="G200" i="30"/>
  <c r="K200" i="30"/>
  <c r="F418" i="30"/>
  <c r="G418" i="30"/>
  <c r="K418" i="30"/>
  <c r="F417" i="30"/>
  <c r="G417" i="30"/>
  <c r="K417" i="30"/>
  <c r="F416" i="30"/>
  <c r="G416" i="30"/>
  <c r="K416" i="30"/>
  <c r="F415" i="30"/>
  <c r="G415" i="30"/>
  <c r="K415" i="30"/>
  <c r="F414" i="30"/>
  <c r="G414" i="30"/>
  <c r="K414" i="30"/>
  <c r="AL2" i="40"/>
  <c r="AL3" i="40"/>
  <c r="AL4" i="40"/>
  <c r="AL5" i="40"/>
  <c r="AL6" i="40"/>
  <c r="AH2" i="40"/>
  <c r="AG2" i="40" s="1"/>
  <c r="AF2" i="40" s="1"/>
  <c r="AH3" i="40"/>
  <c r="AG3" i="40" s="1"/>
  <c r="AF3" i="40" s="1"/>
  <c r="AH4" i="40"/>
  <c r="AG4" i="40" s="1"/>
  <c r="AF4" i="40" s="1"/>
  <c r="AH5" i="40"/>
  <c r="AG5" i="40" s="1"/>
  <c r="AF5" i="40" s="1"/>
  <c r="AH6" i="40"/>
  <c r="AG6" i="40" s="1"/>
  <c r="AF6" i="40" s="1"/>
  <c r="AH7" i="40"/>
  <c r="AG7" i="40" s="1"/>
  <c r="AF7" i="40" s="1"/>
  <c r="AH8" i="40"/>
  <c r="AG8" i="40" s="1"/>
  <c r="AF8" i="40" s="1"/>
  <c r="AL8" i="40"/>
  <c r="AL7" i="40"/>
  <c r="E25" i="33"/>
  <c r="D34" i="5" a="1"/>
  <c r="D34" i="5" s="1"/>
  <c r="L12" i="11"/>
  <c r="U9" i="33"/>
  <c r="AA19" i="33"/>
  <c r="AA15" i="33"/>
  <c r="Z4" i="40"/>
  <c r="AB3" i="40"/>
  <c r="Z5" i="40"/>
  <c r="V2" i="40"/>
  <c r="V8" i="40" s="1"/>
  <c r="S3" i="40"/>
  <c r="S9" i="40" s="1"/>
  <c r="R3" i="40"/>
  <c r="R9" i="40" s="1"/>
  <c r="S5" i="40"/>
  <c r="S11" i="40" s="1"/>
  <c r="R5" i="40"/>
  <c r="R11" i="40" s="1"/>
  <c r="S4" i="40"/>
  <c r="S10" i="40" s="1"/>
  <c r="R4" i="40"/>
  <c r="R10" i="40" s="1"/>
  <c r="E10" i="37"/>
  <c r="E17" i="37"/>
  <c r="B28" i="37"/>
  <c r="B31" i="37"/>
  <c r="E29" i="37"/>
  <c r="F30" i="30"/>
  <c r="G30" i="30"/>
  <c r="K30" i="30"/>
  <c r="F25" i="33"/>
  <c r="B9" i="37"/>
  <c r="B10" i="37"/>
  <c r="B12" i="37"/>
  <c r="B20" i="37"/>
  <c r="E20" i="37"/>
  <c r="G21" i="37"/>
  <c r="F413" i="30"/>
  <c r="G413" i="30"/>
  <c r="K413" i="30"/>
  <c r="J8" i="40"/>
  <c r="J7" i="40"/>
  <c r="F23" i="33"/>
  <c r="D22" i="34"/>
  <c r="D13" i="34"/>
  <c r="D12" i="34"/>
  <c r="F386" i="30"/>
  <c r="G386" i="30"/>
  <c r="K386" i="30"/>
  <c r="F383" i="30"/>
  <c r="G383" i="30"/>
  <c r="K383" i="30"/>
  <c r="F283" i="30"/>
  <c r="G283" i="30"/>
  <c r="K283" i="30"/>
  <c r="F412" i="30"/>
  <c r="G412" i="30"/>
  <c r="K412" i="30"/>
  <c r="F411" i="30"/>
  <c r="G411" i="30"/>
  <c r="K411" i="30"/>
  <c r="F410" i="30"/>
  <c r="G410" i="30"/>
  <c r="K410" i="30"/>
  <c r="F240" i="30"/>
  <c r="G240" i="30"/>
  <c r="K240" i="30"/>
  <c r="F345" i="30"/>
  <c r="G345" i="30"/>
  <c r="K345" i="30"/>
  <c r="B19" i="23"/>
  <c r="F360" i="30"/>
  <c r="G360" i="30"/>
  <c r="K360" i="30"/>
  <c r="F367" i="30"/>
  <c r="G367" i="30"/>
  <c r="K367" i="30"/>
  <c r="F353" i="30"/>
  <c r="G353" i="30"/>
  <c r="K353" i="30"/>
  <c r="F359" i="30"/>
  <c r="G359" i="30"/>
  <c r="K359" i="30"/>
  <c r="F366" i="30"/>
  <c r="G366" i="30"/>
  <c r="K366" i="30"/>
  <c r="F352" i="30"/>
  <c r="G352" i="30"/>
  <c r="K352" i="30"/>
  <c r="F358" i="30"/>
  <c r="G358" i="30"/>
  <c r="K358" i="30"/>
  <c r="F365" i="30"/>
  <c r="G365" i="30"/>
  <c r="K365" i="30"/>
  <c r="F351" i="30"/>
  <c r="G351" i="30"/>
  <c r="K351" i="30"/>
  <c r="F344" i="30"/>
  <c r="G344" i="30"/>
  <c r="K344" i="30"/>
  <c r="F343" i="30"/>
  <c r="G343" i="30"/>
  <c r="K343" i="30"/>
  <c r="B20" i="23"/>
  <c r="I6" i="5"/>
  <c r="F370" i="30"/>
  <c r="G370" i="30"/>
  <c r="K370" i="30"/>
  <c r="F24" i="34"/>
  <c r="F23" i="34"/>
  <c r="F21" i="34"/>
  <c r="F20" i="34"/>
  <c r="F19" i="34"/>
  <c r="F18" i="34"/>
  <c r="F17" i="34"/>
  <c r="F16" i="34"/>
  <c r="Y9" i="33"/>
  <c r="K409" i="30"/>
  <c r="G409" i="30"/>
  <c r="F409" i="30"/>
  <c r="K408" i="30"/>
  <c r="G408" i="30"/>
  <c r="F408" i="30"/>
  <c r="K407" i="30"/>
  <c r="G407" i="30"/>
  <c r="F407" i="30"/>
  <c r="K406" i="30"/>
  <c r="G406" i="30"/>
  <c r="F406" i="30"/>
  <c r="K405" i="30"/>
  <c r="G405" i="30"/>
  <c r="F405" i="30"/>
  <c r="K404" i="30"/>
  <c r="G404" i="30"/>
  <c r="F404" i="30"/>
  <c r="K403" i="30"/>
  <c r="G403" i="30"/>
  <c r="F403" i="30"/>
  <c r="K402" i="30"/>
  <c r="G402" i="30"/>
  <c r="F402" i="30"/>
  <c r="K401" i="30"/>
  <c r="G401" i="30"/>
  <c r="F401" i="30"/>
  <c r="K400" i="30"/>
  <c r="G400" i="30"/>
  <c r="F400" i="30"/>
  <c r="K399" i="30"/>
  <c r="G399" i="30"/>
  <c r="F399" i="30"/>
  <c r="K398" i="30"/>
  <c r="G398" i="30"/>
  <c r="F398" i="30"/>
  <c r="K397" i="30"/>
  <c r="G397" i="30"/>
  <c r="F397" i="30"/>
  <c r="K396" i="30"/>
  <c r="G396" i="30"/>
  <c r="F396" i="30"/>
  <c r="K395" i="30"/>
  <c r="G395" i="30"/>
  <c r="F395" i="30"/>
  <c r="K394" i="30"/>
  <c r="G394" i="30"/>
  <c r="F394" i="30"/>
  <c r="K393" i="30"/>
  <c r="G393" i="30"/>
  <c r="F393" i="30"/>
  <c r="K392" i="30"/>
  <c r="G392" i="30"/>
  <c r="F392" i="30"/>
  <c r="K391" i="30"/>
  <c r="G391" i="30"/>
  <c r="F391" i="30"/>
  <c r="K390" i="30"/>
  <c r="G390" i="30"/>
  <c r="F390" i="30"/>
  <c r="K389" i="30"/>
  <c r="G389" i="30"/>
  <c r="F389" i="30"/>
  <c r="K388" i="30"/>
  <c r="G388" i="30"/>
  <c r="F388" i="30"/>
  <c r="K387" i="30"/>
  <c r="G387" i="30"/>
  <c r="F387" i="30"/>
  <c r="K385" i="30"/>
  <c r="G385" i="30"/>
  <c r="F385" i="30"/>
  <c r="K384" i="30"/>
  <c r="G384" i="30"/>
  <c r="F384" i="30"/>
  <c r="K382" i="30"/>
  <c r="G382" i="30"/>
  <c r="F382" i="30"/>
  <c r="K381" i="30"/>
  <c r="G381" i="30"/>
  <c r="F381" i="30"/>
  <c r="K380" i="30"/>
  <c r="G380" i="30"/>
  <c r="F380" i="30"/>
  <c r="K379" i="30"/>
  <c r="G379" i="30"/>
  <c r="F379" i="30"/>
  <c r="K378" i="30"/>
  <c r="G378" i="30"/>
  <c r="F378" i="30"/>
  <c r="K377" i="30"/>
  <c r="G377" i="30"/>
  <c r="F377" i="30"/>
  <c r="K376" i="30"/>
  <c r="G376" i="30"/>
  <c r="F376" i="30"/>
  <c r="K375" i="30"/>
  <c r="G375" i="30"/>
  <c r="F375" i="30"/>
  <c r="K374" i="30"/>
  <c r="G374" i="30"/>
  <c r="F374" i="30"/>
  <c r="K373" i="30"/>
  <c r="G373" i="30"/>
  <c r="F373" i="30"/>
  <c r="K372" i="30"/>
  <c r="G372" i="30"/>
  <c r="F372" i="30"/>
  <c r="K371" i="30"/>
  <c r="G371" i="30"/>
  <c r="F371" i="30"/>
  <c r="K369" i="30"/>
  <c r="G369" i="30"/>
  <c r="F369" i="30"/>
  <c r="K368" i="30"/>
  <c r="G368" i="30"/>
  <c r="F368" i="30"/>
  <c r="K364" i="30"/>
  <c r="G364" i="30"/>
  <c r="F364" i="30"/>
  <c r="K363" i="30"/>
  <c r="G363" i="30"/>
  <c r="F363" i="30"/>
  <c r="K362" i="30"/>
  <c r="G362" i="30"/>
  <c r="F362" i="30"/>
  <c r="K361" i="30"/>
  <c r="G361" i="30"/>
  <c r="F361" i="30"/>
  <c r="K357" i="30"/>
  <c r="G357" i="30"/>
  <c r="F357" i="30"/>
  <c r="K356" i="30"/>
  <c r="G356" i="30"/>
  <c r="F356" i="30"/>
  <c r="K355" i="30"/>
  <c r="G355" i="30"/>
  <c r="F355" i="30"/>
  <c r="K354" i="30"/>
  <c r="G354" i="30"/>
  <c r="F354" i="30"/>
  <c r="K350" i="30"/>
  <c r="G350" i="30"/>
  <c r="F350" i="30"/>
  <c r="K349" i="30"/>
  <c r="G349" i="30"/>
  <c r="F349" i="30"/>
  <c r="K348" i="30"/>
  <c r="G348" i="30"/>
  <c r="F348" i="30"/>
  <c r="K347" i="30"/>
  <c r="G347" i="30"/>
  <c r="F347" i="30"/>
  <c r="K346" i="30"/>
  <c r="G346" i="30"/>
  <c r="F346" i="30"/>
  <c r="K342" i="30"/>
  <c r="G342" i="30"/>
  <c r="F342" i="30"/>
  <c r="K341" i="30"/>
  <c r="G341" i="30"/>
  <c r="F341" i="30"/>
  <c r="K340" i="30"/>
  <c r="G340" i="30"/>
  <c r="F340" i="30"/>
  <c r="K339" i="30"/>
  <c r="G339" i="30"/>
  <c r="F339" i="30"/>
  <c r="K338" i="30"/>
  <c r="G338" i="30"/>
  <c r="F338" i="30"/>
  <c r="K337" i="30"/>
  <c r="G337" i="30"/>
  <c r="F337" i="30"/>
  <c r="K336" i="30"/>
  <c r="G336" i="30"/>
  <c r="F336" i="30"/>
  <c r="K335" i="30"/>
  <c r="G335" i="30"/>
  <c r="F335" i="30"/>
  <c r="K334" i="30"/>
  <c r="G334" i="30"/>
  <c r="F334" i="30"/>
  <c r="K333" i="30"/>
  <c r="G333" i="30"/>
  <c r="F333" i="30"/>
  <c r="K332" i="30"/>
  <c r="G332" i="30"/>
  <c r="F332" i="30"/>
  <c r="K331" i="30"/>
  <c r="G331" i="30"/>
  <c r="F331" i="30"/>
  <c r="K330" i="30"/>
  <c r="G330" i="30"/>
  <c r="F330" i="30"/>
  <c r="K329" i="30"/>
  <c r="G329" i="30"/>
  <c r="F329" i="30"/>
  <c r="K328" i="30"/>
  <c r="G328" i="30"/>
  <c r="F328" i="30"/>
  <c r="K327" i="30"/>
  <c r="G327" i="30"/>
  <c r="F327" i="30"/>
  <c r="K326" i="30"/>
  <c r="G326" i="30"/>
  <c r="F326" i="30"/>
  <c r="K325" i="30"/>
  <c r="G325" i="30"/>
  <c r="F325" i="30"/>
  <c r="K324" i="30"/>
  <c r="G324" i="30"/>
  <c r="F324" i="30"/>
  <c r="K323" i="30"/>
  <c r="G323" i="30"/>
  <c r="F323" i="30"/>
  <c r="K322" i="30"/>
  <c r="G322" i="30"/>
  <c r="F322" i="30"/>
  <c r="K321" i="30"/>
  <c r="G321" i="30"/>
  <c r="F321" i="30"/>
  <c r="K320" i="30"/>
  <c r="G320" i="30"/>
  <c r="F320" i="30"/>
  <c r="K319" i="30"/>
  <c r="G319" i="30"/>
  <c r="F319" i="30"/>
  <c r="K318" i="30"/>
  <c r="G318" i="30"/>
  <c r="F318" i="30"/>
  <c r="K317" i="30"/>
  <c r="G317" i="30"/>
  <c r="F317" i="30"/>
  <c r="K316" i="30"/>
  <c r="G316" i="30"/>
  <c r="F316" i="30"/>
  <c r="K315" i="30"/>
  <c r="G315" i="30"/>
  <c r="F315" i="30"/>
  <c r="K314" i="30"/>
  <c r="G314" i="30"/>
  <c r="F314" i="30"/>
  <c r="K313" i="30"/>
  <c r="G313" i="30"/>
  <c r="F313" i="30"/>
  <c r="K312" i="30"/>
  <c r="G312" i="30"/>
  <c r="F312" i="30"/>
  <c r="K311" i="30"/>
  <c r="G311" i="30"/>
  <c r="F311" i="30"/>
  <c r="K310" i="30"/>
  <c r="G310" i="30"/>
  <c r="F310" i="30"/>
  <c r="K309" i="30"/>
  <c r="G309" i="30"/>
  <c r="F309" i="30"/>
  <c r="K308" i="30"/>
  <c r="G308" i="30"/>
  <c r="F308" i="30"/>
  <c r="K307" i="30"/>
  <c r="G307" i="30"/>
  <c r="F307" i="30"/>
  <c r="K306" i="30"/>
  <c r="G306" i="30"/>
  <c r="F306" i="30"/>
  <c r="K305" i="30"/>
  <c r="G305" i="30"/>
  <c r="F305" i="30"/>
  <c r="K304" i="30"/>
  <c r="G304" i="30"/>
  <c r="F304" i="30"/>
  <c r="K303" i="30"/>
  <c r="G303" i="30"/>
  <c r="F303" i="30"/>
  <c r="K302" i="30"/>
  <c r="G302" i="30"/>
  <c r="F302" i="30"/>
  <c r="K301" i="30"/>
  <c r="G301" i="30"/>
  <c r="F301" i="30"/>
  <c r="K300" i="30"/>
  <c r="G300" i="30"/>
  <c r="F300" i="30"/>
  <c r="K299" i="30"/>
  <c r="G299" i="30"/>
  <c r="F299" i="30"/>
  <c r="K298" i="30"/>
  <c r="G298" i="30"/>
  <c r="F298" i="30"/>
  <c r="K297" i="30"/>
  <c r="G297" i="30"/>
  <c r="F297" i="30"/>
  <c r="K296" i="30"/>
  <c r="G296" i="30"/>
  <c r="F296" i="30"/>
  <c r="K295" i="30"/>
  <c r="G295" i="30"/>
  <c r="F295" i="30"/>
  <c r="K294" i="30"/>
  <c r="G294" i="30"/>
  <c r="F294" i="30"/>
  <c r="K293" i="30"/>
  <c r="G293" i="30"/>
  <c r="F293" i="30"/>
  <c r="K292" i="30"/>
  <c r="G292" i="30"/>
  <c r="F292" i="30"/>
  <c r="K291" i="30"/>
  <c r="G291" i="30"/>
  <c r="F291" i="30"/>
  <c r="K290" i="30"/>
  <c r="G290" i="30"/>
  <c r="F290" i="30"/>
  <c r="K289" i="30"/>
  <c r="G289" i="30"/>
  <c r="F289" i="30"/>
  <c r="K288" i="30"/>
  <c r="G288" i="30"/>
  <c r="F288" i="30"/>
  <c r="K287" i="30"/>
  <c r="G287" i="30"/>
  <c r="F287" i="30"/>
  <c r="K286" i="30"/>
  <c r="G286" i="30"/>
  <c r="F286" i="30"/>
  <c r="K285" i="30"/>
  <c r="G285" i="30"/>
  <c r="F285" i="30"/>
  <c r="K284" i="30"/>
  <c r="G284" i="30"/>
  <c r="F284" i="30"/>
  <c r="K282" i="30"/>
  <c r="G282" i="30"/>
  <c r="F282" i="30"/>
  <c r="K281" i="30"/>
  <c r="G281" i="30"/>
  <c r="F281" i="30"/>
  <c r="K280" i="30"/>
  <c r="G280" i="30"/>
  <c r="F280" i="30"/>
  <c r="K279" i="30"/>
  <c r="G279" i="30"/>
  <c r="F279" i="30"/>
  <c r="K278" i="30"/>
  <c r="G278" i="30"/>
  <c r="F278" i="30"/>
  <c r="K277" i="30"/>
  <c r="G277" i="30"/>
  <c r="F277" i="30"/>
  <c r="K276" i="30"/>
  <c r="G276" i="30"/>
  <c r="F276" i="30"/>
  <c r="K275" i="30"/>
  <c r="G275" i="30"/>
  <c r="F275" i="30"/>
  <c r="K274" i="30"/>
  <c r="G274" i="30"/>
  <c r="F274" i="30"/>
  <c r="K273" i="30"/>
  <c r="G273" i="30"/>
  <c r="F273" i="30"/>
  <c r="K272" i="30"/>
  <c r="G272" i="30"/>
  <c r="F272" i="30"/>
  <c r="K271" i="30"/>
  <c r="G271" i="30"/>
  <c r="F271" i="30"/>
  <c r="K270" i="30"/>
  <c r="G270" i="30"/>
  <c r="F270" i="30"/>
  <c r="K269" i="30"/>
  <c r="G269" i="30"/>
  <c r="F269" i="30"/>
  <c r="K268" i="30"/>
  <c r="G268" i="30"/>
  <c r="F268" i="30"/>
  <c r="K267" i="30"/>
  <c r="G267" i="30"/>
  <c r="F267" i="30"/>
  <c r="K266" i="30"/>
  <c r="G266" i="30"/>
  <c r="F266" i="30"/>
  <c r="K265" i="30"/>
  <c r="G265" i="30"/>
  <c r="F265" i="30"/>
  <c r="K264" i="30"/>
  <c r="G264" i="30"/>
  <c r="F264" i="30"/>
  <c r="K263" i="30"/>
  <c r="G263" i="30"/>
  <c r="F263" i="30"/>
  <c r="K262" i="30"/>
  <c r="G262" i="30"/>
  <c r="F262" i="30"/>
  <c r="K261" i="30"/>
  <c r="G261" i="30"/>
  <c r="F261" i="30"/>
  <c r="K260" i="30"/>
  <c r="G260" i="30"/>
  <c r="F260" i="30"/>
  <c r="K259" i="30"/>
  <c r="G259" i="30"/>
  <c r="F259" i="30"/>
  <c r="K258" i="30"/>
  <c r="G258" i="30"/>
  <c r="F258" i="30"/>
  <c r="K257" i="30"/>
  <c r="G257" i="30"/>
  <c r="F257" i="30"/>
  <c r="K256" i="30"/>
  <c r="G256" i="30"/>
  <c r="F256" i="30"/>
  <c r="K255" i="30"/>
  <c r="G255" i="30"/>
  <c r="F255" i="30"/>
  <c r="K254" i="30"/>
  <c r="G254" i="30"/>
  <c r="F254" i="30"/>
  <c r="K253" i="30"/>
  <c r="G253" i="30"/>
  <c r="F253" i="30"/>
  <c r="K252" i="30"/>
  <c r="G252" i="30"/>
  <c r="F252" i="30"/>
  <c r="K251" i="30"/>
  <c r="G251" i="30"/>
  <c r="F251" i="30"/>
  <c r="K250" i="30"/>
  <c r="G250" i="30"/>
  <c r="F250" i="30"/>
  <c r="K249" i="30"/>
  <c r="G249" i="30"/>
  <c r="F249" i="30"/>
  <c r="K248" i="30"/>
  <c r="G248" i="30"/>
  <c r="F248" i="30"/>
  <c r="K247" i="30"/>
  <c r="G247" i="30"/>
  <c r="F247" i="30"/>
  <c r="K246" i="30"/>
  <c r="G246" i="30"/>
  <c r="F246" i="30"/>
  <c r="K245" i="30"/>
  <c r="G245" i="30"/>
  <c r="F245" i="30"/>
  <c r="K244" i="30"/>
  <c r="G244" i="30"/>
  <c r="F244" i="30"/>
  <c r="K243" i="30"/>
  <c r="G243" i="30"/>
  <c r="F243" i="30"/>
  <c r="K242" i="30"/>
  <c r="G242" i="30"/>
  <c r="F242" i="30"/>
  <c r="K241" i="30"/>
  <c r="G241" i="30"/>
  <c r="F241" i="30"/>
  <c r="K239" i="30"/>
  <c r="G239" i="30"/>
  <c r="F239" i="30"/>
  <c r="K238" i="30"/>
  <c r="G238" i="30"/>
  <c r="F238" i="30"/>
  <c r="K237" i="30"/>
  <c r="G237" i="30"/>
  <c r="F237" i="30"/>
  <c r="K236" i="30"/>
  <c r="G236" i="30"/>
  <c r="F236" i="30"/>
  <c r="K235" i="30"/>
  <c r="G235" i="30"/>
  <c r="F235" i="30"/>
  <c r="K234" i="30"/>
  <c r="G234" i="30"/>
  <c r="F234" i="30"/>
  <c r="K233" i="30"/>
  <c r="G233" i="30"/>
  <c r="F233" i="30"/>
  <c r="K232" i="30"/>
  <c r="G232" i="30"/>
  <c r="F232" i="30"/>
  <c r="K231" i="30"/>
  <c r="G231" i="30"/>
  <c r="F231" i="30"/>
  <c r="K230" i="30"/>
  <c r="G230" i="30"/>
  <c r="F230" i="30"/>
  <c r="K229" i="30"/>
  <c r="G229" i="30"/>
  <c r="F229" i="30"/>
  <c r="K228" i="30"/>
  <c r="G228" i="30"/>
  <c r="F228" i="30"/>
  <c r="K227" i="30"/>
  <c r="G227" i="30"/>
  <c r="F227" i="30"/>
  <c r="K226" i="30"/>
  <c r="G226" i="30"/>
  <c r="F226" i="30"/>
  <c r="K225" i="30"/>
  <c r="G225" i="30"/>
  <c r="F225" i="30"/>
  <c r="K224" i="30"/>
  <c r="G224" i="30"/>
  <c r="F224" i="30"/>
  <c r="K223" i="30"/>
  <c r="G223" i="30"/>
  <c r="F223" i="30"/>
  <c r="K222" i="30"/>
  <c r="G222" i="30"/>
  <c r="F222" i="30"/>
  <c r="K221" i="30"/>
  <c r="G221" i="30"/>
  <c r="F221" i="30"/>
  <c r="K220" i="30"/>
  <c r="G220" i="30"/>
  <c r="F220" i="30"/>
  <c r="K219" i="30"/>
  <c r="G219" i="30"/>
  <c r="F219" i="30"/>
  <c r="K218" i="30"/>
  <c r="G218" i="30"/>
  <c r="F218" i="30"/>
  <c r="K217" i="30"/>
  <c r="G217" i="30"/>
  <c r="F217" i="30"/>
  <c r="K216" i="30"/>
  <c r="G216" i="30"/>
  <c r="F216" i="30"/>
  <c r="K215" i="30"/>
  <c r="G215" i="30"/>
  <c r="F215" i="30"/>
  <c r="K214" i="30"/>
  <c r="G214" i="30"/>
  <c r="F214" i="30"/>
  <c r="K213" i="30"/>
  <c r="G213" i="30"/>
  <c r="F213" i="30"/>
  <c r="K212" i="30"/>
  <c r="G212" i="30"/>
  <c r="F212" i="30"/>
  <c r="K211" i="30"/>
  <c r="G211" i="30"/>
  <c r="F211" i="30"/>
  <c r="K210" i="30"/>
  <c r="G210" i="30"/>
  <c r="F210" i="30"/>
  <c r="K209" i="30"/>
  <c r="G209" i="30"/>
  <c r="F209" i="30"/>
  <c r="K208" i="30"/>
  <c r="G208" i="30"/>
  <c r="F208" i="30"/>
  <c r="K207" i="30"/>
  <c r="G207" i="30"/>
  <c r="F207" i="30"/>
  <c r="K206" i="30"/>
  <c r="G206" i="30"/>
  <c r="F206" i="30"/>
  <c r="K205" i="30"/>
  <c r="G205" i="30"/>
  <c r="F205" i="30"/>
  <c r="K204" i="30"/>
  <c r="G204" i="30"/>
  <c r="F204" i="30"/>
  <c r="K203" i="30"/>
  <c r="G203" i="30"/>
  <c r="F203" i="30"/>
  <c r="K202" i="30"/>
  <c r="G202" i="30"/>
  <c r="F202" i="30"/>
  <c r="K201" i="30"/>
  <c r="G201" i="30"/>
  <c r="F201" i="30"/>
  <c r="K199" i="30"/>
  <c r="G199" i="30"/>
  <c r="F199" i="30"/>
  <c r="K198" i="30"/>
  <c r="G198" i="30"/>
  <c r="F198" i="30"/>
  <c r="K197" i="30"/>
  <c r="G197" i="30"/>
  <c r="F197" i="30"/>
  <c r="K196" i="30"/>
  <c r="G196" i="30"/>
  <c r="F196" i="30"/>
  <c r="K195" i="30"/>
  <c r="G195" i="30"/>
  <c r="F195" i="30"/>
  <c r="K194" i="30"/>
  <c r="G194" i="30"/>
  <c r="F194" i="30"/>
  <c r="K193" i="30"/>
  <c r="G193" i="30"/>
  <c r="F193" i="30"/>
  <c r="K192" i="30"/>
  <c r="G192" i="30"/>
  <c r="F192" i="30"/>
  <c r="K191" i="30"/>
  <c r="G191" i="30"/>
  <c r="F191" i="30"/>
  <c r="K190" i="30"/>
  <c r="G190" i="30"/>
  <c r="F190" i="30"/>
  <c r="K189" i="30"/>
  <c r="G189" i="30"/>
  <c r="F189" i="30"/>
  <c r="K188" i="30"/>
  <c r="G188" i="30"/>
  <c r="F188" i="30"/>
  <c r="K187" i="30"/>
  <c r="G187" i="30"/>
  <c r="F187" i="30"/>
  <c r="K186" i="30"/>
  <c r="G186" i="30"/>
  <c r="F186" i="30"/>
  <c r="K185" i="30"/>
  <c r="G185" i="30"/>
  <c r="F185" i="30"/>
  <c r="K184" i="30"/>
  <c r="G184" i="30"/>
  <c r="F184" i="30"/>
  <c r="K183" i="30"/>
  <c r="G183" i="30"/>
  <c r="F183" i="30"/>
  <c r="K182" i="30"/>
  <c r="G182" i="30"/>
  <c r="F182" i="30"/>
  <c r="K181" i="30"/>
  <c r="G181" i="30"/>
  <c r="F181" i="30"/>
  <c r="K180" i="30"/>
  <c r="G180" i="30"/>
  <c r="F180" i="30"/>
  <c r="K179" i="30"/>
  <c r="G179" i="30"/>
  <c r="F179" i="30"/>
  <c r="K178" i="30"/>
  <c r="G178" i="30"/>
  <c r="F178" i="30"/>
  <c r="K177" i="30"/>
  <c r="G177" i="30"/>
  <c r="F177" i="30"/>
  <c r="K176" i="30"/>
  <c r="G176" i="30"/>
  <c r="F176" i="30"/>
  <c r="K175" i="30"/>
  <c r="G175" i="30"/>
  <c r="F175" i="30"/>
  <c r="K174" i="30"/>
  <c r="G174" i="30"/>
  <c r="F174" i="30"/>
  <c r="K173" i="30"/>
  <c r="G173" i="30"/>
  <c r="F173" i="30"/>
  <c r="K172" i="30"/>
  <c r="G172" i="30"/>
  <c r="F172" i="30"/>
  <c r="K171" i="30"/>
  <c r="G171" i="30"/>
  <c r="F171" i="30"/>
  <c r="K170" i="30"/>
  <c r="G170" i="30"/>
  <c r="F170" i="30"/>
  <c r="K169" i="30"/>
  <c r="G169" i="30"/>
  <c r="F169" i="30"/>
  <c r="K168" i="30"/>
  <c r="G168" i="30"/>
  <c r="F168" i="30"/>
  <c r="K167" i="30"/>
  <c r="G167" i="30"/>
  <c r="F167" i="30"/>
  <c r="K166" i="30"/>
  <c r="G166" i="30"/>
  <c r="F166" i="30"/>
  <c r="K165" i="30"/>
  <c r="G165" i="30"/>
  <c r="F165" i="30"/>
  <c r="K164" i="30"/>
  <c r="G164" i="30"/>
  <c r="F164" i="30"/>
  <c r="K163" i="30"/>
  <c r="G163" i="30"/>
  <c r="F163" i="30"/>
  <c r="K162" i="30"/>
  <c r="G162" i="30"/>
  <c r="F162" i="30"/>
  <c r="K161" i="30"/>
  <c r="G161" i="30"/>
  <c r="F161" i="30"/>
  <c r="K160" i="30"/>
  <c r="G160" i="30"/>
  <c r="F160" i="30"/>
  <c r="K159" i="30"/>
  <c r="G159" i="30"/>
  <c r="F159" i="30"/>
  <c r="K158" i="30"/>
  <c r="G158" i="30"/>
  <c r="F158" i="30"/>
  <c r="K157" i="30"/>
  <c r="G157" i="30"/>
  <c r="F157" i="30"/>
  <c r="K156" i="30"/>
  <c r="G156" i="30"/>
  <c r="F156" i="30"/>
  <c r="K155" i="30"/>
  <c r="G155" i="30"/>
  <c r="F155" i="30"/>
  <c r="K154" i="30"/>
  <c r="G154" i="30"/>
  <c r="F154" i="30"/>
  <c r="K153" i="30"/>
  <c r="G153" i="30"/>
  <c r="F153" i="30"/>
  <c r="K152" i="30"/>
  <c r="G152" i="30"/>
  <c r="F152" i="30"/>
  <c r="K151" i="30"/>
  <c r="G151" i="30"/>
  <c r="F151" i="30"/>
  <c r="K150" i="30"/>
  <c r="G150" i="30"/>
  <c r="F150" i="30"/>
  <c r="K149" i="30"/>
  <c r="G149" i="30"/>
  <c r="F149" i="30"/>
  <c r="K148" i="30"/>
  <c r="G148" i="30"/>
  <c r="F148" i="30"/>
  <c r="K147" i="30"/>
  <c r="G147" i="30"/>
  <c r="F147" i="30"/>
  <c r="K146" i="30"/>
  <c r="G146" i="30"/>
  <c r="F146" i="30"/>
  <c r="K145" i="30"/>
  <c r="G145" i="30"/>
  <c r="F145" i="30"/>
  <c r="K144" i="30"/>
  <c r="G144" i="30"/>
  <c r="F144" i="30"/>
  <c r="K143" i="30"/>
  <c r="G143" i="30"/>
  <c r="F143" i="30"/>
  <c r="K142" i="30"/>
  <c r="G142" i="30"/>
  <c r="F142" i="30"/>
  <c r="K141" i="30"/>
  <c r="G141" i="30"/>
  <c r="F141" i="30"/>
  <c r="K140" i="30"/>
  <c r="G140" i="30"/>
  <c r="F140" i="30"/>
  <c r="K139" i="30"/>
  <c r="G139" i="30"/>
  <c r="F139" i="30"/>
  <c r="K138" i="30"/>
  <c r="G138" i="30"/>
  <c r="F138" i="30"/>
  <c r="K137" i="30"/>
  <c r="G137" i="30"/>
  <c r="F137" i="30"/>
  <c r="K136" i="30"/>
  <c r="G136" i="30"/>
  <c r="F136" i="30"/>
  <c r="K135" i="30"/>
  <c r="G135" i="30"/>
  <c r="F135" i="30"/>
  <c r="K134" i="30"/>
  <c r="G134" i="30"/>
  <c r="F134" i="30"/>
  <c r="K133" i="30"/>
  <c r="G133" i="30"/>
  <c r="F133" i="30"/>
  <c r="K132" i="30"/>
  <c r="G132" i="30"/>
  <c r="F132" i="30"/>
  <c r="K131" i="30"/>
  <c r="G131" i="30"/>
  <c r="F131" i="30"/>
  <c r="K130" i="30"/>
  <c r="G130" i="30"/>
  <c r="F130" i="30"/>
  <c r="K129" i="30"/>
  <c r="G129" i="30"/>
  <c r="F129" i="30"/>
  <c r="K128" i="30"/>
  <c r="G128" i="30"/>
  <c r="F128" i="30"/>
  <c r="K127" i="30"/>
  <c r="G127" i="30"/>
  <c r="F127" i="30"/>
  <c r="K126" i="30"/>
  <c r="G126" i="30"/>
  <c r="F126" i="30"/>
  <c r="K125" i="30"/>
  <c r="G125" i="30"/>
  <c r="F125" i="30"/>
  <c r="K124" i="30"/>
  <c r="G124" i="30"/>
  <c r="F124" i="30"/>
  <c r="K123" i="30"/>
  <c r="G123" i="30"/>
  <c r="F123" i="30"/>
  <c r="K122" i="30"/>
  <c r="G122" i="30"/>
  <c r="F122" i="30"/>
  <c r="K121" i="30"/>
  <c r="G121" i="30"/>
  <c r="F121" i="30"/>
  <c r="K120" i="30"/>
  <c r="G120" i="30"/>
  <c r="F120" i="30"/>
  <c r="K119" i="30"/>
  <c r="G119" i="30"/>
  <c r="F119" i="30"/>
  <c r="K118" i="30"/>
  <c r="G118" i="30"/>
  <c r="F118" i="30"/>
  <c r="K117" i="30"/>
  <c r="G117" i="30"/>
  <c r="F117" i="30"/>
  <c r="K116" i="30"/>
  <c r="G116" i="30"/>
  <c r="F116" i="30"/>
  <c r="K115" i="30"/>
  <c r="G115" i="30"/>
  <c r="F115" i="30"/>
  <c r="K114" i="30"/>
  <c r="G114" i="30"/>
  <c r="F114" i="30"/>
  <c r="K113" i="30"/>
  <c r="G113" i="30"/>
  <c r="F113" i="30"/>
  <c r="K112" i="30"/>
  <c r="G112" i="30"/>
  <c r="F112" i="30"/>
  <c r="K111" i="30"/>
  <c r="G111" i="30"/>
  <c r="F111" i="30"/>
  <c r="K110" i="30"/>
  <c r="G110" i="30"/>
  <c r="F110" i="30"/>
  <c r="K109" i="30"/>
  <c r="G109" i="30"/>
  <c r="F109" i="30"/>
  <c r="K108" i="30"/>
  <c r="G108" i="30"/>
  <c r="F108" i="30"/>
  <c r="K107" i="30"/>
  <c r="G107" i="30"/>
  <c r="F107" i="30"/>
  <c r="K106" i="30"/>
  <c r="G106" i="30"/>
  <c r="F106" i="30"/>
  <c r="K105" i="30"/>
  <c r="G105" i="30"/>
  <c r="F105" i="30"/>
  <c r="K104" i="30"/>
  <c r="G104" i="30"/>
  <c r="F104" i="30"/>
  <c r="K103" i="30"/>
  <c r="G103" i="30"/>
  <c r="F103" i="30"/>
  <c r="K102" i="30"/>
  <c r="G102" i="30"/>
  <c r="F102" i="30"/>
  <c r="K101" i="30"/>
  <c r="G101" i="30"/>
  <c r="F101" i="30"/>
  <c r="K100" i="30"/>
  <c r="G100" i="30"/>
  <c r="F100" i="30"/>
  <c r="K99" i="30"/>
  <c r="G99" i="30"/>
  <c r="F99" i="30"/>
  <c r="K98" i="30"/>
  <c r="G98" i="30"/>
  <c r="F98" i="30"/>
  <c r="K97" i="30"/>
  <c r="G97" i="30"/>
  <c r="F97" i="30"/>
  <c r="K96" i="30"/>
  <c r="G96" i="30"/>
  <c r="F96" i="30"/>
  <c r="K95" i="30"/>
  <c r="G95" i="30"/>
  <c r="F95" i="30"/>
  <c r="K94" i="30"/>
  <c r="G94" i="30"/>
  <c r="F94" i="30"/>
  <c r="K93" i="30"/>
  <c r="G93" i="30"/>
  <c r="F93" i="30"/>
  <c r="K92" i="30"/>
  <c r="G92" i="30"/>
  <c r="F92" i="30"/>
  <c r="K91" i="30"/>
  <c r="G91" i="30"/>
  <c r="F91" i="30"/>
  <c r="K90" i="30"/>
  <c r="G90" i="30"/>
  <c r="F90" i="30"/>
  <c r="K89" i="30"/>
  <c r="G89" i="30"/>
  <c r="F89" i="30"/>
  <c r="K88" i="30"/>
  <c r="G88" i="30"/>
  <c r="F88" i="30"/>
  <c r="K87" i="30"/>
  <c r="G87" i="30"/>
  <c r="F87" i="30"/>
  <c r="K86" i="30"/>
  <c r="G86" i="30"/>
  <c r="F86" i="30"/>
  <c r="K85" i="30"/>
  <c r="G85" i="30"/>
  <c r="F85" i="30"/>
  <c r="K84" i="30"/>
  <c r="G84" i="30"/>
  <c r="F84" i="30"/>
  <c r="K83" i="30"/>
  <c r="G83" i="30"/>
  <c r="F83" i="30"/>
  <c r="K82" i="30"/>
  <c r="G82" i="30"/>
  <c r="F82" i="30"/>
  <c r="K81" i="30"/>
  <c r="G81" i="30"/>
  <c r="F81" i="30"/>
  <c r="K80" i="30"/>
  <c r="G80" i="30"/>
  <c r="F80" i="30"/>
  <c r="K79" i="30"/>
  <c r="G79" i="30"/>
  <c r="F79" i="30"/>
  <c r="K78" i="30"/>
  <c r="G78" i="30"/>
  <c r="F78" i="30"/>
  <c r="K77" i="30"/>
  <c r="G77" i="30"/>
  <c r="F77" i="30"/>
  <c r="K76" i="30"/>
  <c r="G76" i="30"/>
  <c r="F76" i="30"/>
  <c r="K75" i="30"/>
  <c r="G75" i="30"/>
  <c r="F75" i="30"/>
  <c r="K74" i="30"/>
  <c r="G74" i="30"/>
  <c r="F74" i="30"/>
  <c r="K73" i="30"/>
  <c r="G73" i="30"/>
  <c r="F73" i="30"/>
  <c r="K72" i="30"/>
  <c r="G72" i="30"/>
  <c r="F72" i="30"/>
  <c r="K71" i="30"/>
  <c r="G71" i="30"/>
  <c r="F71" i="30"/>
  <c r="K70" i="30"/>
  <c r="G70" i="30"/>
  <c r="F70" i="30"/>
  <c r="K69" i="30"/>
  <c r="G69" i="30"/>
  <c r="F69" i="30"/>
  <c r="K68" i="30"/>
  <c r="G68" i="30"/>
  <c r="F68" i="30"/>
  <c r="K67" i="30"/>
  <c r="G67" i="30"/>
  <c r="F67" i="30"/>
  <c r="K66" i="30"/>
  <c r="G66" i="30"/>
  <c r="F66" i="30"/>
  <c r="K65" i="30"/>
  <c r="G65" i="30"/>
  <c r="F65" i="30"/>
  <c r="K64" i="30"/>
  <c r="G64" i="30"/>
  <c r="F64" i="30"/>
  <c r="K63" i="30"/>
  <c r="G63" i="30"/>
  <c r="F63" i="30"/>
  <c r="K62" i="30"/>
  <c r="G62" i="30"/>
  <c r="F62" i="30"/>
  <c r="K61" i="30"/>
  <c r="G61" i="30"/>
  <c r="F61" i="30"/>
  <c r="K60" i="30"/>
  <c r="G60" i="30"/>
  <c r="F60" i="30"/>
  <c r="K59" i="30"/>
  <c r="G59" i="30"/>
  <c r="F59" i="30"/>
  <c r="K58" i="30"/>
  <c r="G58" i="30"/>
  <c r="F58" i="30"/>
  <c r="K57" i="30"/>
  <c r="G57" i="30"/>
  <c r="F57" i="30"/>
  <c r="K56" i="30"/>
  <c r="G56" i="30"/>
  <c r="F56" i="30"/>
  <c r="K55" i="30"/>
  <c r="G55" i="30"/>
  <c r="F55" i="30"/>
  <c r="K54" i="30"/>
  <c r="G54" i="30"/>
  <c r="F54" i="30"/>
  <c r="K53" i="30"/>
  <c r="G53" i="30"/>
  <c r="F53" i="30"/>
  <c r="K52" i="30"/>
  <c r="G52" i="30"/>
  <c r="F52" i="30"/>
  <c r="K51" i="30"/>
  <c r="G51" i="30"/>
  <c r="F51" i="30"/>
  <c r="K50" i="30"/>
  <c r="G50" i="30"/>
  <c r="F50" i="30"/>
  <c r="K49" i="30"/>
  <c r="G49" i="30"/>
  <c r="F49" i="30"/>
  <c r="K48" i="30"/>
  <c r="G48" i="30"/>
  <c r="F48" i="30"/>
  <c r="K47" i="30"/>
  <c r="G47" i="30"/>
  <c r="F47" i="30"/>
  <c r="K46" i="30"/>
  <c r="G46" i="30"/>
  <c r="F46" i="30"/>
  <c r="K45" i="30"/>
  <c r="G45" i="30"/>
  <c r="F45" i="30"/>
  <c r="K44" i="30"/>
  <c r="G44" i="30"/>
  <c r="F44" i="30"/>
  <c r="K43" i="30"/>
  <c r="G43" i="30"/>
  <c r="F43" i="30"/>
  <c r="K42" i="30"/>
  <c r="G42" i="30"/>
  <c r="F42" i="30"/>
  <c r="K41" i="30"/>
  <c r="G41" i="30"/>
  <c r="F41" i="30"/>
  <c r="K40" i="30"/>
  <c r="G40" i="30"/>
  <c r="F40" i="30"/>
  <c r="K39" i="30"/>
  <c r="G39" i="30"/>
  <c r="F39" i="30"/>
  <c r="K38" i="30"/>
  <c r="G38" i="30"/>
  <c r="F38" i="30"/>
  <c r="K37" i="30"/>
  <c r="G37" i="30"/>
  <c r="F37" i="30"/>
  <c r="K36" i="30"/>
  <c r="G36" i="30"/>
  <c r="F36" i="30"/>
  <c r="K35" i="30"/>
  <c r="G35" i="30"/>
  <c r="F35" i="30"/>
  <c r="K34" i="30"/>
  <c r="G34" i="30"/>
  <c r="F34" i="30"/>
  <c r="K33" i="30"/>
  <c r="G33" i="30"/>
  <c r="F33" i="30"/>
  <c r="K32" i="30"/>
  <c r="G32" i="30"/>
  <c r="F32" i="30"/>
  <c r="K31" i="30"/>
  <c r="G31" i="30"/>
  <c r="F31" i="30"/>
  <c r="K29" i="30"/>
  <c r="G29" i="30"/>
  <c r="F29" i="30"/>
  <c r="K28" i="30"/>
  <c r="G28" i="30"/>
  <c r="F28" i="30"/>
  <c r="K27" i="30"/>
  <c r="G27" i="30"/>
  <c r="F27" i="30"/>
  <c r="K26" i="30"/>
  <c r="G26" i="30"/>
  <c r="F26" i="30"/>
  <c r="K25" i="30"/>
  <c r="G25" i="30"/>
  <c r="F25" i="30"/>
  <c r="K24" i="30"/>
  <c r="G24" i="30"/>
  <c r="F24" i="30"/>
  <c r="K23" i="30"/>
  <c r="G23" i="30"/>
  <c r="F23" i="30"/>
  <c r="K22" i="30"/>
  <c r="G22" i="30"/>
  <c r="F22" i="30"/>
  <c r="K21" i="30"/>
  <c r="G21" i="30"/>
  <c r="F21" i="30"/>
  <c r="K20" i="30"/>
  <c r="G20" i="30"/>
  <c r="F20" i="30"/>
  <c r="K19" i="30"/>
  <c r="G19" i="30"/>
  <c r="F19" i="30"/>
  <c r="K18" i="30"/>
  <c r="G18" i="30"/>
  <c r="F18" i="30"/>
  <c r="K17" i="30"/>
  <c r="G17" i="30"/>
  <c r="F17" i="30"/>
  <c r="K16" i="30"/>
  <c r="G16" i="30"/>
  <c r="F16" i="30"/>
  <c r="K15" i="30"/>
  <c r="G15" i="30"/>
  <c r="F15" i="30"/>
  <c r="K14" i="30"/>
  <c r="G14" i="30"/>
  <c r="F14" i="30"/>
  <c r="K13" i="30"/>
  <c r="G13" i="30"/>
  <c r="F13" i="30"/>
  <c r="K12" i="30"/>
  <c r="G12" i="30"/>
  <c r="F12" i="30"/>
  <c r="K11" i="30"/>
  <c r="G11" i="30"/>
  <c r="F11" i="30"/>
  <c r="K10" i="30"/>
  <c r="G10" i="30"/>
  <c r="F10" i="30"/>
  <c r="K9" i="30"/>
  <c r="G9" i="30"/>
  <c r="F9" i="30"/>
  <c r="K8" i="30"/>
  <c r="G8" i="30"/>
  <c r="F8" i="30"/>
  <c r="K7" i="30"/>
  <c r="G7" i="30"/>
  <c r="F7" i="30"/>
  <c r="K6" i="30"/>
  <c r="G6" i="30"/>
  <c r="F6" i="30"/>
  <c r="K5" i="30"/>
  <c r="G5" i="30"/>
  <c r="F5" i="30"/>
  <c r="K4" i="30"/>
  <c r="G4" i="30"/>
  <c r="F4" i="30"/>
  <c r="K3" i="30"/>
  <c r="G3" i="30"/>
  <c r="F3" i="30"/>
  <c r="U26" i="33"/>
  <c r="T29" i="33" s="1"/>
  <c r="G31" i="37"/>
  <c r="G44" i="37"/>
  <c r="G43" i="37"/>
  <c r="G42" i="37"/>
  <c r="G41" i="37"/>
  <c r="G40" i="37"/>
  <c r="G38" i="37"/>
  <c r="G37" i="37"/>
  <c r="G35" i="37"/>
  <c r="G34" i="37"/>
  <c r="G32" i="37"/>
  <c r="H39" i="37"/>
  <c r="G25" i="37"/>
  <c r="G16" i="37"/>
  <c r="G17" i="37"/>
  <c r="G18" i="37"/>
  <c r="G19" i="37"/>
  <c r="G22" i="37"/>
  <c r="G23" i="37"/>
  <c r="G24" i="37"/>
  <c r="G15" i="37"/>
  <c r="G13" i="37"/>
  <c r="G12" i="37"/>
  <c r="E81" i="37"/>
  <c r="E101" i="37" s="1"/>
  <c r="E106" i="37" s="1"/>
  <c r="G81" i="37"/>
  <c r="B39" i="37"/>
  <c r="G101" i="37"/>
  <c r="E53" i="37"/>
  <c r="E73" i="37"/>
  <c r="AN48" i="37"/>
  <c r="AN61" i="37" s="1"/>
  <c r="L9" i="33"/>
  <c r="E12" i="33" s="1"/>
  <c r="AB5" i="11"/>
  <c r="AB4" i="11" s="1"/>
  <c r="AA5" i="11"/>
  <c r="AA4" i="11" s="1"/>
  <c r="E39" i="37"/>
  <c r="F26" i="33"/>
  <c r="I5" i="37"/>
  <c r="J8" i="11"/>
  <c r="J9" i="11" s="1"/>
  <c r="J11" i="11" s="1"/>
  <c r="B29" i="37"/>
  <c r="F24" i="33"/>
  <c r="AL83" i="30"/>
  <c r="AN83" i="30" s="1"/>
  <c r="AP83" i="30" s="1"/>
  <c r="AR83" i="30" s="1"/>
  <c r="AT83" i="30" s="1"/>
  <c r="AV83" i="30" s="1"/>
  <c r="AX83" i="30" s="1"/>
  <c r="AZ83" i="30" s="1"/>
  <c r="BB83" i="30" s="1"/>
  <c r="BD83" i="30" s="1"/>
  <c r="BF83" i="30" s="1"/>
  <c r="BH83" i="30" s="1"/>
  <c r="BJ83" i="30" s="1"/>
  <c r="BL83" i="30" s="1"/>
  <c r="BN83" i="30" s="1"/>
  <c r="BP83" i="30" s="1"/>
  <c r="BR83" i="30" s="1"/>
  <c r="BT83" i="30" s="1"/>
  <c r="BV83" i="30" s="1"/>
  <c r="BX83" i="30" s="1"/>
  <c r="BZ83" i="30" s="1"/>
  <c r="CB83" i="30" s="1"/>
  <c r="CD83" i="30" s="1"/>
  <c r="CF83" i="30" s="1"/>
  <c r="CH83" i="30" s="1"/>
  <c r="CJ83" i="30" s="1"/>
  <c r="CL83" i="30" s="1"/>
  <c r="CN83" i="30" s="1"/>
  <c r="CP83" i="30" s="1"/>
  <c r="CR83" i="30" s="1"/>
  <c r="CT83" i="30" s="1"/>
  <c r="CV83" i="30" s="1"/>
  <c r="CX83" i="30" s="1"/>
  <c r="CZ83" i="30" s="1"/>
  <c r="DB83" i="30" s="1"/>
  <c r="DD83" i="30" s="1"/>
  <c r="DF83" i="30" s="1"/>
  <c r="DH83" i="30" s="1"/>
  <c r="DJ83" i="30" s="1"/>
  <c r="DL83" i="30" s="1"/>
  <c r="DN83" i="30" s="1"/>
  <c r="DP83" i="30" s="1"/>
  <c r="DR83" i="30" s="1"/>
  <c r="DT83" i="30" s="1"/>
  <c r="DV83" i="30" s="1"/>
  <c r="DX83" i="30" s="1"/>
  <c r="DZ83" i="30" s="1"/>
  <c r="EB83" i="30" s="1"/>
  <c r="ED83" i="30" s="1"/>
  <c r="EF83" i="30" s="1"/>
  <c r="EH83" i="30" s="1"/>
  <c r="EJ83" i="30" s="1"/>
  <c r="EL83" i="30" s="1"/>
  <c r="EN83" i="30" s="1"/>
  <c r="EP83" i="30" s="1"/>
  <c r="ER83" i="30" s="1"/>
  <c r="ET83" i="30" s="1"/>
  <c r="EV83" i="30" s="1"/>
  <c r="EX83" i="30" s="1"/>
  <c r="EZ83" i="30" s="1"/>
  <c r="FB83" i="30" s="1"/>
  <c r="FD83" i="30" s="1"/>
  <c r="FF83" i="30" s="1"/>
  <c r="FH83" i="30" s="1"/>
  <c r="FJ83" i="30" s="1"/>
  <c r="FL83" i="30" s="1"/>
  <c r="FN83" i="30" s="1"/>
  <c r="FP83" i="30" s="1"/>
  <c r="FR83" i="30" s="1"/>
  <c r="FT83" i="30" s="1"/>
  <c r="FV83" i="30" s="1"/>
  <c r="FX83" i="30" s="1"/>
  <c r="FZ83" i="30" s="1"/>
  <c r="GB83" i="30" s="1"/>
  <c r="GD83" i="30" s="1"/>
  <c r="GF83" i="30" s="1"/>
  <c r="GH83" i="30" s="1"/>
  <c r="GJ83" i="30" s="1"/>
  <c r="GL83" i="30" s="1"/>
  <c r="GN83" i="30" s="1"/>
  <c r="GP83" i="30" s="1"/>
  <c r="GR83" i="30" s="1"/>
  <c r="GT83" i="30" s="1"/>
  <c r="GV83" i="30" s="1"/>
  <c r="GX83" i="30" s="1"/>
  <c r="GZ83" i="30" s="1"/>
  <c r="HB83" i="30" s="1"/>
  <c r="HD83" i="30" s="1"/>
  <c r="HF83" i="30" s="1"/>
  <c r="HH83" i="30" s="1"/>
  <c r="HJ83" i="30" s="1"/>
  <c r="HL83" i="30" s="1"/>
  <c r="HN83" i="30" s="1"/>
  <c r="HP83" i="30" s="1"/>
  <c r="HR83" i="30" s="1"/>
  <c r="HT83" i="30" s="1"/>
  <c r="HV83" i="30" s="1"/>
  <c r="HX83" i="30" s="1"/>
  <c r="HZ83" i="30" s="1"/>
  <c r="IB83" i="30" s="1"/>
  <c r="ID83" i="30" s="1"/>
  <c r="IF83" i="30" s="1"/>
  <c r="IH83" i="30" s="1"/>
  <c r="IJ83" i="30" s="1"/>
  <c r="IL83" i="30" s="1"/>
  <c r="IN83" i="30" s="1"/>
  <c r="IP83" i="30" s="1"/>
  <c r="IR83" i="30" s="1"/>
  <c r="IT83" i="30" s="1"/>
  <c r="IV83" i="30" s="1"/>
  <c r="IX83" i="30" s="1"/>
  <c r="IZ83" i="30" s="1"/>
  <c r="JB83" i="30" s="1"/>
  <c r="JD83" i="30" s="1"/>
  <c r="JF83" i="30" s="1"/>
  <c r="JH83" i="30" s="1"/>
  <c r="JJ83" i="30" s="1"/>
  <c r="JL83" i="30" s="1"/>
  <c r="JN83" i="30" s="1"/>
  <c r="JP83" i="30" s="1"/>
  <c r="JR83" i="30" s="1"/>
  <c r="JT83" i="30" s="1"/>
  <c r="JV83" i="30" s="1"/>
  <c r="JX83" i="30" s="1"/>
  <c r="JZ83" i="30" s="1"/>
  <c r="KB83" i="30" s="1"/>
  <c r="KD83" i="30" s="1"/>
  <c r="KF83" i="30" s="1"/>
  <c r="KH83" i="30" s="1"/>
  <c r="KJ83" i="30" s="1"/>
  <c r="KL83" i="30" s="1"/>
  <c r="KN83" i="30" s="1"/>
  <c r="KP83" i="30" s="1"/>
  <c r="KR83" i="30" s="1"/>
  <c r="KT83" i="30" s="1"/>
  <c r="KV83" i="30" s="1"/>
  <c r="KX83" i="30" s="1"/>
  <c r="KZ83" i="30" s="1"/>
  <c r="LB83" i="30" s="1"/>
  <c r="LD83" i="30" s="1"/>
  <c r="LF83" i="30" s="1"/>
  <c r="LH83" i="30" s="1"/>
  <c r="LJ83" i="30" s="1"/>
  <c r="LL83" i="30" s="1"/>
  <c r="LN83" i="30" s="1"/>
  <c r="LP83" i="30" s="1"/>
  <c r="LR83" i="30" s="1"/>
  <c r="LT83" i="30" s="1"/>
  <c r="LV83" i="30" s="1"/>
  <c r="LX83" i="30" s="1"/>
  <c r="LZ83" i="30" s="1"/>
  <c r="MB83" i="30" s="1"/>
  <c r="MD83" i="30" s="1"/>
  <c r="MF83" i="30" s="1"/>
  <c r="MH83" i="30" s="1"/>
  <c r="MJ83" i="30" s="1"/>
  <c r="ML83" i="30" s="1"/>
  <c r="MN83" i="30" s="1"/>
  <c r="MP83" i="30" s="1"/>
  <c r="MR83" i="30" s="1"/>
  <c r="MT83" i="30" s="1"/>
  <c r="MV83" i="30" s="1"/>
  <c r="MX83" i="30" s="1"/>
  <c r="MZ83" i="30" s="1"/>
  <c r="NB83" i="30" s="1"/>
  <c r="ND83" i="30" s="1"/>
  <c r="NF83" i="30" s="1"/>
  <c r="NH83" i="30" s="1"/>
  <c r="NJ83" i="30" s="1"/>
  <c r="NL83" i="30" s="1"/>
  <c r="NN83" i="30" s="1"/>
  <c r="NP83" i="30" s="1"/>
  <c r="NR83" i="30" s="1"/>
  <c r="NT83" i="30" s="1"/>
  <c r="NV83" i="30" s="1"/>
  <c r="NX83" i="30" s="1"/>
  <c r="NZ83" i="30" s="1"/>
  <c r="OB83" i="30" s="1"/>
  <c r="OD83" i="30" s="1"/>
  <c r="OF83" i="30" s="1"/>
  <c r="OH83" i="30" s="1"/>
  <c r="OJ83" i="30" s="1"/>
  <c r="OL83" i="30" s="1"/>
  <c r="ON83" i="30" s="1"/>
  <c r="OP83" i="30" s="1"/>
  <c r="OR83" i="30" s="1"/>
  <c r="OT83" i="30" s="1"/>
  <c r="OV83" i="30" s="1"/>
  <c r="OX83" i="30" s="1"/>
  <c r="OZ83" i="30" s="1"/>
  <c r="PB83" i="30" s="1"/>
  <c r="PD83" i="30" s="1"/>
  <c r="PF83" i="30" s="1"/>
  <c r="PH83" i="30" s="1"/>
  <c r="PJ83" i="30" s="1"/>
  <c r="PL83" i="30" s="1"/>
  <c r="PN83" i="30" s="1"/>
  <c r="PP83" i="30" s="1"/>
  <c r="PR83" i="30" s="1"/>
  <c r="PT83" i="30" s="1"/>
  <c r="PV83" i="30" s="1"/>
  <c r="PX83" i="30" s="1"/>
  <c r="PZ83" i="30" s="1"/>
  <c r="QB83" i="30" s="1"/>
  <c r="QD83" i="30" s="1"/>
  <c r="QF83" i="30" s="1"/>
  <c r="QH83" i="30" s="1"/>
  <c r="QJ83" i="30" s="1"/>
  <c r="QL83" i="30" s="1"/>
  <c r="QN83" i="30" s="1"/>
  <c r="QP83" i="30" s="1"/>
  <c r="QR83" i="30" s="1"/>
  <c r="QT83" i="30" s="1"/>
  <c r="QV83" i="30" s="1"/>
  <c r="QX83" i="30" s="1"/>
  <c r="QZ83" i="30" s="1"/>
  <c r="RB83" i="30" s="1"/>
  <c r="RD83" i="30" s="1"/>
  <c r="RF83" i="30" s="1"/>
  <c r="RH83" i="30" s="1"/>
  <c r="RJ83" i="30" s="1"/>
  <c r="RL83" i="30" s="1"/>
  <c r="RN83" i="30" s="1"/>
  <c r="RP83" i="30" s="1"/>
  <c r="RR83" i="30" s="1"/>
  <c r="RT83" i="30" s="1"/>
  <c r="RV83" i="30" s="1"/>
  <c r="RX83" i="30" s="1"/>
  <c r="RZ83" i="30" s="1"/>
  <c r="SB83" i="30" s="1"/>
  <c r="SD83" i="30" s="1"/>
  <c r="SF83" i="30" s="1"/>
  <c r="SH83" i="30" s="1"/>
  <c r="SJ83" i="30" s="1"/>
  <c r="SL83" i="30" s="1"/>
  <c r="SN83" i="30" s="1"/>
  <c r="SP83" i="30" s="1"/>
  <c r="SR83" i="30" s="1"/>
  <c r="ST83" i="30" s="1"/>
  <c r="SV83" i="30" s="1"/>
  <c r="SX83" i="30" s="1"/>
  <c r="SZ83" i="30" s="1"/>
  <c r="TB83" i="30" s="1"/>
  <c r="TD83" i="30" s="1"/>
  <c r="TF83" i="30" s="1"/>
  <c r="TH83" i="30" s="1"/>
  <c r="TJ83" i="30" s="1"/>
  <c r="TL83" i="30" s="1"/>
  <c r="TN83" i="30" s="1"/>
  <c r="TP83" i="30" s="1"/>
  <c r="TR83" i="30" s="1"/>
  <c r="TT83" i="30" s="1"/>
  <c r="TV83" i="30" s="1"/>
  <c r="TX83" i="30" s="1"/>
  <c r="TZ83" i="30" s="1"/>
  <c r="UB83" i="30" s="1"/>
  <c r="UD83" i="30" s="1"/>
  <c r="UF83" i="30" s="1"/>
  <c r="UH83" i="30" s="1"/>
  <c r="UJ83" i="30" s="1"/>
  <c r="UL83" i="30" s="1"/>
  <c r="UN83" i="30" s="1"/>
  <c r="UP83" i="30" s="1"/>
  <c r="UR83" i="30" s="1"/>
  <c r="UT83" i="30" s="1"/>
  <c r="UV83" i="30" s="1"/>
  <c r="UX83" i="30" s="1"/>
  <c r="UZ83" i="30" s="1"/>
  <c r="VB83" i="30" s="1"/>
  <c r="VD83" i="30" s="1"/>
  <c r="VF83" i="30" s="1"/>
  <c r="VH83" i="30" s="1"/>
  <c r="VJ83" i="30" s="1"/>
  <c r="VL83" i="30" s="1"/>
  <c r="VN83" i="30" s="1"/>
  <c r="VP83" i="30" s="1"/>
  <c r="VR83" i="30" s="1"/>
  <c r="VT83" i="30" s="1"/>
  <c r="VV83" i="30" s="1"/>
  <c r="VX83" i="30" s="1"/>
  <c r="VZ83" i="30" s="1"/>
  <c r="WB83" i="30" s="1"/>
  <c r="WD83" i="30" s="1"/>
  <c r="WF83" i="30" s="1"/>
  <c r="WH83" i="30" s="1"/>
  <c r="WJ83" i="30" s="1"/>
  <c r="WL83" i="30" s="1"/>
  <c r="WN83" i="30" s="1"/>
  <c r="WP83" i="30" s="1"/>
  <c r="WR83" i="30" s="1"/>
  <c r="WT83" i="30" s="1"/>
  <c r="WV83" i="30" s="1"/>
  <c r="WX83" i="30" s="1"/>
  <c r="WZ83" i="30" s="1"/>
  <c r="XB83" i="30" s="1"/>
  <c r="XD83" i="30" s="1"/>
  <c r="XF83" i="30" s="1"/>
  <c r="XH83" i="30" s="1"/>
  <c r="XJ83" i="30" s="1"/>
  <c r="XL83" i="30" s="1"/>
  <c r="XN83" i="30" s="1"/>
  <c r="XP83" i="30" s="1"/>
  <c r="XR83" i="30" s="1"/>
  <c r="XT83" i="30" s="1"/>
  <c r="XV83" i="30" s="1"/>
  <c r="XX83" i="30" s="1"/>
  <c r="XZ83" i="30" s="1"/>
  <c r="YB83" i="30" s="1"/>
  <c r="YD83" i="30" s="1"/>
  <c r="YF83" i="30" s="1"/>
  <c r="YH83" i="30" s="1"/>
  <c r="YJ83" i="30" s="1"/>
  <c r="YL83" i="30" s="1"/>
  <c r="YN83" i="30" s="1"/>
  <c r="YP83" i="30" s="1"/>
  <c r="YR83" i="30" s="1"/>
  <c r="YT83" i="30" s="1"/>
  <c r="YV83" i="30" s="1"/>
  <c r="YX83" i="30" s="1"/>
  <c r="YZ83" i="30" s="1"/>
  <c r="ZB83" i="30" s="1"/>
  <c r="ZD83" i="30" s="1"/>
  <c r="ZF83" i="30" s="1"/>
  <c r="ZH83" i="30" s="1"/>
  <c r="ZJ83" i="30" s="1"/>
  <c r="ZL83" i="30" s="1"/>
  <c r="ZN83" i="30" s="1"/>
  <c r="ZP83" i="30" s="1"/>
  <c r="ZR83" i="30" s="1"/>
  <c r="ZT83" i="30" s="1"/>
  <c r="ZV83" i="30" s="1"/>
  <c r="ZX83" i="30" s="1"/>
  <c r="ZZ83" i="30" s="1"/>
  <c r="AAB83" i="30" s="1"/>
  <c r="AAD83" i="30" s="1"/>
  <c r="AAF83" i="30" s="1"/>
  <c r="AAH83" i="30" s="1"/>
  <c r="AAJ83" i="30" s="1"/>
  <c r="AAL83" i="30" s="1"/>
  <c r="AAN83" i="30" s="1"/>
  <c r="AAP83" i="30" s="1"/>
  <c r="AAR83" i="30" s="1"/>
  <c r="AAT83" i="30" s="1"/>
  <c r="AAV83" i="30" s="1"/>
  <c r="AAX83" i="30" s="1"/>
  <c r="AAZ83" i="30" s="1"/>
  <c r="ABB83" i="30" s="1"/>
  <c r="ABD83" i="30" s="1"/>
  <c r="ABF83" i="30" s="1"/>
  <c r="ABH83" i="30" s="1"/>
  <c r="ABJ83" i="30" s="1"/>
  <c r="ABL83" i="30" s="1"/>
  <c r="ABN83" i="30" s="1"/>
  <c r="ABP83" i="30" s="1"/>
  <c r="ABR83" i="30" s="1"/>
  <c r="ABT83" i="30" s="1"/>
  <c r="ABV83" i="30" s="1"/>
  <c r="ABX83" i="30" s="1"/>
  <c r="ABZ83" i="30" s="1"/>
  <c r="ACB83" i="30" s="1"/>
  <c r="ACD83" i="30" s="1"/>
  <c r="ACF83" i="30" s="1"/>
  <c r="ACH83" i="30" s="1"/>
  <c r="ACJ83" i="30" s="1"/>
  <c r="ACL83" i="30" s="1"/>
  <c r="ACN83" i="30" s="1"/>
  <c r="ACP83" i="30" s="1"/>
  <c r="ACR83" i="30" s="1"/>
  <c r="ACT83" i="30" s="1"/>
  <c r="ACV83" i="30" s="1"/>
  <c r="ACX83" i="30" s="1"/>
  <c r="ACZ83" i="30" s="1"/>
  <c r="ADB83" i="30" s="1"/>
  <c r="ADD83" i="30" s="1"/>
  <c r="ADF83" i="30" s="1"/>
  <c r="ADH83" i="30" s="1"/>
  <c r="ADJ83" i="30" s="1"/>
  <c r="ADL83" i="30" s="1"/>
  <c r="ADN83" i="30" s="1"/>
  <c r="ADP83" i="30" s="1"/>
  <c r="ADR83" i="30" s="1"/>
  <c r="ADT83" i="30" s="1"/>
  <c r="ADV83" i="30" s="1"/>
  <c r="ADX83" i="30" s="1"/>
  <c r="ADZ83" i="30" s="1"/>
  <c r="AEB83" i="30" s="1"/>
  <c r="AED83" i="30" s="1"/>
  <c r="AEF83" i="30" s="1"/>
  <c r="AEH83" i="30" s="1"/>
  <c r="AEJ83" i="30" s="1"/>
  <c r="AEL83" i="30" s="1"/>
  <c r="AEN83" i="30" s="1"/>
  <c r="AEP83" i="30" s="1"/>
  <c r="AER83" i="30" s="1"/>
  <c r="AET83" i="30" s="1"/>
  <c r="AEV83" i="30" s="1"/>
  <c r="AEX83" i="30" s="1"/>
  <c r="AEZ83" i="30" s="1"/>
  <c r="AFB83" i="30" s="1"/>
  <c r="AFD83" i="30" s="1"/>
  <c r="AFF83" i="30" s="1"/>
  <c r="AFH83" i="30" s="1"/>
  <c r="AFJ83" i="30" s="1"/>
  <c r="AFL83" i="30" s="1"/>
  <c r="AFN83" i="30" s="1"/>
  <c r="AFP83" i="30" s="1"/>
  <c r="AFR83" i="30" s="1"/>
  <c r="AFT83" i="30" s="1"/>
  <c r="AFV83" i="30" s="1"/>
  <c r="AFX83" i="30" s="1"/>
  <c r="AFZ83" i="30" s="1"/>
  <c r="AGB83" i="30" s="1"/>
  <c r="AGD83" i="30" s="1"/>
  <c r="AGF83" i="30" s="1"/>
  <c r="AGH83" i="30" s="1"/>
  <c r="AGJ83" i="30" s="1"/>
  <c r="AGL83" i="30" s="1"/>
  <c r="AGN83" i="30" s="1"/>
  <c r="AGP83" i="30" s="1"/>
  <c r="AGR83" i="30" s="1"/>
  <c r="AGT83" i="30" s="1"/>
  <c r="AGV83" i="30" s="1"/>
  <c r="AGX83" i="30" s="1"/>
  <c r="AGZ83" i="30" s="1"/>
  <c r="AHB83" i="30" s="1"/>
  <c r="AHD83" i="30" s="1"/>
  <c r="AHF83" i="30" s="1"/>
  <c r="AHH83" i="30" s="1"/>
  <c r="AHJ83" i="30" s="1"/>
  <c r="AHL83" i="30" s="1"/>
  <c r="AHN83" i="30" s="1"/>
  <c r="AHP83" i="30" s="1"/>
  <c r="AHR83" i="30" s="1"/>
  <c r="AHT83" i="30" s="1"/>
  <c r="AHV83" i="30" s="1"/>
  <c r="AHX83" i="30" s="1"/>
  <c r="AHZ83" i="30" s="1"/>
  <c r="AIB83" i="30" s="1"/>
  <c r="AID83" i="30" s="1"/>
  <c r="AIF83" i="30" s="1"/>
  <c r="AIH83" i="30" s="1"/>
  <c r="AIJ83" i="30" s="1"/>
  <c r="AIL83" i="30" s="1"/>
  <c r="AIN83" i="30" s="1"/>
  <c r="AIP83" i="30" s="1"/>
  <c r="AIR83" i="30" s="1"/>
  <c r="AIT83" i="30" s="1"/>
  <c r="AIV83" i="30" s="1"/>
  <c r="AIX83" i="30" s="1"/>
  <c r="AIZ83" i="30" s="1"/>
  <c r="AJB83" i="30" s="1"/>
  <c r="AJD83" i="30" s="1"/>
  <c r="AJF83" i="30" s="1"/>
  <c r="AJH83" i="30" s="1"/>
  <c r="AJJ83" i="30" s="1"/>
  <c r="AJL83" i="30" s="1"/>
  <c r="AJN83" i="30" s="1"/>
  <c r="AJP83" i="30" s="1"/>
  <c r="AJR83" i="30" s="1"/>
  <c r="AJT83" i="30" s="1"/>
  <c r="AJV83" i="30" s="1"/>
  <c r="AJX83" i="30" s="1"/>
  <c r="AJZ83" i="30" s="1"/>
  <c r="AKB83" i="30" s="1"/>
  <c r="AKD83" i="30" s="1"/>
  <c r="AKF83" i="30" s="1"/>
  <c r="AKH83" i="30" s="1"/>
  <c r="AKJ83" i="30" s="1"/>
  <c r="AKL83" i="30" s="1"/>
  <c r="AKN83" i="30" s="1"/>
  <c r="AKP83" i="30" s="1"/>
  <c r="AKR83" i="30" s="1"/>
  <c r="AKT83" i="30" s="1"/>
  <c r="AKV83" i="30" s="1"/>
  <c r="AKX83" i="30" s="1"/>
  <c r="AKZ83" i="30" s="1"/>
  <c r="ALB83" i="30" s="1"/>
  <c r="ALD83" i="30" s="1"/>
  <c r="ALF83" i="30" s="1"/>
  <c r="ALH83" i="30" s="1"/>
  <c r="ALJ83" i="30" s="1"/>
  <c r="ALL83" i="30" s="1"/>
  <c r="ALN83" i="30" s="1"/>
  <c r="ALP83" i="30" s="1"/>
  <c r="ALR83" i="30" s="1"/>
  <c r="ALT83" i="30" s="1"/>
  <c r="ALV83" i="30" s="1"/>
  <c r="ALX83" i="30" s="1"/>
  <c r="ALZ83" i="30" s="1"/>
  <c r="AMB83" i="30" s="1"/>
  <c r="AMD83" i="30" s="1"/>
  <c r="AMF83" i="30" s="1"/>
  <c r="AMH83" i="30" s="1"/>
  <c r="AMJ83" i="30" s="1"/>
  <c r="AML83" i="30" s="1"/>
  <c r="AMN83" i="30" s="1"/>
  <c r="AMP83" i="30" s="1"/>
  <c r="AMR83" i="30" s="1"/>
  <c r="AMT83" i="30" s="1"/>
  <c r="AMV83" i="30" s="1"/>
  <c r="AMX83" i="30" s="1"/>
  <c r="AMZ83" i="30" s="1"/>
  <c r="ANB83" i="30" s="1"/>
  <c r="AND83" i="30" s="1"/>
  <c r="ANF83" i="30" s="1"/>
  <c r="ANH83" i="30" s="1"/>
  <c r="ANJ83" i="30" s="1"/>
  <c r="ANL83" i="30" s="1"/>
  <c r="ANN83" i="30" s="1"/>
  <c r="ANP83" i="30" s="1"/>
  <c r="ANR83" i="30" s="1"/>
  <c r="ANT83" i="30" s="1"/>
  <c r="ANV83" i="30" s="1"/>
  <c r="ANX83" i="30" s="1"/>
  <c r="ANZ83" i="30" s="1"/>
  <c r="AOB83" i="30" s="1"/>
  <c r="AOD83" i="30" s="1"/>
  <c r="AOF83" i="30" s="1"/>
  <c r="AOH83" i="30" s="1"/>
  <c r="AOJ83" i="30" s="1"/>
  <c r="AOL83" i="30" s="1"/>
  <c r="AON83" i="30" s="1"/>
  <c r="AOP83" i="30" s="1"/>
  <c r="AOR83" i="30" s="1"/>
  <c r="AOT83" i="30" s="1"/>
  <c r="AOV83" i="30" s="1"/>
  <c r="AOX83" i="30" s="1"/>
  <c r="AOZ83" i="30" s="1"/>
  <c r="APB83" i="30" s="1"/>
  <c r="APD83" i="30" s="1"/>
  <c r="APF83" i="30" s="1"/>
  <c r="APH83" i="30" s="1"/>
  <c r="APJ83" i="30" s="1"/>
  <c r="APL83" i="30" s="1"/>
  <c r="APN83" i="30" s="1"/>
  <c r="APP83" i="30" s="1"/>
  <c r="APR83" i="30" s="1"/>
  <c r="APT83" i="30" s="1"/>
  <c r="APV83" i="30" s="1"/>
  <c r="APX83" i="30" s="1"/>
  <c r="APZ83" i="30" s="1"/>
  <c r="AQB83" i="30" s="1"/>
  <c r="AQD83" i="30" s="1"/>
  <c r="AQF83" i="30" s="1"/>
  <c r="AQH83" i="30" s="1"/>
  <c r="AQJ83" i="30" s="1"/>
  <c r="AQL83" i="30" s="1"/>
  <c r="AQN83" i="30" s="1"/>
  <c r="AQP83" i="30" s="1"/>
  <c r="AQR83" i="30" s="1"/>
  <c r="AQT83" i="30" s="1"/>
  <c r="AQV83" i="30" s="1"/>
  <c r="AQX83" i="30" s="1"/>
  <c r="AQZ83" i="30" s="1"/>
  <c r="ARB83" i="30" s="1"/>
  <c r="ARD83" i="30" s="1"/>
  <c r="ARF83" i="30" s="1"/>
  <c r="ARH83" i="30" s="1"/>
  <c r="ARJ83" i="30" s="1"/>
  <c r="ARL83" i="30" s="1"/>
  <c r="ARN83" i="30" s="1"/>
  <c r="ARP83" i="30" s="1"/>
  <c r="ARR83" i="30" s="1"/>
  <c r="ART83" i="30" s="1"/>
  <c r="ARV83" i="30" s="1"/>
  <c r="ARX83" i="30" s="1"/>
  <c r="ARZ83" i="30" s="1"/>
  <c r="ASB83" i="30" s="1"/>
  <c r="ASD83" i="30" s="1"/>
  <c r="ASF83" i="30" s="1"/>
  <c r="ASH83" i="30" s="1"/>
  <c r="ASJ83" i="30" s="1"/>
  <c r="ASL83" i="30" s="1"/>
  <c r="ASN83" i="30" s="1"/>
  <c r="ASP83" i="30" s="1"/>
  <c r="ASR83" i="30" s="1"/>
  <c r="AST83" i="30" s="1"/>
  <c r="ASV83" i="30" s="1"/>
  <c r="ASX83" i="30" s="1"/>
  <c r="ASZ83" i="30" s="1"/>
  <c r="ATB83" i="30" s="1"/>
  <c r="ATD83" i="30" s="1"/>
  <c r="ATF83" i="30" s="1"/>
  <c r="ATH83" i="30" s="1"/>
  <c r="ATJ83" i="30" s="1"/>
  <c r="ATL83" i="30" s="1"/>
  <c r="ATN83" i="30" s="1"/>
  <c r="ATP83" i="30" s="1"/>
  <c r="ATR83" i="30" s="1"/>
  <c r="ATT83" i="30" s="1"/>
  <c r="ATV83" i="30" s="1"/>
  <c r="ATX83" i="30" s="1"/>
  <c r="ATZ83" i="30" s="1"/>
  <c r="AUB83" i="30" s="1"/>
  <c r="AUD83" i="30" s="1"/>
  <c r="AUF83" i="30" s="1"/>
  <c r="AUH83" i="30" s="1"/>
  <c r="AUJ83" i="30" s="1"/>
  <c r="AUL83" i="30" s="1"/>
  <c r="AUN83" i="30" s="1"/>
  <c r="AUP83" i="30" s="1"/>
  <c r="AUR83" i="30" s="1"/>
  <c r="AUT83" i="30" s="1"/>
  <c r="AUV83" i="30" s="1"/>
  <c r="AUX83" i="30" s="1"/>
  <c r="AUZ83" i="30" s="1"/>
  <c r="AVB83" i="30" s="1"/>
  <c r="AVD83" i="30" s="1"/>
  <c r="AVF83" i="30" s="1"/>
  <c r="AVH83" i="30" s="1"/>
  <c r="AVJ83" i="30" s="1"/>
  <c r="AVL83" i="30" s="1"/>
  <c r="AVN83" i="30" s="1"/>
  <c r="AVP83" i="30" s="1"/>
  <c r="AVR83" i="30" s="1"/>
  <c r="AVT83" i="30" s="1"/>
  <c r="AVV83" i="30" s="1"/>
  <c r="AVX83" i="30" s="1"/>
  <c r="AVZ83" i="30" s="1"/>
  <c r="AWB83" i="30" s="1"/>
  <c r="AWD83" i="30" s="1"/>
  <c r="AWF83" i="30" s="1"/>
  <c r="AWH83" i="30" s="1"/>
  <c r="AWJ83" i="30" s="1"/>
  <c r="AWL83" i="30" s="1"/>
  <c r="AWN83" i="30" s="1"/>
  <c r="AWP83" i="30" s="1"/>
  <c r="AWR83" i="30" s="1"/>
  <c r="AWT83" i="30" s="1"/>
  <c r="AWV83" i="30" s="1"/>
  <c r="AWX83" i="30" s="1"/>
  <c r="AWZ83" i="30" s="1"/>
  <c r="AXB83" i="30" s="1"/>
  <c r="AXD83" i="30" s="1"/>
  <c r="AXF83" i="30" s="1"/>
  <c r="AXH83" i="30" s="1"/>
  <c r="AXJ83" i="30" s="1"/>
  <c r="AXL83" i="30" s="1"/>
  <c r="AXN83" i="30" s="1"/>
  <c r="AXP83" i="30" s="1"/>
  <c r="AXR83" i="30" s="1"/>
  <c r="AXT83" i="30" s="1"/>
  <c r="AXV83" i="30" s="1"/>
  <c r="AXX83" i="30" s="1"/>
  <c r="AXZ83" i="30" s="1"/>
  <c r="AYB83" i="30" s="1"/>
  <c r="AYD83" i="30" s="1"/>
  <c r="AYF83" i="30" s="1"/>
  <c r="AYH83" i="30" s="1"/>
  <c r="AYJ83" i="30" s="1"/>
  <c r="AYL83" i="30" s="1"/>
  <c r="AYN83" i="30" s="1"/>
  <c r="AYP83" i="30" s="1"/>
  <c r="AYR83" i="30" s="1"/>
  <c r="AYT83" i="30" s="1"/>
  <c r="AYV83" i="30" s="1"/>
  <c r="AYX83" i="30" s="1"/>
  <c r="AYZ83" i="30" s="1"/>
  <c r="AZB83" i="30" s="1"/>
  <c r="AZD83" i="30" s="1"/>
  <c r="AZF83" i="30" s="1"/>
  <c r="AZH83" i="30" s="1"/>
  <c r="AZJ83" i="30" s="1"/>
  <c r="AZL83" i="30" s="1"/>
  <c r="AZN83" i="30" s="1"/>
  <c r="AZP83" i="30" s="1"/>
  <c r="AZR83" i="30" s="1"/>
  <c r="AZT83" i="30" s="1"/>
  <c r="AZV83" i="30" s="1"/>
  <c r="AZX83" i="30" s="1"/>
  <c r="AZZ83" i="30" s="1"/>
  <c r="BAB83" i="30" s="1"/>
  <c r="BAD83" i="30" s="1"/>
  <c r="BAF83" i="30" s="1"/>
  <c r="BAH83" i="30" s="1"/>
  <c r="BAJ83" i="30" s="1"/>
  <c r="BAL83" i="30" s="1"/>
  <c r="BAN83" i="30" s="1"/>
  <c r="BAP83" i="30" s="1"/>
  <c r="BAR83" i="30" s="1"/>
  <c r="BAT83" i="30" s="1"/>
  <c r="BAV83" i="30" s="1"/>
  <c r="BAX83" i="30" s="1"/>
  <c r="BAZ83" i="30" s="1"/>
  <c r="BBB83" i="30" s="1"/>
  <c r="BBD83" i="30" s="1"/>
  <c r="BBF83" i="30" s="1"/>
  <c r="BBH83" i="30" s="1"/>
  <c r="BBJ83" i="30" s="1"/>
  <c r="BBL83" i="30" s="1"/>
  <c r="BBN83" i="30" s="1"/>
  <c r="BBP83" i="30" s="1"/>
  <c r="BBR83" i="30" s="1"/>
  <c r="BBT83" i="30" s="1"/>
  <c r="BBV83" i="30" s="1"/>
  <c r="BBX83" i="30" s="1"/>
  <c r="BBZ83" i="30" s="1"/>
  <c r="BCB83" i="30" s="1"/>
  <c r="BCD83" i="30" s="1"/>
  <c r="BCF83" i="30" s="1"/>
  <c r="BCH83" i="30" s="1"/>
  <c r="BCJ83" i="30" s="1"/>
  <c r="BCL83" i="30" s="1"/>
  <c r="BCN83" i="30" s="1"/>
  <c r="BCP83" i="30" s="1"/>
  <c r="BCR83" i="30" s="1"/>
  <c r="BCT83" i="30" s="1"/>
  <c r="BCV83" i="30" s="1"/>
  <c r="BCX83" i="30" s="1"/>
  <c r="BCZ83" i="30" s="1"/>
  <c r="BDB83" i="30" s="1"/>
  <c r="BDD83" i="30" s="1"/>
  <c r="BDF83" i="30" s="1"/>
  <c r="BDH83" i="30" s="1"/>
  <c r="BDJ83" i="30" s="1"/>
  <c r="BDL83" i="30" s="1"/>
  <c r="BDN83" i="30" s="1"/>
  <c r="BDP83" i="30" s="1"/>
  <c r="BDR83" i="30" s="1"/>
  <c r="BDT83" i="30" s="1"/>
  <c r="BDV83" i="30" s="1"/>
  <c r="BDX83" i="30" s="1"/>
  <c r="BDZ83" i="30" s="1"/>
  <c r="BEB83" i="30" s="1"/>
  <c r="BED83" i="30" s="1"/>
  <c r="BEF83" i="30" s="1"/>
  <c r="BEH83" i="30" s="1"/>
  <c r="BEJ83" i="30" s="1"/>
  <c r="BEL83" i="30" s="1"/>
  <c r="BEN83" i="30" s="1"/>
  <c r="BEP83" i="30" s="1"/>
  <c r="BER83" i="30" s="1"/>
  <c r="BET83" i="30" s="1"/>
  <c r="BEV83" i="30" s="1"/>
  <c r="BEX83" i="30" s="1"/>
  <c r="BEZ83" i="30" s="1"/>
  <c r="BFB83" i="30" s="1"/>
  <c r="BFD83" i="30" s="1"/>
  <c r="BFF83" i="30" s="1"/>
  <c r="BFH83" i="30" s="1"/>
  <c r="BFJ83" i="30" s="1"/>
  <c r="BFL83" i="30" s="1"/>
  <c r="BFN83" i="30" s="1"/>
  <c r="BFP83" i="30" s="1"/>
  <c r="BFR83" i="30" s="1"/>
  <c r="BFT83" i="30" s="1"/>
  <c r="BFV83" i="30" s="1"/>
  <c r="BFX83" i="30" s="1"/>
  <c r="BFZ83" i="30" s="1"/>
  <c r="BGB83" i="30" s="1"/>
  <c r="BGD83" i="30" s="1"/>
  <c r="BGF83" i="30" s="1"/>
  <c r="BGH83" i="30" s="1"/>
  <c r="BGJ83" i="30" s="1"/>
  <c r="BGL83" i="30" s="1"/>
  <c r="BGN83" i="30" s="1"/>
  <c r="BGP83" i="30" s="1"/>
  <c r="BGR83" i="30" s="1"/>
  <c r="BGT83" i="30" s="1"/>
  <c r="BGV83" i="30" s="1"/>
  <c r="BGX83" i="30" s="1"/>
  <c r="BGZ83" i="30" s="1"/>
  <c r="BHB83" i="30" s="1"/>
  <c r="BHD83" i="30" s="1"/>
  <c r="BHF83" i="30" s="1"/>
  <c r="BHH83" i="30" s="1"/>
  <c r="BHJ83" i="30" s="1"/>
  <c r="BHL83" i="30" s="1"/>
  <c r="BHN83" i="30" s="1"/>
  <c r="BHP83" i="30" s="1"/>
  <c r="BHR83" i="30" s="1"/>
  <c r="BHT83" i="30" s="1"/>
  <c r="BHV83" i="30" s="1"/>
  <c r="BHX83" i="30" s="1"/>
  <c r="BHZ83" i="30" s="1"/>
  <c r="BIB83" i="30" s="1"/>
  <c r="BID83" i="30" s="1"/>
  <c r="BIF83" i="30" s="1"/>
  <c r="BIH83" i="30" s="1"/>
  <c r="BIJ83" i="30" s="1"/>
  <c r="BIL83" i="30" s="1"/>
  <c r="BIN83" i="30" s="1"/>
  <c r="BIP83" i="30" s="1"/>
  <c r="BIR83" i="30" s="1"/>
  <c r="BIT83" i="30" s="1"/>
  <c r="BIV83" i="30" s="1"/>
  <c r="BIX83" i="30" s="1"/>
  <c r="BIZ83" i="30" s="1"/>
  <c r="BJB83" i="30" s="1"/>
  <c r="BJD83" i="30" s="1"/>
  <c r="BJF83" i="30" s="1"/>
  <c r="BJH83" i="30" s="1"/>
  <c r="BJJ83" i="30" s="1"/>
  <c r="BJL83" i="30" s="1"/>
  <c r="BJN83" i="30" s="1"/>
  <c r="BJP83" i="30" s="1"/>
  <c r="BJR83" i="30" s="1"/>
  <c r="BJT83" i="30" s="1"/>
  <c r="BJV83" i="30" s="1"/>
  <c r="BJX83" i="30" s="1"/>
  <c r="BJZ83" i="30" s="1"/>
  <c r="BKB83" i="30" s="1"/>
  <c r="BKD83" i="30" s="1"/>
  <c r="BKF83" i="30" s="1"/>
  <c r="BKH83" i="30" s="1"/>
  <c r="BKJ83" i="30" s="1"/>
  <c r="BKL83" i="30" s="1"/>
  <c r="BKN83" i="30" s="1"/>
  <c r="BKP83" i="30" s="1"/>
  <c r="BKR83" i="30" s="1"/>
  <c r="BKT83" i="30" s="1"/>
  <c r="BKV83" i="30" s="1"/>
  <c r="BKX83" i="30" s="1"/>
  <c r="BKZ83" i="30" s="1"/>
  <c r="BLB83" i="30" s="1"/>
  <c r="BLD83" i="30" s="1"/>
  <c r="BLF83" i="30" s="1"/>
  <c r="BLH83" i="30" s="1"/>
  <c r="BLJ83" i="30" s="1"/>
  <c r="BLL83" i="30" s="1"/>
  <c r="BLN83" i="30" s="1"/>
  <c r="BLP83" i="30" s="1"/>
  <c r="BLR83" i="30" s="1"/>
  <c r="BLT83" i="30" s="1"/>
  <c r="BLV83" i="30" s="1"/>
  <c r="BLX83" i="30" s="1"/>
  <c r="BLZ83" i="30" s="1"/>
  <c r="BMB83" i="30" s="1"/>
  <c r="BMD83" i="30" s="1"/>
  <c r="BMF83" i="30" s="1"/>
  <c r="BMH83" i="30" s="1"/>
  <c r="BMJ83" i="30" s="1"/>
  <c r="BML83" i="30" s="1"/>
  <c r="BMN83" i="30" s="1"/>
  <c r="BMP83" i="30" s="1"/>
  <c r="BMR83" i="30" s="1"/>
  <c r="BMT83" i="30" s="1"/>
  <c r="BMV83" i="30" s="1"/>
  <c r="BMX83" i="30" s="1"/>
  <c r="BMZ83" i="30" s="1"/>
  <c r="BNB83" i="30" s="1"/>
  <c r="BND83" i="30" s="1"/>
  <c r="BNF83" i="30" s="1"/>
  <c r="BNH83" i="30" s="1"/>
  <c r="BNJ83" i="30" s="1"/>
  <c r="BNL83" i="30" s="1"/>
  <c r="BNN83" i="30" s="1"/>
  <c r="BNP83" i="30" s="1"/>
  <c r="BNR83" i="30" s="1"/>
  <c r="BNT83" i="30" s="1"/>
  <c r="BNV83" i="30" s="1"/>
  <c r="BNX83" i="30" s="1"/>
  <c r="BNZ83" i="30" s="1"/>
  <c r="BOB83" i="30" s="1"/>
  <c r="BOD83" i="30" s="1"/>
  <c r="BOF83" i="30" s="1"/>
  <c r="BOH83" i="30" s="1"/>
  <c r="BOJ83" i="30" s="1"/>
  <c r="BOL83" i="30" s="1"/>
  <c r="BON83" i="30" s="1"/>
  <c r="BOP83" i="30" s="1"/>
  <c r="BOR83" i="30" s="1"/>
  <c r="BOT83" i="30" s="1"/>
  <c r="BOV83" i="30" s="1"/>
  <c r="BOX83" i="30" s="1"/>
  <c r="BOZ83" i="30" s="1"/>
  <c r="BPB83" i="30" s="1"/>
  <c r="BPD83" i="30" s="1"/>
  <c r="BPF83" i="30" s="1"/>
  <c r="BPH83" i="30" s="1"/>
  <c r="BPJ83" i="30" s="1"/>
  <c r="BPL83" i="30" s="1"/>
  <c r="BPN83" i="30" s="1"/>
  <c r="BPP83" i="30" s="1"/>
  <c r="BPR83" i="30" s="1"/>
  <c r="BPT83" i="30" s="1"/>
  <c r="BPV83" i="30" s="1"/>
  <c r="BPX83" i="30" s="1"/>
  <c r="BPZ83" i="30" s="1"/>
  <c r="BQB83" i="30" s="1"/>
  <c r="BQD83" i="30" s="1"/>
  <c r="BQF83" i="30" s="1"/>
  <c r="BQH83" i="30" s="1"/>
  <c r="BQJ83" i="30" s="1"/>
  <c r="BQL83" i="30" s="1"/>
  <c r="BQN83" i="30" s="1"/>
  <c r="BQP83" i="30" s="1"/>
  <c r="BQR83" i="30" s="1"/>
  <c r="BQT83" i="30" s="1"/>
  <c r="BQV83" i="30" s="1"/>
  <c r="BQX83" i="30" s="1"/>
  <c r="BQZ83" i="30" s="1"/>
  <c r="BRB83" i="30" s="1"/>
  <c r="BRD83" i="30" s="1"/>
  <c r="BRF83" i="30" s="1"/>
  <c r="BRH83" i="30" s="1"/>
  <c r="BRJ83" i="30" s="1"/>
  <c r="BRL83" i="30" s="1"/>
  <c r="BRN83" i="30" s="1"/>
  <c r="BRP83" i="30" s="1"/>
  <c r="BRR83" i="30" s="1"/>
  <c r="BRT83" i="30" s="1"/>
  <c r="BRV83" i="30" s="1"/>
  <c r="BRX83" i="30" s="1"/>
  <c r="BRZ83" i="30" s="1"/>
  <c r="BSB83" i="30" s="1"/>
  <c r="BSD83" i="30" s="1"/>
  <c r="BSF83" i="30" s="1"/>
  <c r="BSH83" i="30" s="1"/>
  <c r="BSJ83" i="30" s="1"/>
  <c r="BSL83" i="30" s="1"/>
  <c r="BSN83" i="30" s="1"/>
  <c r="BSP83" i="30" s="1"/>
  <c r="BSR83" i="30" s="1"/>
  <c r="BST83" i="30" s="1"/>
  <c r="BSV83" i="30" s="1"/>
  <c r="BSX83" i="30" s="1"/>
  <c r="BSZ83" i="30" s="1"/>
  <c r="BTB83" i="30" s="1"/>
  <c r="BTD83" i="30" s="1"/>
  <c r="BTF83" i="30" s="1"/>
  <c r="BTH83" i="30" s="1"/>
  <c r="BTJ83" i="30" s="1"/>
  <c r="BTL83" i="30" s="1"/>
  <c r="BTN83" i="30" s="1"/>
  <c r="BTP83" i="30" s="1"/>
  <c r="BTR83" i="30" s="1"/>
  <c r="BTT83" i="30" s="1"/>
  <c r="BTV83" i="30" s="1"/>
  <c r="BTX83" i="30" s="1"/>
  <c r="BTZ83" i="30" s="1"/>
  <c r="BUB83" i="30" s="1"/>
  <c r="BUD83" i="30" s="1"/>
  <c r="BUF83" i="30" s="1"/>
  <c r="BUH83" i="30" s="1"/>
  <c r="BUJ83" i="30" s="1"/>
  <c r="BUL83" i="30" s="1"/>
  <c r="BUN83" i="30" s="1"/>
  <c r="BUP83" i="30" s="1"/>
  <c r="BUR83" i="30" s="1"/>
  <c r="BUT83" i="30" s="1"/>
  <c r="BUV83" i="30" s="1"/>
  <c r="BUX83" i="30" s="1"/>
  <c r="BUZ83" i="30" s="1"/>
  <c r="BVB83" i="30" s="1"/>
  <c r="BVD83" i="30" s="1"/>
  <c r="BVF83" i="30" s="1"/>
  <c r="BVH83" i="30" s="1"/>
  <c r="BVJ83" i="30" s="1"/>
  <c r="BVL83" i="30" s="1"/>
  <c r="BVN83" i="30" s="1"/>
  <c r="BVP83" i="30" s="1"/>
  <c r="BVR83" i="30" s="1"/>
  <c r="BVT83" i="30" s="1"/>
  <c r="BVV83" i="30" s="1"/>
  <c r="BVX83" i="30" s="1"/>
  <c r="BVZ83" i="30" s="1"/>
  <c r="BWB83" i="30" s="1"/>
  <c r="BWD83" i="30" s="1"/>
  <c r="BWF83" i="30" s="1"/>
  <c r="BWH83" i="30" s="1"/>
  <c r="BWJ83" i="30" s="1"/>
  <c r="BWL83" i="30" s="1"/>
  <c r="BWN83" i="30" s="1"/>
  <c r="BWP83" i="30" s="1"/>
  <c r="BWR83" i="30" s="1"/>
  <c r="BWT83" i="30" s="1"/>
  <c r="BWV83" i="30" s="1"/>
  <c r="BWX83" i="30" s="1"/>
  <c r="BWZ83" i="30" s="1"/>
  <c r="BXB83" i="30" s="1"/>
  <c r="BXD83" i="30" s="1"/>
  <c r="BXF83" i="30" s="1"/>
  <c r="BXH83" i="30" s="1"/>
  <c r="BXJ83" i="30" s="1"/>
  <c r="BXL83" i="30" s="1"/>
  <c r="BXN83" i="30" s="1"/>
  <c r="BXP83" i="30" s="1"/>
  <c r="BXR83" i="30" s="1"/>
  <c r="BXT83" i="30" s="1"/>
  <c r="BXV83" i="30" s="1"/>
  <c r="BXX83" i="30" s="1"/>
  <c r="BXZ83" i="30" s="1"/>
  <c r="BYB83" i="30" s="1"/>
  <c r="BYD83" i="30" s="1"/>
  <c r="BYF83" i="30" s="1"/>
  <c r="BYH83" i="30" s="1"/>
  <c r="BYJ83" i="30" s="1"/>
  <c r="BYL83" i="30" s="1"/>
  <c r="BYN83" i="30" s="1"/>
  <c r="BYP83" i="30" s="1"/>
  <c r="BYR83" i="30" s="1"/>
  <c r="BYT83" i="30" s="1"/>
  <c r="BYV83" i="30" s="1"/>
  <c r="BYX83" i="30" s="1"/>
  <c r="BYZ83" i="30" s="1"/>
  <c r="BZB83" i="30" s="1"/>
  <c r="BZD83" i="30" s="1"/>
  <c r="BZF83" i="30" s="1"/>
  <c r="BZH83" i="30" s="1"/>
  <c r="BZJ83" i="30" s="1"/>
  <c r="BZL83" i="30" s="1"/>
  <c r="BZN83" i="30" s="1"/>
  <c r="BZP83" i="30" s="1"/>
  <c r="BZR83" i="30" s="1"/>
  <c r="BZT83" i="30" s="1"/>
  <c r="BZV83" i="30" s="1"/>
  <c r="BZX83" i="30" s="1"/>
  <c r="BZZ83" i="30" s="1"/>
  <c r="CAB83" i="30" s="1"/>
  <c r="CAD83" i="30" s="1"/>
  <c r="CAF83" i="30" s="1"/>
  <c r="CAH83" i="30" s="1"/>
  <c r="CAJ83" i="30" s="1"/>
  <c r="CAL83" i="30" s="1"/>
  <c r="CAN83" i="30" s="1"/>
  <c r="CAP83" i="30" s="1"/>
  <c r="CAR83" i="30" s="1"/>
  <c r="CAT83" i="30" s="1"/>
  <c r="CAV83" i="30" s="1"/>
  <c r="CAX83" i="30" s="1"/>
  <c r="CAZ83" i="30" s="1"/>
  <c r="CBB83" i="30" s="1"/>
  <c r="CBD83" i="30" s="1"/>
  <c r="CBF83" i="30" s="1"/>
  <c r="CBH83" i="30" s="1"/>
  <c r="CBJ83" i="30" s="1"/>
  <c r="CBL83" i="30" s="1"/>
  <c r="CBN83" i="30" s="1"/>
  <c r="CBP83" i="30" s="1"/>
  <c r="CBR83" i="30" s="1"/>
  <c r="CBT83" i="30" s="1"/>
  <c r="CBV83" i="30" s="1"/>
  <c r="CBX83" i="30" s="1"/>
  <c r="CBZ83" i="30" s="1"/>
  <c r="CCB83" i="30" s="1"/>
  <c r="CCD83" i="30" s="1"/>
  <c r="CCF83" i="30" s="1"/>
  <c r="CCH83" i="30" s="1"/>
  <c r="CCJ83" i="30" s="1"/>
  <c r="CCL83" i="30" s="1"/>
  <c r="CCN83" i="30" s="1"/>
  <c r="CCP83" i="30" s="1"/>
  <c r="CCR83" i="30" s="1"/>
  <c r="CCT83" i="30" s="1"/>
  <c r="CCV83" i="30" s="1"/>
  <c r="CCX83" i="30" s="1"/>
  <c r="CCZ83" i="30" s="1"/>
  <c r="CDB83" i="30" s="1"/>
  <c r="CDD83" i="30" s="1"/>
  <c r="CDF83" i="30" s="1"/>
  <c r="CDH83" i="30" s="1"/>
  <c r="CDJ83" i="30" s="1"/>
  <c r="CDL83" i="30" s="1"/>
  <c r="CDN83" i="30" s="1"/>
  <c r="CDP83" i="30" s="1"/>
  <c r="CDR83" i="30" s="1"/>
  <c r="CDT83" i="30" s="1"/>
  <c r="CDV83" i="30" s="1"/>
  <c r="CDX83" i="30" s="1"/>
  <c r="CDZ83" i="30" s="1"/>
  <c r="CEB83" i="30" s="1"/>
  <c r="CED83" i="30" s="1"/>
  <c r="CEF83" i="30" s="1"/>
  <c r="CEH83" i="30" s="1"/>
  <c r="CEJ83" i="30" s="1"/>
  <c r="CEL83" i="30" s="1"/>
  <c r="CEN83" i="30" s="1"/>
  <c r="CEP83" i="30" s="1"/>
  <c r="CER83" i="30" s="1"/>
  <c r="CET83" i="30" s="1"/>
  <c r="CEV83" i="30" s="1"/>
  <c r="CEX83" i="30" s="1"/>
  <c r="CEZ83" i="30" s="1"/>
  <c r="CFB83" i="30" s="1"/>
  <c r="CFD83" i="30" s="1"/>
  <c r="CFF83" i="30" s="1"/>
  <c r="CFH83" i="30" s="1"/>
  <c r="CFJ83" i="30" s="1"/>
  <c r="CFL83" i="30" s="1"/>
  <c r="CFN83" i="30" s="1"/>
  <c r="CFP83" i="30" s="1"/>
  <c r="CFR83" i="30" s="1"/>
  <c r="CFT83" i="30" s="1"/>
  <c r="CFV83" i="30" s="1"/>
  <c r="CFX83" i="30" s="1"/>
  <c r="CFZ83" i="30" s="1"/>
  <c r="CGB83" i="30" s="1"/>
  <c r="CGD83" i="30" s="1"/>
  <c r="CGF83" i="30" s="1"/>
  <c r="CGH83" i="30" s="1"/>
  <c r="CGJ83" i="30" s="1"/>
  <c r="CGL83" i="30" s="1"/>
  <c r="CGN83" i="30" s="1"/>
  <c r="CGP83" i="30" s="1"/>
  <c r="CGR83" i="30" s="1"/>
  <c r="CGT83" i="30" s="1"/>
  <c r="CGV83" i="30" s="1"/>
  <c r="CGX83" i="30" s="1"/>
  <c r="CGZ83" i="30" s="1"/>
  <c r="CHB83" i="30" s="1"/>
  <c r="CHD83" i="30" s="1"/>
  <c r="CHF83" i="30" s="1"/>
  <c r="CHH83" i="30" s="1"/>
  <c r="CHJ83" i="30" s="1"/>
  <c r="CHL83" i="30" s="1"/>
  <c r="CHN83" i="30" s="1"/>
  <c r="CHP83" i="30" s="1"/>
  <c r="CHR83" i="30" s="1"/>
  <c r="CHT83" i="30" s="1"/>
  <c r="CHV83" i="30" s="1"/>
  <c r="CHX83" i="30" s="1"/>
  <c r="CHZ83" i="30" s="1"/>
  <c r="CIB83" i="30" s="1"/>
  <c r="CID83" i="30" s="1"/>
  <c r="CIF83" i="30" s="1"/>
  <c r="CIH83" i="30" s="1"/>
  <c r="CIJ83" i="30" s="1"/>
  <c r="CIL83" i="30" s="1"/>
  <c r="CIN83" i="30" s="1"/>
  <c r="CIP83" i="30" s="1"/>
  <c r="CIR83" i="30" s="1"/>
  <c r="CIT83" i="30" s="1"/>
  <c r="CIV83" i="30" s="1"/>
  <c r="CIX83" i="30" s="1"/>
  <c r="CIZ83" i="30" s="1"/>
  <c r="CJB83" i="30" s="1"/>
  <c r="CJD83" i="30" s="1"/>
  <c r="CJF83" i="30" s="1"/>
  <c r="CJH83" i="30" s="1"/>
  <c r="CJJ83" i="30" s="1"/>
  <c r="CJL83" i="30" s="1"/>
  <c r="CJN83" i="30" s="1"/>
  <c r="CJP83" i="30" s="1"/>
  <c r="CJR83" i="30" s="1"/>
  <c r="CJT83" i="30" s="1"/>
  <c r="CJV83" i="30" s="1"/>
  <c r="CJX83" i="30" s="1"/>
  <c r="CJZ83" i="30" s="1"/>
  <c r="CKB83" i="30" s="1"/>
  <c r="CKD83" i="30" s="1"/>
  <c r="CKF83" i="30" s="1"/>
  <c r="CKH83" i="30" s="1"/>
  <c r="CKJ83" i="30" s="1"/>
  <c r="CKL83" i="30" s="1"/>
  <c r="CKN83" i="30" s="1"/>
  <c r="CKP83" i="30" s="1"/>
  <c r="CKR83" i="30" s="1"/>
  <c r="CKT83" i="30" s="1"/>
  <c r="CKV83" i="30" s="1"/>
  <c r="CKX83" i="30" s="1"/>
  <c r="CKZ83" i="30" s="1"/>
  <c r="CLB83" i="30" s="1"/>
  <c r="CLD83" i="30" s="1"/>
  <c r="CLF83" i="30" s="1"/>
  <c r="CLH83" i="30" s="1"/>
  <c r="CLJ83" i="30" s="1"/>
  <c r="CLL83" i="30" s="1"/>
  <c r="CLN83" i="30" s="1"/>
  <c r="CLP83" i="30" s="1"/>
  <c r="CLR83" i="30" s="1"/>
  <c r="CLT83" i="30" s="1"/>
  <c r="CLV83" i="30" s="1"/>
  <c r="CLX83" i="30" s="1"/>
  <c r="CLZ83" i="30" s="1"/>
  <c r="CMB83" i="30" s="1"/>
  <c r="CMD83" i="30" s="1"/>
  <c r="CMF83" i="30" s="1"/>
  <c r="CMH83" i="30" s="1"/>
  <c r="CMJ83" i="30" s="1"/>
  <c r="CML83" i="30" s="1"/>
  <c r="CMN83" i="30" s="1"/>
  <c r="CMP83" i="30" s="1"/>
  <c r="CMR83" i="30" s="1"/>
  <c r="CMT83" i="30" s="1"/>
  <c r="CMV83" i="30" s="1"/>
  <c r="CMX83" i="30" s="1"/>
  <c r="CMZ83" i="30" s="1"/>
  <c r="CNB83" i="30" s="1"/>
  <c r="CND83" i="30" s="1"/>
  <c r="CNF83" i="30" s="1"/>
  <c r="CNH83" i="30" s="1"/>
  <c r="CNJ83" i="30" s="1"/>
  <c r="CNL83" i="30" s="1"/>
  <c r="CNN83" i="30" s="1"/>
  <c r="CNP83" i="30" s="1"/>
  <c r="CNR83" i="30" s="1"/>
  <c r="CNT83" i="30" s="1"/>
  <c r="CNV83" i="30" s="1"/>
  <c r="CNX83" i="30" s="1"/>
  <c r="CNZ83" i="30" s="1"/>
  <c r="COB83" i="30" s="1"/>
  <c r="COD83" i="30" s="1"/>
  <c r="COF83" i="30" s="1"/>
  <c r="COH83" i="30" s="1"/>
  <c r="COJ83" i="30" s="1"/>
  <c r="COL83" i="30" s="1"/>
  <c r="CON83" i="30" s="1"/>
  <c r="COP83" i="30" s="1"/>
  <c r="COR83" i="30" s="1"/>
  <c r="COT83" i="30" s="1"/>
  <c r="COV83" i="30" s="1"/>
  <c r="COX83" i="30" s="1"/>
  <c r="COZ83" i="30" s="1"/>
  <c r="CPB83" i="30" s="1"/>
  <c r="CPD83" i="30" s="1"/>
  <c r="CPF83" i="30" s="1"/>
  <c r="CPH83" i="30" s="1"/>
  <c r="CPJ83" i="30" s="1"/>
  <c r="CPL83" i="30" s="1"/>
  <c r="CPN83" i="30" s="1"/>
  <c r="CPP83" i="30" s="1"/>
  <c r="CPR83" i="30" s="1"/>
  <c r="CPT83" i="30" s="1"/>
  <c r="CPV83" i="30" s="1"/>
  <c r="CPX83" i="30" s="1"/>
  <c r="CPZ83" i="30" s="1"/>
  <c r="CQB83" i="30" s="1"/>
  <c r="CQD83" i="30" s="1"/>
  <c r="CQF83" i="30" s="1"/>
  <c r="CQH83" i="30" s="1"/>
  <c r="CQJ83" i="30" s="1"/>
  <c r="CQL83" i="30" s="1"/>
  <c r="CQN83" i="30" s="1"/>
  <c r="CQP83" i="30" s="1"/>
  <c r="CQR83" i="30" s="1"/>
  <c r="CQT83" i="30" s="1"/>
  <c r="CQV83" i="30" s="1"/>
  <c r="CQX83" i="30" s="1"/>
  <c r="CQZ83" i="30" s="1"/>
  <c r="CRB83" i="30" s="1"/>
  <c r="CRD83" i="30" s="1"/>
  <c r="CRF83" i="30" s="1"/>
  <c r="CRH83" i="30" s="1"/>
  <c r="CRJ83" i="30" s="1"/>
  <c r="CRL83" i="30" s="1"/>
  <c r="CRN83" i="30" s="1"/>
  <c r="CRP83" i="30" s="1"/>
  <c r="CRR83" i="30" s="1"/>
  <c r="CRT83" i="30" s="1"/>
  <c r="CRV83" i="30" s="1"/>
  <c r="CRX83" i="30" s="1"/>
  <c r="CRZ83" i="30" s="1"/>
  <c r="CSB83" i="30" s="1"/>
  <c r="CSD83" i="30" s="1"/>
  <c r="CSF83" i="30" s="1"/>
  <c r="CSH83" i="30" s="1"/>
  <c r="CSJ83" i="30" s="1"/>
  <c r="CSL83" i="30" s="1"/>
  <c r="CSN83" i="30" s="1"/>
  <c r="CSP83" i="30" s="1"/>
  <c r="CSR83" i="30" s="1"/>
  <c r="CST83" i="30" s="1"/>
  <c r="CSV83" i="30" s="1"/>
  <c r="CSX83" i="30" s="1"/>
  <c r="CSZ83" i="30" s="1"/>
  <c r="CTB83" i="30" s="1"/>
  <c r="CTD83" i="30" s="1"/>
  <c r="CTF83" i="30" s="1"/>
  <c r="CTH83" i="30" s="1"/>
  <c r="CTJ83" i="30" s="1"/>
  <c r="CTL83" i="30" s="1"/>
  <c r="CTN83" i="30" s="1"/>
  <c r="CTP83" i="30" s="1"/>
  <c r="CTR83" i="30" s="1"/>
  <c r="CTT83" i="30" s="1"/>
  <c r="CTV83" i="30" s="1"/>
  <c r="CTX83" i="30" s="1"/>
  <c r="CTZ83" i="30" s="1"/>
  <c r="CUB83" i="30" s="1"/>
  <c r="CUD83" i="30" s="1"/>
  <c r="CUF83" i="30" s="1"/>
  <c r="CUH83" i="30" s="1"/>
  <c r="CUJ83" i="30" s="1"/>
  <c r="CUL83" i="30" s="1"/>
  <c r="CUN83" i="30" s="1"/>
  <c r="CUP83" i="30" s="1"/>
  <c r="CUR83" i="30" s="1"/>
  <c r="CUT83" i="30" s="1"/>
  <c r="CUV83" i="30" s="1"/>
  <c r="CUX83" i="30" s="1"/>
  <c r="CUZ83" i="30" s="1"/>
  <c r="CVB83" i="30" s="1"/>
  <c r="CVD83" i="30" s="1"/>
  <c r="CVF83" i="30" s="1"/>
  <c r="CVH83" i="30" s="1"/>
  <c r="CVJ83" i="30" s="1"/>
  <c r="CVL83" i="30" s="1"/>
  <c r="CVN83" i="30" s="1"/>
  <c r="CVP83" i="30" s="1"/>
  <c r="CVR83" i="30" s="1"/>
  <c r="CVT83" i="30" s="1"/>
  <c r="CVV83" i="30" s="1"/>
  <c r="CVX83" i="30" s="1"/>
  <c r="CVZ83" i="30" s="1"/>
  <c r="CWB83" i="30" s="1"/>
  <c r="CWD83" i="30" s="1"/>
  <c r="CWF83" i="30" s="1"/>
  <c r="CWH83" i="30" s="1"/>
  <c r="CWJ83" i="30" s="1"/>
  <c r="CWL83" i="30" s="1"/>
  <c r="CWN83" i="30" s="1"/>
  <c r="CWP83" i="30" s="1"/>
  <c r="CWR83" i="30" s="1"/>
  <c r="CWT83" i="30" s="1"/>
  <c r="CWV83" i="30" s="1"/>
  <c r="CWX83" i="30" s="1"/>
  <c r="CWZ83" i="30" s="1"/>
  <c r="CXB83" i="30" s="1"/>
  <c r="CXD83" i="30" s="1"/>
  <c r="CXF83" i="30" s="1"/>
  <c r="CXH83" i="30" s="1"/>
  <c r="CXJ83" i="30" s="1"/>
  <c r="CXL83" i="30" s="1"/>
  <c r="CXN83" i="30" s="1"/>
  <c r="CXP83" i="30" s="1"/>
  <c r="CXR83" i="30" s="1"/>
  <c r="CXT83" i="30" s="1"/>
  <c r="CXV83" i="30" s="1"/>
  <c r="CXX83" i="30" s="1"/>
  <c r="CXZ83" i="30" s="1"/>
  <c r="CYB83" i="30" s="1"/>
  <c r="CYD83" i="30" s="1"/>
  <c r="CYF83" i="30" s="1"/>
  <c r="CYH83" i="30" s="1"/>
  <c r="CYJ83" i="30" s="1"/>
  <c r="CYL83" i="30" s="1"/>
  <c r="CYN83" i="30" s="1"/>
  <c r="CYP83" i="30" s="1"/>
  <c r="CYR83" i="30" s="1"/>
  <c r="CYT83" i="30" s="1"/>
  <c r="CYV83" i="30" s="1"/>
  <c r="CYX83" i="30" s="1"/>
  <c r="CYZ83" i="30" s="1"/>
  <c r="CZB83" i="30" s="1"/>
  <c r="CZD83" i="30" s="1"/>
  <c r="CZF83" i="30" s="1"/>
  <c r="CZH83" i="30" s="1"/>
  <c r="CZJ83" i="30" s="1"/>
  <c r="CZL83" i="30" s="1"/>
  <c r="CZN83" i="30" s="1"/>
  <c r="CZP83" i="30" s="1"/>
  <c r="CZR83" i="30" s="1"/>
  <c r="CZT83" i="30" s="1"/>
  <c r="CZV83" i="30" s="1"/>
  <c r="CZX83" i="30" s="1"/>
  <c r="CZZ83" i="30" s="1"/>
  <c r="DAB83" i="30" s="1"/>
  <c r="DAD83" i="30" s="1"/>
  <c r="DAF83" i="30" s="1"/>
  <c r="DAH83" i="30" s="1"/>
  <c r="DAJ83" i="30" s="1"/>
  <c r="DAL83" i="30" s="1"/>
  <c r="DAN83" i="30" s="1"/>
  <c r="DAP83" i="30" s="1"/>
  <c r="DAR83" i="30" s="1"/>
  <c r="DAT83" i="30" s="1"/>
  <c r="DAV83" i="30" s="1"/>
  <c r="DAX83" i="30" s="1"/>
  <c r="DAZ83" i="30" s="1"/>
  <c r="DBB83" i="30" s="1"/>
  <c r="DBD83" i="30" s="1"/>
  <c r="DBF83" i="30" s="1"/>
  <c r="DBH83" i="30" s="1"/>
  <c r="DBJ83" i="30" s="1"/>
  <c r="DBL83" i="30" s="1"/>
  <c r="DBN83" i="30" s="1"/>
  <c r="DBP83" i="30" s="1"/>
  <c r="DBR83" i="30" s="1"/>
  <c r="DBT83" i="30" s="1"/>
  <c r="DBV83" i="30" s="1"/>
  <c r="DBX83" i="30" s="1"/>
  <c r="DBZ83" i="30" s="1"/>
  <c r="DCB83" i="30" s="1"/>
  <c r="DCD83" i="30" s="1"/>
  <c r="DCF83" i="30" s="1"/>
  <c r="DCH83" i="30" s="1"/>
  <c r="DCJ83" i="30" s="1"/>
  <c r="DCL83" i="30" s="1"/>
  <c r="DCN83" i="30" s="1"/>
  <c r="DCP83" i="30" s="1"/>
  <c r="DCR83" i="30" s="1"/>
  <c r="DCT83" i="30" s="1"/>
  <c r="DCV83" i="30" s="1"/>
  <c r="DCX83" i="30" s="1"/>
  <c r="DCZ83" i="30" s="1"/>
  <c r="DDB83" i="30" s="1"/>
  <c r="DDD83" i="30" s="1"/>
  <c r="DDF83" i="30" s="1"/>
  <c r="DDH83" i="30" s="1"/>
  <c r="DDJ83" i="30" s="1"/>
  <c r="DDL83" i="30" s="1"/>
  <c r="DDN83" i="30" s="1"/>
  <c r="DDP83" i="30" s="1"/>
  <c r="DDR83" i="30" s="1"/>
  <c r="DDT83" i="30" s="1"/>
  <c r="DDV83" i="30" s="1"/>
  <c r="DDX83" i="30" s="1"/>
  <c r="DDZ83" i="30" s="1"/>
  <c r="DEB83" i="30" s="1"/>
  <c r="DED83" i="30" s="1"/>
  <c r="DEF83" i="30" s="1"/>
  <c r="DEH83" i="30" s="1"/>
  <c r="DEJ83" i="30" s="1"/>
  <c r="DEL83" i="30" s="1"/>
  <c r="DEN83" i="30" s="1"/>
  <c r="DEP83" i="30" s="1"/>
  <c r="DER83" i="30" s="1"/>
  <c r="DET83" i="30" s="1"/>
  <c r="DEV83" i="30" s="1"/>
  <c r="DEX83" i="30" s="1"/>
  <c r="DEZ83" i="30" s="1"/>
  <c r="DFB83" i="30" s="1"/>
  <c r="DFD83" i="30" s="1"/>
  <c r="DFF83" i="30" s="1"/>
  <c r="DFH83" i="30" s="1"/>
  <c r="DFJ83" i="30" s="1"/>
  <c r="DFL83" i="30" s="1"/>
  <c r="DFN83" i="30" s="1"/>
  <c r="DFP83" i="30" s="1"/>
  <c r="DFR83" i="30" s="1"/>
  <c r="DFT83" i="30" s="1"/>
  <c r="DFV83" i="30" s="1"/>
  <c r="DFX83" i="30" s="1"/>
  <c r="DFZ83" i="30" s="1"/>
  <c r="DGB83" i="30" s="1"/>
  <c r="DGD83" i="30" s="1"/>
  <c r="DGF83" i="30" s="1"/>
  <c r="DGH83" i="30" s="1"/>
  <c r="DGJ83" i="30" s="1"/>
  <c r="DGL83" i="30" s="1"/>
  <c r="DGN83" i="30" s="1"/>
  <c r="DGP83" i="30" s="1"/>
  <c r="DGR83" i="30" s="1"/>
  <c r="DGT83" i="30" s="1"/>
  <c r="DGV83" i="30" s="1"/>
  <c r="DGX83" i="30" s="1"/>
  <c r="DGZ83" i="30" s="1"/>
  <c r="DHB83" i="30" s="1"/>
  <c r="DHD83" i="30" s="1"/>
  <c r="DHF83" i="30" s="1"/>
  <c r="DHH83" i="30" s="1"/>
  <c r="DHJ83" i="30" s="1"/>
  <c r="DHL83" i="30" s="1"/>
  <c r="DHN83" i="30" s="1"/>
  <c r="DHP83" i="30" s="1"/>
  <c r="DHR83" i="30" s="1"/>
  <c r="DHT83" i="30" s="1"/>
  <c r="DHV83" i="30" s="1"/>
  <c r="DHX83" i="30" s="1"/>
  <c r="DHZ83" i="30" s="1"/>
  <c r="DIB83" i="30" s="1"/>
  <c r="DID83" i="30" s="1"/>
  <c r="DIF83" i="30" s="1"/>
  <c r="DIH83" i="30" s="1"/>
  <c r="DIJ83" i="30" s="1"/>
  <c r="DIL83" i="30" s="1"/>
  <c r="DIN83" i="30" s="1"/>
  <c r="DIP83" i="30" s="1"/>
  <c r="DIR83" i="30" s="1"/>
  <c r="DIT83" i="30" s="1"/>
  <c r="DIV83" i="30" s="1"/>
  <c r="DIX83" i="30" s="1"/>
  <c r="DIZ83" i="30" s="1"/>
  <c r="DJB83" i="30" s="1"/>
  <c r="DJD83" i="30" s="1"/>
  <c r="DJF83" i="30" s="1"/>
  <c r="DJH83" i="30" s="1"/>
  <c r="DJJ83" i="30" s="1"/>
  <c r="DJL83" i="30" s="1"/>
  <c r="DJN83" i="30" s="1"/>
  <c r="DJP83" i="30" s="1"/>
  <c r="DJR83" i="30" s="1"/>
  <c r="DJT83" i="30" s="1"/>
  <c r="DJV83" i="30" s="1"/>
  <c r="DJX83" i="30" s="1"/>
  <c r="DJZ83" i="30" s="1"/>
  <c r="DKB83" i="30" s="1"/>
  <c r="DKD83" i="30" s="1"/>
  <c r="DKF83" i="30" s="1"/>
  <c r="DKH83" i="30" s="1"/>
  <c r="DKJ83" i="30" s="1"/>
  <c r="DKL83" i="30" s="1"/>
  <c r="DKN83" i="30" s="1"/>
  <c r="DKP83" i="30" s="1"/>
  <c r="DKR83" i="30" s="1"/>
  <c r="DKT83" i="30" s="1"/>
  <c r="DKV83" i="30" s="1"/>
  <c r="DKX83" i="30" s="1"/>
  <c r="DKZ83" i="30" s="1"/>
  <c r="DLB83" i="30" s="1"/>
  <c r="DLD83" i="30" s="1"/>
  <c r="DLF83" i="30" s="1"/>
  <c r="DLH83" i="30" s="1"/>
  <c r="DLJ83" i="30" s="1"/>
  <c r="DLL83" i="30" s="1"/>
  <c r="DLN83" i="30" s="1"/>
  <c r="DLP83" i="30" s="1"/>
  <c r="DLR83" i="30" s="1"/>
  <c r="DLT83" i="30" s="1"/>
  <c r="DLV83" i="30" s="1"/>
  <c r="DLX83" i="30" s="1"/>
  <c r="DLZ83" i="30" s="1"/>
  <c r="DMB83" i="30" s="1"/>
  <c r="DMD83" i="30" s="1"/>
  <c r="DMF83" i="30" s="1"/>
  <c r="DMH83" i="30" s="1"/>
  <c r="DMJ83" i="30" s="1"/>
  <c r="DML83" i="30" s="1"/>
  <c r="DMN83" i="30" s="1"/>
  <c r="DMP83" i="30" s="1"/>
  <c r="DMR83" i="30" s="1"/>
  <c r="DMT83" i="30" s="1"/>
  <c r="DMV83" i="30" s="1"/>
  <c r="DMX83" i="30" s="1"/>
  <c r="DMZ83" i="30" s="1"/>
  <c r="DNB83" i="30" s="1"/>
  <c r="DND83" i="30" s="1"/>
  <c r="DNF83" i="30" s="1"/>
  <c r="DNH83" i="30" s="1"/>
  <c r="DNJ83" i="30" s="1"/>
  <c r="DNL83" i="30" s="1"/>
  <c r="DNN83" i="30" s="1"/>
  <c r="DNP83" i="30" s="1"/>
  <c r="DNR83" i="30" s="1"/>
  <c r="DNT83" i="30" s="1"/>
  <c r="DNV83" i="30" s="1"/>
  <c r="DNX83" i="30" s="1"/>
  <c r="DNZ83" i="30" s="1"/>
  <c r="DOB83" i="30" s="1"/>
  <c r="DOD83" i="30" s="1"/>
  <c r="DOF83" i="30" s="1"/>
  <c r="DOH83" i="30" s="1"/>
  <c r="DOJ83" i="30" s="1"/>
  <c r="DOL83" i="30" s="1"/>
  <c r="DON83" i="30" s="1"/>
  <c r="DOP83" i="30" s="1"/>
  <c r="DOR83" i="30" s="1"/>
  <c r="DOT83" i="30" s="1"/>
  <c r="DOV83" i="30" s="1"/>
  <c r="DOX83" i="30" s="1"/>
  <c r="DOZ83" i="30" s="1"/>
  <c r="DPB83" i="30" s="1"/>
  <c r="DPD83" i="30" s="1"/>
  <c r="DPF83" i="30" s="1"/>
  <c r="DPH83" i="30" s="1"/>
  <c r="DPJ83" i="30" s="1"/>
  <c r="DPL83" i="30" s="1"/>
  <c r="DPN83" i="30" s="1"/>
  <c r="DPP83" i="30" s="1"/>
  <c r="DPR83" i="30" s="1"/>
  <c r="DPT83" i="30" s="1"/>
  <c r="DPV83" i="30" s="1"/>
  <c r="DPX83" i="30" s="1"/>
  <c r="DPZ83" i="30" s="1"/>
  <c r="DQB83" i="30" s="1"/>
  <c r="DQD83" i="30" s="1"/>
  <c r="DQF83" i="30" s="1"/>
  <c r="DQH83" i="30" s="1"/>
  <c r="DQJ83" i="30" s="1"/>
  <c r="DQL83" i="30" s="1"/>
  <c r="DQN83" i="30" s="1"/>
  <c r="DQP83" i="30" s="1"/>
  <c r="DQR83" i="30" s="1"/>
  <c r="DQT83" i="30" s="1"/>
  <c r="DQV83" i="30" s="1"/>
  <c r="DQX83" i="30" s="1"/>
  <c r="DQZ83" i="30" s="1"/>
  <c r="DRB83" i="30" s="1"/>
  <c r="DRD83" i="30" s="1"/>
  <c r="DRF83" i="30" s="1"/>
  <c r="DRH83" i="30" s="1"/>
  <c r="DRJ83" i="30" s="1"/>
  <c r="DRL83" i="30" s="1"/>
  <c r="DRN83" i="30" s="1"/>
  <c r="DRP83" i="30" s="1"/>
  <c r="DRR83" i="30" s="1"/>
  <c r="DRT83" i="30" s="1"/>
  <c r="DRV83" i="30" s="1"/>
  <c r="DRX83" i="30" s="1"/>
  <c r="DRZ83" i="30" s="1"/>
  <c r="DSB83" i="30" s="1"/>
  <c r="DSD83" i="30" s="1"/>
  <c r="DSF83" i="30" s="1"/>
  <c r="DSH83" i="30" s="1"/>
  <c r="DSJ83" i="30" s="1"/>
  <c r="DSL83" i="30" s="1"/>
  <c r="DSN83" i="30" s="1"/>
  <c r="DSP83" i="30" s="1"/>
  <c r="DSR83" i="30" s="1"/>
  <c r="DST83" i="30" s="1"/>
  <c r="DSV83" i="30" s="1"/>
  <c r="DSX83" i="30" s="1"/>
  <c r="DSZ83" i="30" s="1"/>
  <c r="DTB83" i="30" s="1"/>
  <c r="DTD83" i="30" s="1"/>
  <c r="DTF83" i="30" s="1"/>
  <c r="DTH83" i="30" s="1"/>
  <c r="DTJ83" i="30" s="1"/>
  <c r="DTL83" i="30" s="1"/>
  <c r="DTN83" i="30" s="1"/>
  <c r="DTP83" i="30" s="1"/>
  <c r="DTR83" i="30" s="1"/>
  <c r="DTT83" i="30" s="1"/>
  <c r="DTV83" i="30" s="1"/>
  <c r="DTX83" i="30" s="1"/>
  <c r="DTZ83" i="30" s="1"/>
  <c r="DUB83" i="30" s="1"/>
  <c r="DUD83" i="30" s="1"/>
  <c r="DUF83" i="30" s="1"/>
  <c r="DUH83" i="30" s="1"/>
  <c r="DUJ83" i="30" s="1"/>
  <c r="DUL83" i="30" s="1"/>
  <c r="DUN83" i="30" s="1"/>
  <c r="DUP83" i="30" s="1"/>
  <c r="DUR83" i="30" s="1"/>
  <c r="DUT83" i="30" s="1"/>
  <c r="DUV83" i="30" s="1"/>
  <c r="DUX83" i="30" s="1"/>
  <c r="DUZ83" i="30" s="1"/>
  <c r="DVB83" i="30" s="1"/>
  <c r="DVD83" i="30" s="1"/>
  <c r="DVF83" i="30" s="1"/>
  <c r="DVH83" i="30" s="1"/>
  <c r="DVJ83" i="30" s="1"/>
  <c r="DVL83" i="30" s="1"/>
  <c r="DVN83" i="30" s="1"/>
  <c r="DVP83" i="30" s="1"/>
  <c r="DVR83" i="30" s="1"/>
  <c r="DVT83" i="30" s="1"/>
  <c r="DVV83" i="30" s="1"/>
  <c r="DVX83" i="30" s="1"/>
  <c r="DVZ83" i="30" s="1"/>
  <c r="DWB83" i="30" s="1"/>
  <c r="DWD83" i="30" s="1"/>
  <c r="DWF83" i="30" s="1"/>
  <c r="DWH83" i="30" s="1"/>
  <c r="DWJ83" i="30" s="1"/>
  <c r="DWL83" i="30" s="1"/>
  <c r="DWN83" i="30" s="1"/>
  <c r="DWP83" i="30" s="1"/>
  <c r="DWR83" i="30" s="1"/>
  <c r="DWT83" i="30" s="1"/>
  <c r="DWV83" i="30" s="1"/>
  <c r="DWX83" i="30" s="1"/>
  <c r="DWZ83" i="30" s="1"/>
  <c r="DXB83" i="30" s="1"/>
  <c r="DXD83" i="30" s="1"/>
  <c r="DXF83" i="30" s="1"/>
  <c r="DXH83" i="30" s="1"/>
  <c r="DXJ83" i="30" s="1"/>
  <c r="DXL83" i="30" s="1"/>
  <c r="DXN83" i="30" s="1"/>
  <c r="DXP83" i="30" s="1"/>
  <c r="DXR83" i="30" s="1"/>
  <c r="DXT83" i="30" s="1"/>
  <c r="DXV83" i="30" s="1"/>
  <c r="DXX83" i="30" s="1"/>
  <c r="DXZ83" i="30" s="1"/>
  <c r="DYB83" i="30" s="1"/>
  <c r="DYD83" i="30" s="1"/>
  <c r="DYF83" i="30" s="1"/>
  <c r="DYH83" i="30" s="1"/>
  <c r="DYJ83" i="30" s="1"/>
  <c r="DYL83" i="30" s="1"/>
  <c r="DYN83" i="30" s="1"/>
  <c r="DYP83" i="30" s="1"/>
  <c r="DYR83" i="30" s="1"/>
  <c r="DYT83" i="30" s="1"/>
  <c r="DYV83" i="30" s="1"/>
  <c r="DYX83" i="30" s="1"/>
  <c r="DYZ83" i="30" s="1"/>
  <c r="DZB83" i="30" s="1"/>
  <c r="DZD83" i="30" s="1"/>
  <c r="DZF83" i="30" s="1"/>
  <c r="DZH83" i="30" s="1"/>
  <c r="DZJ83" i="30" s="1"/>
  <c r="DZL83" i="30" s="1"/>
  <c r="DZN83" i="30" s="1"/>
  <c r="DZP83" i="30" s="1"/>
  <c r="DZR83" i="30" s="1"/>
  <c r="DZT83" i="30" s="1"/>
  <c r="DZV83" i="30" s="1"/>
  <c r="DZX83" i="30" s="1"/>
  <c r="DZZ83" i="30" s="1"/>
  <c r="EAB83" i="30" s="1"/>
  <c r="EAD83" i="30" s="1"/>
  <c r="EAF83" i="30" s="1"/>
  <c r="EAH83" i="30" s="1"/>
  <c r="EAJ83" i="30" s="1"/>
  <c r="EAL83" i="30" s="1"/>
  <c r="EAN83" i="30" s="1"/>
  <c r="EAP83" i="30" s="1"/>
  <c r="EAR83" i="30" s="1"/>
  <c r="EAT83" i="30" s="1"/>
  <c r="EAV83" i="30" s="1"/>
  <c r="EAX83" i="30" s="1"/>
  <c r="EAZ83" i="30" s="1"/>
  <c r="EBB83" i="30" s="1"/>
  <c r="EBD83" i="30" s="1"/>
  <c r="EBF83" i="30" s="1"/>
  <c r="EBH83" i="30" s="1"/>
  <c r="EBJ83" i="30" s="1"/>
  <c r="EBL83" i="30" s="1"/>
  <c r="EBN83" i="30" s="1"/>
  <c r="EBP83" i="30" s="1"/>
  <c r="EBR83" i="30" s="1"/>
  <c r="EBT83" i="30" s="1"/>
  <c r="EBV83" i="30" s="1"/>
  <c r="EBX83" i="30" s="1"/>
  <c r="EBZ83" i="30" s="1"/>
  <c r="ECB83" i="30" s="1"/>
  <c r="ECD83" i="30" s="1"/>
  <c r="ECF83" i="30" s="1"/>
  <c r="ECH83" i="30" s="1"/>
  <c r="ECJ83" i="30" s="1"/>
  <c r="ECL83" i="30" s="1"/>
  <c r="ECN83" i="30" s="1"/>
  <c r="ECP83" i="30" s="1"/>
  <c r="ECR83" i="30" s="1"/>
  <c r="ECT83" i="30" s="1"/>
  <c r="ECV83" i="30" s="1"/>
  <c r="ECX83" i="30" s="1"/>
  <c r="ECZ83" i="30" s="1"/>
  <c r="EDB83" i="30" s="1"/>
  <c r="EDD83" i="30" s="1"/>
  <c r="EDF83" i="30" s="1"/>
  <c r="EDH83" i="30" s="1"/>
  <c r="EDJ83" i="30" s="1"/>
  <c r="EDL83" i="30" s="1"/>
  <c r="EDN83" i="30" s="1"/>
  <c r="EDP83" i="30" s="1"/>
  <c r="EDR83" i="30" s="1"/>
  <c r="EDT83" i="30" s="1"/>
  <c r="EDV83" i="30" s="1"/>
  <c r="EDX83" i="30" s="1"/>
  <c r="EDZ83" i="30" s="1"/>
  <c r="EEB83" i="30" s="1"/>
  <c r="EED83" i="30" s="1"/>
  <c r="EEF83" i="30" s="1"/>
  <c r="EEH83" i="30" s="1"/>
  <c r="EEJ83" i="30" s="1"/>
  <c r="EEL83" i="30" s="1"/>
  <c r="EEN83" i="30" s="1"/>
  <c r="EEP83" i="30" s="1"/>
  <c r="EER83" i="30" s="1"/>
  <c r="EET83" i="30" s="1"/>
  <c r="EEV83" i="30" s="1"/>
  <c r="EEX83" i="30" s="1"/>
  <c r="EEZ83" i="30" s="1"/>
  <c r="EFB83" i="30" s="1"/>
  <c r="EFD83" i="30" s="1"/>
  <c r="EFF83" i="30" s="1"/>
  <c r="EFH83" i="30" s="1"/>
  <c r="EFJ83" i="30" s="1"/>
  <c r="EFL83" i="30" s="1"/>
  <c r="EFN83" i="30" s="1"/>
  <c r="EFP83" i="30" s="1"/>
  <c r="EFR83" i="30" s="1"/>
  <c r="EFT83" i="30" s="1"/>
  <c r="EFV83" i="30" s="1"/>
  <c r="EFX83" i="30" s="1"/>
  <c r="EFZ83" i="30" s="1"/>
  <c r="EGB83" i="30" s="1"/>
  <c r="EGD83" i="30" s="1"/>
  <c r="EGF83" i="30" s="1"/>
  <c r="EGH83" i="30" s="1"/>
  <c r="EGJ83" i="30" s="1"/>
  <c r="EGL83" i="30" s="1"/>
  <c r="EGN83" i="30" s="1"/>
  <c r="EGP83" i="30" s="1"/>
  <c r="EGR83" i="30" s="1"/>
  <c r="EGT83" i="30" s="1"/>
  <c r="EGV83" i="30" s="1"/>
  <c r="EGX83" i="30" s="1"/>
  <c r="EGZ83" i="30" s="1"/>
  <c r="EHB83" i="30" s="1"/>
  <c r="EHD83" i="30" s="1"/>
  <c r="EHF83" i="30" s="1"/>
  <c r="EHH83" i="30" s="1"/>
  <c r="EHJ83" i="30" s="1"/>
  <c r="EHL83" i="30" s="1"/>
  <c r="EHN83" i="30" s="1"/>
  <c r="EHP83" i="30" s="1"/>
  <c r="EHR83" i="30" s="1"/>
  <c r="EHT83" i="30" s="1"/>
  <c r="EHV83" i="30" s="1"/>
  <c r="EHX83" i="30" s="1"/>
  <c r="EHZ83" i="30" s="1"/>
  <c r="EIB83" i="30" s="1"/>
  <c r="EID83" i="30" s="1"/>
  <c r="EIF83" i="30" s="1"/>
  <c r="EIH83" i="30" s="1"/>
  <c r="EIJ83" i="30" s="1"/>
  <c r="EIL83" i="30" s="1"/>
  <c r="EIN83" i="30" s="1"/>
  <c r="EIP83" i="30" s="1"/>
  <c r="EIR83" i="30" s="1"/>
  <c r="EIT83" i="30" s="1"/>
  <c r="EIV83" i="30" s="1"/>
  <c r="EIX83" i="30" s="1"/>
  <c r="EIZ83" i="30" s="1"/>
  <c r="EJB83" i="30" s="1"/>
  <c r="EJD83" i="30" s="1"/>
  <c r="EJF83" i="30" s="1"/>
  <c r="EJH83" i="30" s="1"/>
  <c r="EJJ83" i="30" s="1"/>
  <c r="EJL83" i="30" s="1"/>
  <c r="EJN83" i="30" s="1"/>
  <c r="EJP83" i="30" s="1"/>
  <c r="EJR83" i="30" s="1"/>
  <c r="EJT83" i="30" s="1"/>
  <c r="EJV83" i="30" s="1"/>
  <c r="EJX83" i="30" s="1"/>
  <c r="EJZ83" i="30" s="1"/>
  <c r="EKB83" i="30" s="1"/>
  <c r="EKD83" i="30" s="1"/>
  <c r="EKF83" i="30" s="1"/>
  <c r="EKH83" i="30" s="1"/>
  <c r="EKJ83" i="30" s="1"/>
  <c r="EKL83" i="30" s="1"/>
  <c r="EKN83" i="30" s="1"/>
  <c r="EKP83" i="30" s="1"/>
  <c r="EKR83" i="30" s="1"/>
  <c r="EKT83" i="30" s="1"/>
  <c r="EKV83" i="30" s="1"/>
  <c r="EKX83" i="30" s="1"/>
  <c r="EKZ83" i="30" s="1"/>
  <c r="ELB83" i="30" s="1"/>
  <c r="ELD83" i="30" s="1"/>
  <c r="ELF83" i="30" s="1"/>
  <c r="ELH83" i="30" s="1"/>
  <c r="ELJ83" i="30" s="1"/>
  <c r="ELL83" i="30" s="1"/>
  <c r="ELN83" i="30" s="1"/>
  <c r="ELP83" i="30" s="1"/>
  <c r="ELR83" i="30" s="1"/>
  <c r="ELT83" i="30" s="1"/>
  <c r="ELV83" i="30" s="1"/>
  <c r="ELX83" i="30" s="1"/>
  <c r="ELZ83" i="30" s="1"/>
  <c r="EMB83" i="30" s="1"/>
  <c r="EMD83" i="30" s="1"/>
  <c r="EMF83" i="30" s="1"/>
  <c r="EMH83" i="30" s="1"/>
  <c r="EMJ83" i="30" s="1"/>
  <c r="EML83" i="30" s="1"/>
  <c r="EMN83" i="30" s="1"/>
  <c r="EMP83" i="30" s="1"/>
  <c r="EMR83" i="30" s="1"/>
  <c r="EMT83" i="30" s="1"/>
  <c r="EMV83" i="30" s="1"/>
  <c r="EMX83" i="30" s="1"/>
  <c r="EMZ83" i="30" s="1"/>
  <c r="ENB83" i="30" s="1"/>
  <c r="END83" i="30" s="1"/>
  <c r="ENF83" i="30" s="1"/>
  <c r="ENH83" i="30" s="1"/>
  <c r="ENJ83" i="30" s="1"/>
  <c r="ENL83" i="30" s="1"/>
  <c r="ENN83" i="30" s="1"/>
  <c r="ENP83" i="30" s="1"/>
  <c r="ENR83" i="30" s="1"/>
  <c r="ENT83" i="30" s="1"/>
  <c r="ENV83" i="30" s="1"/>
  <c r="ENX83" i="30" s="1"/>
  <c r="ENZ83" i="30" s="1"/>
  <c r="EOB83" i="30" s="1"/>
  <c r="EOD83" i="30" s="1"/>
  <c r="EOF83" i="30" s="1"/>
  <c r="EOH83" i="30" s="1"/>
  <c r="EOJ83" i="30" s="1"/>
  <c r="EOL83" i="30" s="1"/>
  <c r="EON83" i="30" s="1"/>
  <c r="EOP83" i="30" s="1"/>
  <c r="EOR83" i="30" s="1"/>
  <c r="EOT83" i="30" s="1"/>
  <c r="EOV83" i="30" s="1"/>
  <c r="EOX83" i="30" s="1"/>
  <c r="EOZ83" i="30" s="1"/>
  <c r="EPB83" i="30" s="1"/>
  <c r="EPD83" i="30" s="1"/>
  <c r="EPF83" i="30" s="1"/>
  <c r="EPH83" i="30" s="1"/>
  <c r="EPJ83" i="30" s="1"/>
  <c r="EPL83" i="30" s="1"/>
  <c r="EPN83" i="30" s="1"/>
  <c r="EPP83" i="30" s="1"/>
  <c r="EPR83" i="30" s="1"/>
  <c r="EPT83" i="30" s="1"/>
  <c r="EPV83" i="30" s="1"/>
  <c r="EPX83" i="30" s="1"/>
  <c r="EPZ83" i="30" s="1"/>
  <c r="EQB83" i="30" s="1"/>
  <c r="EQD83" i="30" s="1"/>
  <c r="EQF83" i="30" s="1"/>
  <c r="EQH83" i="30" s="1"/>
  <c r="EQJ83" i="30" s="1"/>
  <c r="EQL83" i="30" s="1"/>
  <c r="EQN83" i="30" s="1"/>
  <c r="EQP83" i="30" s="1"/>
  <c r="EQR83" i="30" s="1"/>
  <c r="EQT83" i="30" s="1"/>
  <c r="EQV83" i="30" s="1"/>
  <c r="EQX83" i="30" s="1"/>
  <c r="EQZ83" i="30" s="1"/>
  <c r="ERB83" i="30" s="1"/>
  <c r="ERD83" i="30" s="1"/>
  <c r="ERF83" i="30" s="1"/>
  <c r="ERH83" i="30" s="1"/>
  <c r="ERJ83" i="30" s="1"/>
  <c r="ERL83" i="30" s="1"/>
  <c r="ERN83" i="30" s="1"/>
  <c r="ERP83" i="30" s="1"/>
  <c r="ERR83" i="30" s="1"/>
  <c r="ERT83" i="30" s="1"/>
  <c r="ERV83" i="30" s="1"/>
  <c r="ERX83" i="30" s="1"/>
  <c r="ERZ83" i="30" s="1"/>
  <c r="ESB83" i="30" s="1"/>
  <c r="ESD83" i="30" s="1"/>
  <c r="ESF83" i="30" s="1"/>
  <c r="ESH83" i="30" s="1"/>
  <c r="ESJ83" i="30" s="1"/>
  <c r="ESL83" i="30" s="1"/>
  <c r="ESN83" i="30" s="1"/>
  <c r="ESP83" i="30" s="1"/>
  <c r="ESR83" i="30" s="1"/>
  <c r="EST83" i="30" s="1"/>
  <c r="ESV83" i="30" s="1"/>
  <c r="ESX83" i="30" s="1"/>
  <c r="ESZ83" i="30" s="1"/>
  <c r="ETB83" i="30" s="1"/>
  <c r="ETD83" i="30" s="1"/>
  <c r="ETF83" i="30" s="1"/>
  <c r="ETH83" i="30" s="1"/>
  <c r="ETJ83" i="30" s="1"/>
  <c r="ETL83" i="30" s="1"/>
  <c r="ETN83" i="30" s="1"/>
  <c r="ETP83" i="30" s="1"/>
  <c r="ETR83" i="30" s="1"/>
  <c r="ETT83" i="30" s="1"/>
  <c r="ETV83" i="30" s="1"/>
  <c r="ETX83" i="30" s="1"/>
  <c r="ETZ83" i="30" s="1"/>
  <c r="EUB83" i="30" s="1"/>
  <c r="EUD83" i="30" s="1"/>
  <c r="EUF83" i="30" s="1"/>
  <c r="EUH83" i="30" s="1"/>
  <c r="EUJ83" i="30" s="1"/>
  <c r="EUL83" i="30" s="1"/>
  <c r="EUN83" i="30" s="1"/>
  <c r="EUP83" i="30" s="1"/>
  <c r="EUR83" i="30" s="1"/>
  <c r="EUT83" i="30" s="1"/>
  <c r="EUV83" i="30" s="1"/>
  <c r="EUX83" i="30" s="1"/>
  <c r="EUZ83" i="30" s="1"/>
  <c r="EVB83" i="30" s="1"/>
  <c r="EVD83" i="30" s="1"/>
  <c r="EVF83" i="30" s="1"/>
  <c r="EVH83" i="30" s="1"/>
  <c r="EVJ83" i="30" s="1"/>
  <c r="EVL83" i="30" s="1"/>
  <c r="EVN83" i="30" s="1"/>
  <c r="EVP83" i="30" s="1"/>
  <c r="EVR83" i="30" s="1"/>
  <c r="EVT83" i="30" s="1"/>
  <c r="EVV83" i="30" s="1"/>
  <c r="EVX83" i="30" s="1"/>
  <c r="EVZ83" i="30" s="1"/>
  <c r="EWB83" i="30" s="1"/>
  <c r="EWD83" i="30" s="1"/>
  <c r="EWF83" i="30" s="1"/>
  <c r="EWH83" i="30" s="1"/>
  <c r="EWJ83" i="30" s="1"/>
  <c r="EWL83" i="30" s="1"/>
  <c r="EWN83" i="30" s="1"/>
  <c r="EWP83" i="30" s="1"/>
  <c r="EWR83" i="30" s="1"/>
  <c r="EWT83" i="30" s="1"/>
  <c r="EWV83" i="30" s="1"/>
  <c r="EWX83" i="30" s="1"/>
  <c r="EWZ83" i="30" s="1"/>
  <c r="EXB83" i="30" s="1"/>
  <c r="EXD83" i="30" s="1"/>
  <c r="EXF83" i="30" s="1"/>
  <c r="EXH83" i="30" s="1"/>
  <c r="EXJ83" i="30" s="1"/>
  <c r="EXL83" i="30" s="1"/>
  <c r="EXN83" i="30" s="1"/>
  <c r="EXP83" i="30" s="1"/>
  <c r="EXR83" i="30" s="1"/>
  <c r="EXT83" i="30" s="1"/>
  <c r="EXV83" i="30" s="1"/>
  <c r="EXX83" i="30" s="1"/>
  <c r="EXZ83" i="30" s="1"/>
  <c r="EYB83" i="30" s="1"/>
  <c r="EYD83" i="30" s="1"/>
  <c r="EYF83" i="30" s="1"/>
  <c r="EYH83" i="30" s="1"/>
  <c r="EYJ83" i="30" s="1"/>
  <c r="EYL83" i="30" s="1"/>
  <c r="EYN83" i="30" s="1"/>
  <c r="EYP83" i="30" s="1"/>
  <c r="EYR83" i="30" s="1"/>
  <c r="EYT83" i="30" s="1"/>
  <c r="EYV83" i="30" s="1"/>
  <c r="EYX83" i="30" s="1"/>
  <c r="EYZ83" i="30" s="1"/>
  <c r="EZB83" i="30" s="1"/>
  <c r="EZD83" i="30" s="1"/>
  <c r="EZF83" i="30" s="1"/>
  <c r="EZH83" i="30" s="1"/>
  <c r="EZJ83" i="30" s="1"/>
  <c r="EZL83" i="30" s="1"/>
  <c r="EZN83" i="30" s="1"/>
  <c r="EZP83" i="30" s="1"/>
  <c r="EZR83" i="30" s="1"/>
  <c r="EZT83" i="30" s="1"/>
  <c r="EZV83" i="30" s="1"/>
  <c r="EZX83" i="30" s="1"/>
  <c r="EZZ83" i="30" s="1"/>
  <c r="FAB83" i="30" s="1"/>
  <c r="FAD83" i="30" s="1"/>
  <c r="FAF83" i="30" s="1"/>
  <c r="FAH83" i="30" s="1"/>
  <c r="FAJ83" i="30" s="1"/>
  <c r="FAL83" i="30" s="1"/>
  <c r="FAN83" i="30" s="1"/>
  <c r="FAP83" i="30" s="1"/>
  <c r="FAR83" i="30" s="1"/>
  <c r="FAT83" i="30" s="1"/>
  <c r="FAV83" i="30" s="1"/>
  <c r="FAX83" i="30" s="1"/>
  <c r="FAZ83" i="30" s="1"/>
  <c r="FBB83" i="30" s="1"/>
  <c r="FBD83" i="30" s="1"/>
  <c r="FBF83" i="30" s="1"/>
  <c r="FBH83" i="30" s="1"/>
  <c r="FBJ83" i="30" s="1"/>
  <c r="FBL83" i="30" s="1"/>
  <c r="FBN83" i="30" s="1"/>
  <c r="FBP83" i="30" s="1"/>
  <c r="FBR83" i="30" s="1"/>
  <c r="FBT83" i="30" s="1"/>
  <c r="FBV83" i="30" s="1"/>
  <c r="FBX83" i="30" s="1"/>
  <c r="FBZ83" i="30" s="1"/>
  <c r="FCB83" i="30" s="1"/>
  <c r="FCD83" i="30" s="1"/>
  <c r="FCF83" i="30" s="1"/>
  <c r="FCH83" i="30" s="1"/>
  <c r="FCJ83" i="30" s="1"/>
  <c r="FCL83" i="30" s="1"/>
  <c r="FCN83" i="30" s="1"/>
  <c r="FCP83" i="30" s="1"/>
  <c r="FCR83" i="30" s="1"/>
  <c r="FCT83" i="30" s="1"/>
  <c r="FCV83" i="30" s="1"/>
  <c r="FCX83" i="30" s="1"/>
  <c r="FCZ83" i="30" s="1"/>
  <c r="FDB83" i="30" s="1"/>
  <c r="FDD83" i="30" s="1"/>
  <c r="FDF83" i="30" s="1"/>
  <c r="FDH83" i="30" s="1"/>
  <c r="FDJ83" i="30" s="1"/>
  <c r="FDL83" i="30" s="1"/>
  <c r="FDN83" i="30" s="1"/>
  <c r="FDP83" i="30" s="1"/>
  <c r="FDR83" i="30" s="1"/>
  <c r="FDT83" i="30" s="1"/>
  <c r="FDV83" i="30" s="1"/>
  <c r="FDX83" i="30" s="1"/>
  <c r="FDZ83" i="30" s="1"/>
  <c r="FEB83" i="30" s="1"/>
  <c r="FED83" i="30" s="1"/>
  <c r="FEF83" i="30" s="1"/>
  <c r="FEH83" i="30" s="1"/>
  <c r="FEJ83" i="30" s="1"/>
  <c r="FEL83" i="30" s="1"/>
  <c r="FEN83" i="30" s="1"/>
  <c r="FEP83" i="30" s="1"/>
  <c r="FER83" i="30" s="1"/>
  <c r="FET83" i="30" s="1"/>
  <c r="FEV83" i="30" s="1"/>
  <c r="FEX83" i="30" s="1"/>
  <c r="FEZ83" i="30" s="1"/>
  <c r="FFB83" i="30" s="1"/>
  <c r="FFD83" i="30" s="1"/>
  <c r="FFF83" i="30" s="1"/>
  <c r="FFH83" i="30" s="1"/>
  <c r="FFJ83" i="30" s="1"/>
  <c r="FFL83" i="30" s="1"/>
  <c r="FFN83" i="30" s="1"/>
  <c r="FFP83" i="30" s="1"/>
  <c r="FFR83" i="30" s="1"/>
  <c r="FFT83" i="30" s="1"/>
  <c r="FFV83" i="30" s="1"/>
  <c r="FFX83" i="30" s="1"/>
  <c r="FFZ83" i="30" s="1"/>
  <c r="FGB83" i="30" s="1"/>
  <c r="FGD83" i="30" s="1"/>
  <c r="FGF83" i="30" s="1"/>
  <c r="FGH83" i="30" s="1"/>
  <c r="FGJ83" i="30" s="1"/>
  <c r="FGL83" i="30" s="1"/>
  <c r="FGN83" i="30" s="1"/>
  <c r="FGP83" i="30" s="1"/>
  <c r="FGR83" i="30" s="1"/>
  <c r="FGT83" i="30" s="1"/>
  <c r="FGV83" i="30" s="1"/>
  <c r="FGX83" i="30" s="1"/>
  <c r="FGZ83" i="30" s="1"/>
  <c r="FHB83" i="30" s="1"/>
  <c r="FHD83" i="30" s="1"/>
  <c r="FHF83" i="30" s="1"/>
  <c r="FHH83" i="30" s="1"/>
  <c r="FHJ83" i="30" s="1"/>
  <c r="FHL83" i="30" s="1"/>
  <c r="FHN83" i="30" s="1"/>
  <c r="FHP83" i="30" s="1"/>
  <c r="FHR83" i="30" s="1"/>
  <c r="FHT83" i="30" s="1"/>
  <c r="FHV83" i="30" s="1"/>
  <c r="FHX83" i="30" s="1"/>
  <c r="FHZ83" i="30" s="1"/>
  <c r="FIB83" i="30" s="1"/>
  <c r="FID83" i="30" s="1"/>
  <c r="FIF83" i="30" s="1"/>
  <c r="FIH83" i="30" s="1"/>
  <c r="FIJ83" i="30" s="1"/>
  <c r="FIL83" i="30" s="1"/>
  <c r="FIN83" i="30" s="1"/>
  <c r="FIP83" i="30" s="1"/>
  <c r="FIR83" i="30" s="1"/>
  <c r="FIT83" i="30" s="1"/>
  <c r="FIV83" i="30" s="1"/>
  <c r="FIX83" i="30" s="1"/>
  <c r="FIZ83" i="30" s="1"/>
  <c r="FJB83" i="30" s="1"/>
  <c r="FJD83" i="30" s="1"/>
  <c r="FJF83" i="30" s="1"/>
  <c r="FJH83" i="30" s="1"/>
  <c r="FJJ83" i="30" s="1"/>
  <c r="FJL83" i="30" s="1"/>
  <c r="FJN83" i="30" s="1"/>
  <c r="FJP83" i="30" s="1"/>
  <c r="FJR83" i="30" s="1"/>
  <c r="FJT83" i="30" s="1"/>
  <c r="FJV83" i="30" s="1"/>
  <c r="FJX83" i="30" s="1"/>
  <c r="FJZ83" i="30" s="1"/>
  <c r="FKB83" i="30" s="1"/>
  <c r="FKD83" i="30" s="1"/>
  <c r="FKF83" i="30" s="1"/>
  <c r="FKH83" i="30" s="1"/>
  <c r="FKJ83" i="30" s="1"/>
  <c r="FKL83" i="30" s="1"/>
  <c r="FKN83" i="30" s="1"/>
  <c r="FKP83" i="30" s="1"/>
  <c r="FKR83" i="30" s="1"/>
  <c r="FKT83" i="30" s="1"/>
  <c r="FKV83" i="30" s="1"/>
  <c r="FKX83" i="30" s="1"/>
  <c r="FKZ83" i="30" s="1"/>
  <c r="FLB83" i="30" s="1"/>
  <c r="FLD83" i="30" s="1"/>
  <c r="FLF83" i="30" s="1"/>
  <c r="FLH83" i="30" s="1"/>
  <c r="FLJ83" i="30" s="1"/>
  <c r="FLL83" i="30" s="1"/>
  <c r="FLN83" i="30" s="1"/>
  <c r="FLP83" i="30" s="1"/>
  <c r="FLR83" i="30" s="1"/>
  <c r="FLT83" i="30" s="1"/>
  <c r="FLV83" i="30" s="1"/>
  <c r="FLX83" i="30" s="1"/>
  <c r="FLZ83" i="30" s="1"/>
  <c r="FMB83" i="30" s="1"/>
  <c r="FMD83" i="30" s="1"/>
  <c r="FMF83" i="30" s="1"/>
  <c r="FMH83" i="30" s="1"/>
  <c r="FMJ83" i="30" s="1"/>
  <c r="FML83" i="30" s="1"/>
  <c r="FMN83" i="30" s="1"/>
  <c r="FMP83" i="30" s="1"/>
  <c r="FMR83" i="30" s="1"/>
  <c r="FMT83" i="30" s="1"/>
  <c r="FMV83" i="30" s="1"/>
  <c r="FMX83" i="30" s="1"/>
  <c r="FMZ83" i="30" s="1"/>
  <c r="FNB83" i="30" s="1"/>
  <c r="FND83" i="30" s="1"/>
  <c r="FNF83" i="30" s="1"/>
  <c r="FNH83" i="30" s="1"/>
  <c r="FNJ83" i="30" s="1"/>
  <c r="FNL83" i="30" s="1"/>
  <c r="FNN83" i="30" s="1"/>
  <c r="FNP83" i="30" s="1"/>
  <c r="FNR83" i="30" s="1"/>
  <c r="FNT83" i="30" s="1"/>
  <c r="FNV83" i="30" s="1"/>
  <c r="FNX83" i="30" s="1"/>
  <c r="FNZ83" i="30" s="1"/>
  <c r="FOB83" i="30" s="1"/>
  <c r="FOD83" i="30" s="1"/>
  <c r="FOF83" i="30" s="1"/>
  <c r="FOH83" i="30" s="1"/>
  <c r="FOJ83" i="30" s="1"/>
  <c r="FOL83" i="30" s="1"/>
  <c r="FON83" i="30" s="1"/>
  <c r="FOP83" i="30" s="1"/>
  <c r="FOR83" i="30" s="1"/>
  <c r="FOT83" i="30" s="1"/>
  <c r="FOV83" i="30" s="1"/>
  <c r="FOX83" i="30" s="1"/>
  <c r="FOZ83" i="30" s="1"/>
  <c r="FPB83" i="30" s="1"/>
  <c r="FPD83" i="30" s="1"/>
  <c r="FPF83" i="30" s="1"/>
  <c r="FPH83" i="30" s="1"/>
  <c r="FPJ83" i="30" s="1"/>
  <c r="FPL83" i="30" s="1"/>
  <c r="FPN83" i="30" s="1"/>
  <c r="FPP83" i="30" s="1"/>
  <c r="FPR83" i="30" s="1"/>
  <c r="FPT83" i="30" s="1"/>
  <c r="FPV83" i="30" s="1"/>
  <c r="FPX83" i="30" s="1"/>
  <c r="FPZ83" i="30" s="1"/>
  <c r="FQB83" i="30" s="1"/>
  <c r="FQD83" i="30" s="1"/>
  <c r="FQF83" i="30" s="1"/>
  <c r="FQH83" i="30" s="1"/>
  <c r="FQJ83" i="30" s="1"/>
  <c r="FQL83" i="30" s="1"/>
  <c r="FQN83" i="30" s="1"/>
  <c r="FQP83" i="30" s="1"/>
  <c r="FQR83" i="30" s="1"/>
  <c r="FQT83" i="30" s="1"/>
  <c r="FQV83" i="30" s="1"/>
  <c r="FQX83" i="30" s="1"/>
  <c r="FQZ83" i="30" s="1"/>
  <c r="FRB83" i="30" s="1"/>
  <c r="FRD83" i="30" s="1"/>
  <c r="FRF83" i="30" s="1"/>
  <c r="FRH83" i="30" s="1"/>
  <c r="FRJ83" i="30" s="1"/>
  <c r="FRL83" i="30" s="1"/>
  <c r="FRN83" i="30" s="1"/>
  <c r="FRP83" i="30" s="1"/>
  <c r="FRR83" i="30" s="1"/>
  <c r="FRT83" i="30" s="1"/>
  <c r="FRV83" i="30" s="1"/>
  <c r="FRX83" i="30" s="1"/>
  <c r="FRZ83" i="30" s="1"/>
  <c r="FSB83" i="30" s="1"/>
  <c r="FSD83" i="30" s="1"/>
  <c r="FSF83" i="30" s="1"/>
  <c r="FSH83" i="30" s="1"/>
  <c r="FSJ83" i="30" s="1"/>
  <c r="FSL83" i="30" s="1"/>
  <c r="FSN83" i="30" s="1"/>
  <c r="FSP83" i="30" s="1"/>
  <c r="FSR83" i="30" s="1"/>
  <c r="FST83" i="30" s="1"/>
  <c r="FSV83" i="30" s="1"/>
  <c r="FSX83" i="30" s="1"/>
  <c r="FSZ83" i="30" s="1"/>
  <c r="FTB83" i="30" s="1"/>
  <c r="FTD83" i="30" s="1"/>
  <c r="FTF83" i="30" s="1"/>
  <c r="FTH83" i="30" s="1"/>
  <c r="FTJ83" i="30" s="1"/>
  <c r="FTL83" i="30" s="1"/>
  <c r="FTN83" i="30" s="1"/>
  <c r="FTP83" i="30" s="1"/>
  <c r="FTR83" i="30" s="1"/>
  <c r="FTT83" i="30" s="1"/>
  <c r="FTV83" i="30" s="1"/>
  <c r="FTX83" i="30" s="1"/>
  <c r="FTZ83" i="30" s="1"/>
  <c r="FUB83" i="30" s="1"/>
  <c r="FUD83" i="30" s="1"/>
  <c r="FUF83" i="30" s="1"/>
  <c r="FUH83" i="30" s="1"/>
  <c r="FUJ83" i="30" s="1"/>
  <c r="FUL83" i="30" s="1"/>
  <c r="FUN83" i="30" s="1"/>
  <c r="FUP83" i="30" s="1"/>
  <c r="FUR83" i="30" s="1"/>
  <c r="FUT83" i="30" s="1"/>
  <c r="FUV83" i="30" s="1"/>
  <c r="FUX83" i="30" s="1"/>
  <c r="FUZ83" i="30" s="1"/>
  <c r="FVB83" i="30" s="1"/>
  <c r="FVD83" i="30" s="1"/>
  <c r="FVF83" i="30" s="1"/>
  <c r="FVH83" i="30" s="1"/>
  <c r="FVJ83" i="30" s="1"/>
  <c r="FVL83" i="30" s="1"/>
  <c r="FVN83" i="30" s="1"/>
  <c r="FVP83" i="30" s="1"/>
  <c r="FVR83" i="30" s="1"/>
  <c r="FVT83" i="30" s="1"/>
  <c r="FVV83" i="30" s="1"/>
  <c r="FVX83" i="30" s="1"/>
  <c r="FVZ83" i="30" s="1"/>
  <c r="FWB83" i="30" s="1"/>
  <c r="FWD83" i="30" s="1"/>
  <c r="FWF83" i="30" s="1"/>
  <c r="FWH83" i="30" s="1"/>
  <c r="FWJ83" i="30" s="1"/>
  <c r="FWL83" i="30" s="1"/>
  <c r="FWN83" i="30" s="1"/>
  <c r="FWP83" i="30" s="1"/>
  <c r="FWR83" i="30" s="1"/>
  <c r="FWT83" i="30" s="1"/>
  <c r="FWV83" i="30" s="1"/>
  <c r="FWX83" i="30" s="1"/>
  <c r="FWZ83" i="30" s="1"/>
  <c r="FXB83" i="30" s="1"/>
  <c r="FXD83" i="30" s="1"/>
  <c r="FXF83" i="30" s="1"/>
  <c r="FXH83" i="30" s="1"/>
  <c r="FXJ83" i="30" s="1"/>
  <c r="FXL83" i="30" s="1"/>
  <c r="FXN83" i="30" s="1"/>
  <c r="FXP83" i="30" s="1"/>
  <c r="FXR83" i="30" s="1"/>
  <c r="FXT83" i="30" s="1"/>
  <c r="FXV83" i="30" s="1"/>
  <c r="FXX83" i="30" s="1"/>
  <c r="FXZ83" i="30" s="1"/>
  <c r="FYB83" i="30" s="1"/>
  <c r="FYD83" i="30" s="1"/>
  <c r="FYF83" i="30" s="1"/>
  <c r="FYH83" i="30" s="1"/>
  <c r="FYJ83" i="30" s="1"/>
  <c r="FYL83" i="30" s="1"/>
  <c r="FYN83" i="30" s="1"/>
  <c r="FYP83" i="30" s="1"/>
  <c r="FYR83" i="30" s="1"/>
  <c r="FYT83" i="30" s="1"/>
  <c r="FYV83" i="30" s="1"/>
  <c r="FYX83" i="30" s="1"/>
  <c r="FYZ83" i="30" s="1"/>
  <c r="FZB83" i="30" s="1"/>
  <c r="FZD83" i="30" s="1"/>
  <c r="FZF83" i="30" s="1"/>
  <c r="FZH83" i="30" s="1"/>
  <c r="FZJ83" i="30" s="1"/>
  <c r="FZL83" i="30" s="1"/>
  <c r="FZN83" i="30" s="1"/>
  <c r="FZP83" i="30" s="1"/>
  <c r="FZR83" i="30" s="1"/>
  <c r="FZT83" i="30" s="1"/>
  <c r="FZV83" i="30" s="1"/>
  <c r="FZX83" i="30" s="1"/>
  <c r="FZZ83" i="30" s="1"/>
  <c r="GAB83" i="30" s="1"/>
  <c r="GAD83" i="30" s="1"/>
  <c r="GAF83" i="30" s="1"/>
  <c r="GAH83" i="30" s="1"/>
  <c r="GAJ83" i="30" s="1"/>
  <c r="GAL83" i="30" s="1"/>
  <c r="GAN83" i="30" s="1"/>
  <c r="GAP83" i="30" s="1"/>
  <c r="GAR83" i="30" s="1"/>
  <c r="GAT83" i="30" s="1"/>
  <c r="GAV83" i="30" s="1"/>
  <c r="GAX83" i="30" s="1"/>
  <c r="GAZ83" i="30" s="1"/>
  <c r="GBB83" i="30" s="1"/>
  <c r="GBD83" i="30" s="1"/>
  <c r="GBF83" i="30" s="1"/>
  <c r="GBH83" i="30" s="1"/>
  <c r="GBJ83" i="30" s="1"/>
  <c r="GBL83" i="30" s="1"/>
  <c r="GBN83" i="30" s="1"/>
  <c r="GBP83" i="30" s="1"/>
  <c r="GBR83" i="30" s="1"/>
  <c r="GBT83" i="30" s="1"/>
  <c r="GBV83" i="30" s="1"/>
  <c r="GBX83" i="30" s="1"/>
  <c r="GBZ83" i="30" s="1"/>
  <c r="GCB83" i="30" s="1"/>
  <c r="GCD83" i="30" s="1"/>
  <c r="GCF83" i="30" s="1"/>
  <c r="GCH83" i="30" s="1"/>
  <c r="GCJ83" i="30" s="1"/>
  <c r="GCL83" i="30" s="1"/>
  <c r="GCN83" i="30" s="1"/>
  <c r="GCP83" i="30" s="1"/>
  <c r="GCR83" i="30" s="1"/>
  <c r="GCT83" i="30" s="1"/>
  <c r="GCV83" i="30" s="1"/>
  <c r="GCX83" i="30" s="1"/>
  <c r="GCZ83" i="30" s="1"/>
  <c r="GDB83" i="30" s="1"/>
  <c r="GDD83" i="30" s="1"/>
  <c r="GDF83" i="30" s="1"/>
  <c r="GDH83" i="30" s="1"/>
  <c r="GDJ83" i="30" s="1"/>
  <c r="GDL83" i="30" s="1"/>
  <c r="GDN83" i="30" s="1"/>
  <c r="GDP83" i="30" s="1"/>
  <c r="GDR83" i="30" s="1"/>
  <c r="GDT83" i="30" s="1"/>
  <c r="GDV83" i="30" s="1"/>
  <c r="GDX83" i="30" s="1"/>
  <c r="GDZ83" i="30" s="1"/>
  <c r="GEB83" i="30" s="1"/>
  <c r="GED83" i="30" s="1"/>
  <c r="GEF83" i="30" s="1"/>
  <c r="GEH83" i="30" s="1"/>
  <c r="GEJ83" i="30" s="1"/>
  <c r="GEL83" i="30" s="1"/>
  <c r="GEN83" i="30" s="1"/>
  <c r="GEP83" i="30" s="1"/>
  <c r="GER83" i="30" s="1"/>
  <c r="GET83" i="30" s="1"/>
  <c r="GEV83" i="30" s="1"/>
  <c r="GEX83" i="30" s="1"/>
  <c r="GEZ83" i="30" s="1"/>
  <c r="GFB83" i="30" s="1"/>
  <c r="GFD83" i="30" s="1"/>
  <c r="GFF83" i="30" s="1"/>
  <c r="GFH83" i="30" s="1"/>
  <c r="GFJ83" i="30" s="1"/>
  <c r="GFL83" i="30" s="1"/>
  <c r="GFN83" i="30" s="1"/>
  <c r="GFP83" i="30" s="1"/>
  <c r="GFR83" i="30" s="1"/>
  <c r="GFT83" i="30" s="1"/>
  <c r="GFV83" i="30" s="1"/>
  <c r="GFX83" i="30" s="1"/>
  <c r="GFZ83" i="30" s="1"/>
  <c r="GGB83" i="30" s="1"/>
  <c r="GGD83" i="30" s="1"/>
  <c r="GGF83" i="30" s="1"/>
  <c r="GGH83" i="30" s="1"/>
  <c r="GGJ83" i="30" s="1"/>
  <c r="GGL83" i="30" s="1"/>
  <c r="GGN83" i="30" s="1"/>
  <c r="GGP83" i="30" s="1"/>
  <c r="GGR83" i="30" s="1"/>
  <c r="GGT83" i="30" s="1"/>
  <c r="GGV83" i="30" s="1"/>
  <c r="GGX83" i="30" s="1"/>
  <c r="GGZ83" i="30" s="1"/>
  <c r="GHB83" i="30" s="1"/>
  <c r="GHD83" i="30" s="1"/>
  <c r="GHF83" i="30" s="1"/>
  <c r="GHH83" i="30" s="1"/>
  <c r="GHJ83" i="30" s="1"/>
  <c r="GHL83" i="30" s="1"/>
  <c r="GHN83" i="30" s="1"/>
  <c r="GHP83" i="30" s="1"/>
  <c r="GHR83" i="30" s="1"/>
  <c r="GHT83" i="30" s="1"/>
  <c r="GHV83" i="30" s="1"/>
  <c r="GHX83" i="30" s="1"/>
  <c r="GHZ83" i="30" s="1"/>
  <c r="GIB83" i="30" s="1"/>
  <c r="GID83" i="30" s="1"/>
  <c r="GIF83" i="30" s="1"/>
  <c r="GIH83" i="30" s="1"/>
  <c r="GIJ83" i="30" s="1"/>
  <c r="GIL83" i="30" s="1"/>
  <c r="GIN83" i="30" s="1"/>
  <c r="GIP83" i="30" s="1"/>
  <c r="GIR83" i="30" s="1"/>
  <c r="GIT83" i="30" s="1"/>
  <c r="GIV83" i="30" s="1"/>
  <c r="GIX83" i="30" s="1"/>
  <c r="GIZ83" i="30" s="1"/>
  <c r="GJB83" i="30" s="1"/>
  <c r="GJD83" i="30" s="1"/>
  <c r="GJF83" i="30" s="1"/>
  <c r="GJH83" i="30" s="1"/>
  <c r="GJJ83" i="30" s="1"/>
  <c r="GJL83" i="30" s="1"/>
  <c r="GJN83" i="30" s="1"/>
  <c r="GJP83" i="30" s="1"/>
  <c r="GJR83" i="30" s="1"/>
  <c r="GJT83" i="30" s="1"/>
  <c r="GJV83" i="30" s="1"/>
  <c r="GJX83" i="30" s="1"/>
  <c r="GJZ83" i="30" s="1"/>
  <c r="GKB83" i="30" s="1"/>
  <c r="GKD83" i="30" s="1"/>
  <c r="GKF83" i="30" s="1"/>
  <c r="GKH83" i="30" s="1"/>
  <c r="GKJ83" i="30" s="1"/>
  <c r="GKL83" i="30" s="1"/>
  <c r="GKN83" i="30" s="1"/>
  <c r="GKP83" i="30" s="1"/>
  <c r="GKR83" i="30" s="1"/>
  <c r="GKT83" i="30" s="1"/>
  <c r="GKV83" i="30" s="1"/>
  <c r="GKX83" i="30" s="1"/>
  <c r="GKZ83" i="30" s="1"/>
  <c r="GLB83" i="30" s="1"/>
  <c r="GLD83" i="30" s="1"/>
  <c r="GLF83" i="30" s="1"/>
  <c r="GLH83" i="30" s="1"/>
  <c r="GLJ83" i="30" s="1"/>
  <c r="GLL83" i="30" s="1"/>
  <c r="GLN83" i="30" s="1"/>
  <c r="GLP83" i="30" s="1"/>
  <c r="GLR83" i="30" s="1"/>
  <c r="GLT83" i="30" s="1"/>
  <c r="GLV83" i="30" s="1"/>
  <c r="GLX83" i="30" s="1"/>
  <c r="GLZ83" i="30" s="1"/>
  <c r="GMB83" i="30" s="1"/>
  <c r="GMD83" i="30" s="1"/>
  <c r="GMF83" i="30" s="1"/>
  <c r="GMH83" i="30" s="1"/>
  <c r="GMJ83" i="30" s="1"/>
  <c r="GML83" i="30" s="1"/>
  <c r="GMN83" i="30" s="1"/>
  <c r="GMP83" i="30" s="1"/>
  <c r="GMR83" i="30" s="1"/>
  <c r="GMT83" i="30" s="1"/>
  <c r="GMV83" i="30" s="1"/>
  <c r="GMX83" i="30" s="1"/>
  <c r="GMZ83" i="30" s="1"/>
  <c r="GNB83" i="30" s="1"/>
  <c r="GND83" i="30" s="1"/>
  <c r="GNF83" i="30" s="1"/>
  <c r="GNH83" i="30" s="1"/>
  <c r="GNJ83" i="30" s="1"/>
  <c r="GNL83" i="30" s="1"/>
  <c r="GNN83" i="30" s="1"/>
  <c r="GNP83" i="30" s="1"/>
  <c r="GNR83" i="30" s="1"/>
  <c r="GNT83" i="30" s="1"/>
  <c r="GNV83" i="30" s="1"/>
  <c r="GNX83" i="30" s="1"/>
  <c r="GNZ83" i="30" s="1"/>
  <c r="GOB83" i="30" s="1"/>
  <c r="GOD83" i="30" s="1"/>
  <c r="GOF83" i="30" s="1"/>
  <c r="GOH83" i="30" s="1"/>
  <c r="GOJ83" i="30" s="1"/>
  <c r="GOL83" i="30" s="1"/>
  <c r="GON83" i="30" s="1"/>
  <c r="GOP83" i="30" s="1"/>
  <c r="GOR83" i="30" s="1"/>
  <c r="GOT83" i="30" s="1"/>
  <c r="GOV83" i="30" s="1"/>
  <c r="GOX83" i="30" s="1"/>
  <c r="GOZ83" i="30" s="1"/>
  <c r="GPB83" i="30" s="1"/>
  <c r="GPD83" i="30" s="1"/>
  <c r="GPF83" i="30" s="1"/>
  <c r="GPH83" i="30" s="1"/>
  <c r="GPJ83" i="30" s="1"/>
  <c r="GPL83" i="30" s="1"/>
  <c r="GPN83" i="30" s="1"/>
  <c r="GPP83" i="30" s="1"/>
  <c r="GPR83" i="30" s="1"/>
  <c r="GPT83" i="30" s="1"/>
  <c r="GPV83" i="30" s="1"/>
  <c r="GPX83" i="30" s="1"/>
  <c r="GPZ83" i="30" s="1"/>
  <c r="GQB83" i="30" s="1"/>
  <c r="GQD83" i="30" s="1"/>
  <c r="GQF83" i="30" s="1"/>
  <c r="GQH83" i="30" s="1"/>
  <c r="GQJ83" i="30" s="1"/>
  <c r="GQL83" i="30" s="1"/>
  <c r="GQN83" i="30" s="1"/>
  <c r="GQP83" i="30" s="1"/>
  <c r="GQR83" i="30" s="1"/>
  <c r="GQT83" i="30" s="1"/>
  <c r="GQV83" i="30" s="1"/>
  <c r="GQX83" i="30" s="1"/>
  <c r="GQZ83" i="30" s="1"/>
  <c r="GRB83" i="30" s="1"/>
  <c r="GRD83" i="30" s="1"/>
  <c r="GRF83" i="30" s="1"/>
  <c r="GRH83" i="30" s="1"/>
  <c r="GRJ83" i="30" s="1"/>
  <c r="GRL83" i="30" s="1"/>
  <c r="GRN83" i="30" s="1"/>
  <c r="GRP83" i="30" s="1"/>
  <c r="GRR83" i="30" s="1"/>
  <c r="GRT83" i="30" s="1"/>
  <c r="GRV83" i="30" s="1"/>
  <c r="GRX83" i="30" s="1"/>
  <c r="GRZ83" i="30" s="1"/>
  <c r="GSB83" i="30" s="1"/>
  <c r="GSD83" i="30" s="1"/>
  <c r="GSF83" i="30" s="1"/>
  <c r="GSH83" i="30" s="1"/>
  <c r="GSJ83" i="30" s="1"/>
  <c r="GSL83" i="30" s="1"/>
  <c r="GSN83" i="30" s="1"/>
  <c r="GSP83" i="30" s="1"/>
  <c r="GSR83" i="30" s="1"/>
  <c r="GST83" i="30" s="1"/>
  <c r="GSV83" i="30" s="1"/>
  <c r="GSX83" i="30" s="1"/>
  <c r="GSZ83" i="30" s="1"/>
  <c r="GTB83" i="30" s="1"/>
  <c r="GTD83" i="30" s="1"/>
  <c r="GTF83" i="30" s="1"/>
  <c r="GTH83" i="30" s="1"/>
  <c r="GTJ83" i="30" s="1"/>
  <c r="GTL83" i="30" s="1"/>
  <c r="GTN83" i="30" s="1"/>
  <c r="GTP83" i="30" s="1"/>
  <c r="GTR83" i="30" s="1"/>
  <c r="GTT83" i="30" s="1"/>
  <c r="GTV83" i="30" s="1"/>
  <c r="GTX83" i="30" s="1"/>
  <c r="GTZ83" i="30" s="1"/>
  <c r="GUB83" i="30" s="1"/>
  <c r="GUD83" i="30" s="1"/>
  <c r="GUF83" i="30" s="1"/>
  <c r="GUH83" i="30" s="1"/>
  <c r="GUJ83" i="30" s="1"/>
  <c r="GUL83" i="30" s="1"/>
  <c r="GUN83" i="30" s="1"/>
  <c r="GUP83" i="30" s="1"/>
  <c r="GUR83" i="30" s="1"/>
  <c r="GUT83" i="30" s="1"/>
  <c r="GUV83" i="30" s="1"/>
  <c r="GUX83" i="30" s="1"/>
  <c r="GUZ83" i="30" s="1"/>
  <c r="GVB83" i="30" s="1"/>
  <c r="GVD83" i="30" s="1"/>
  <c r="GVF83" i="30" s="1"/>
  <c r="GVH83" i="30" s="1"/>
  <c r="GVJ83" i="30" s="1"/>
  <c r="GVL83" i="30" s="1"/>
  <c r="GVN83" i="30" s="1"/>
  <c r="GVP83" i="30" s="1"/>
  <c r="GVR83" i="30" s="1"/>
  <c r="GVT83" i="30" s="1"/>
  <c r="GVV83" i="30" s="1"/>
  <c r="GVX83" i="30" s="1"/>
  <c r="GVZ83" i="30" s="1"/>
  <c r="GWB83" i="30" s="1"/>
  <c r="GWD83" i="30" s="1"/>
  <c r="GWF83" i="30" s="1"/>
  <c r="GWH83" i="30" s="1"/>
  <c r="GWJ83" i="30" s="1"/>
  <c r="GWL83" i="30" s="1"/>
  <c r="GWN83" i="30" s="1"/>
  <c r="GWP83" i="30" s="1"/>
  <c r="GWR83" i="30" s="1"/>
  <c r="GWT83" i="30" s="1"/>
  <c r="GWV83" i="30" s="1"/>
  <c r="GWX83" i="30" s="1"/>
  <c r="GWZ83" i="30" s="1"/>
  <c r="GXB83" i="30" s="1"/>
  <c r="GXD83" i="30" s="1"/>
  <c r="GXF83" i="30" s="1"/>
  <c r="GXH83" i="30" s="1"/>
  <c r="GXJ83" i="30" s="1"/>
  <c r="GXL83" i="30" s="1"/>
  <c r="GXN83" i="30" s="1"/>
  <c r="GXP83" i="30" s="1"/>
  <c r="GXR83" i="30" s="1"/>
  <c r="GXT83" i="30" s="1"/>
  <c r="GXV83" i="30" s="1"/>
  <c r="GXX83" i="30" s="1"/>
  <c r="GXZ83" i="30" s="1"/>
  <c r="GYB83" i="30" s="1"/>
  <c r="GYD83" i="30" s="1"/>
  <c r="GYF83" i="30" s="1"/>
  <c r="GYH83" i="30" s="1"/>
  <c r="GYJ83" i="30" s="1"/>
  <c r="GYL83" i="30" s="1"/>
  <c r="GYN83" i="30" s="1"/>
  <c r="GYP83" i="30" s="1"/>
  <c r="GYR83" i="30" s="1"/>
  <c r="GYT83" i="30" s="1"/>
  <c r="GYV83" i="30" s="1"/>
  <c r="GYX83" i="30" s="1"/>
  <c r="GYZ83" i="30" s="1"/>
  <c r="GZB83" i="30" s="1"/>
  <c r="GZD83" i="30" s="1"/>
  <c r="GZF83" i="30" s="1"/>
  <c r="GZH83" i="30" s="1"/>
  <c r="GZJ83" i="30" s="1"/>
  <c r="GZL83" i="30" s="1"/>
  <c r="GZN83" i="30" s="1"/>
  <c r="GZP83" i="30" s="1"/>
  <c r="GZR83" i="30" s="1"/>
  <c r="GZT83" i="30" s="1"/>
  <c r="GZV83" i="30" s="1"/>
  <c r="GZX83" i="30" s="1"/>
  <c r="GZZ83" i="30" s="1"/>
  <c r="HAB83" i="30" s="1"/>
  <c r="HAD83" i="30" s="1"/>
  <c r="HAF83" i="30" s="1"/>
  <c r="HAH83" i="30" s="1"/>
  <c r="HAJ83" i="30" s="1"/>
  <c r="HAL83" i="30" s="1"/>
  <c r="HAN83" i="30" s="1"/>
  <c r="HAP83" i="30" s="1"/>
  <c r="HAR83" i="30" s="1"/>
  <c r="HAT83" i="30" s="1"/>
  <c r="HAV83" i="30" s="1"/>
  <c r="HAX83" i="30" s="1"/>
  <c r="HAZ83" i="30" s="1"/>
  <c r="HBB83" i="30" s="1"/>
  <c r="HBD83" i="30" s="1"/>
  <c r="HBF83" i="30" s="1"/>
  <c r="HBH83" i="30" s="1"/>
  <c r="HBJ83" i="30" s="1"/>
  <c r="HBL83" i="30" s="1"/>
  <c r="HBN83" i="30" s="1"/>
  <c r="HBP83" i="30" s="1"/>
  <c r="HBR83" i="30" s="1"/>
  <c r="HBT83" i="30" s="1"/>
  <c r="HBV83" i="30" s="1"/>
  <c r="HBX83" i="30" s="1"/>
  <c r="HBZ83" i="30" s="1"/>
  <c r="HCB83" i="30" s="1"/>
  <c r="HCD83" i="30" s="1"/>
  <c r="HCF83" i="30" s="1"/>
  <c r="HCH83" i="30" s="1"/>
  <c r="HCJ83" i="30" s="1"/>
  <c r="HCL83" i="30" s="1"/>
  <c r="HCN83" i="30" s="1"/>
  <c r="HCP83" i="30" s="1"/>
  <c r="HCR83" i="30" s="1"/>
  <c r="HCT83" i="30" s="1"/>
  <c r="HCV83" i="30" s="1"/>
  <c r="HCX83" i="30" s="1"/>
  <c r="HCZ83" i="30" s="1"/>
  <c r="HDB83" i="30" s="1"/>
  <c r="HDD83" i="30" s="1"/>
  <c r="HDF83" i="30" s="1"/>
  <c r="HDH83" i="30" s="1"/>
  <c r="HDJ83" i="30" s="1"/>
  <c r="HDL83" i="30" s="1"/>
  <c r="HDN83" i="30" s="1"/>
  <c r="HDP83" i="30" s="1"/>
  <c r="HDR83" i="30" s="1"/>
  <c r="HDT83" i="30" s="1"/>
  <c r="HDV83" i="30" s="1"/>
  <c r="HDX83" i="30" s="1"/>
  <c r="HDZ83" i="30" s="1"/>
  <c r="HEB83" i="30" s="1"/>
  <c r="HED83" i="30" s="1"/>
  <c r="HEF83" i="30" s="1"/>
  <c r="HEH83" i="30" s="1"/>
  <c r="HEJ83" i="30" s="1"/>
  <c r="HEL83" i="30" s="1"/>
  <c r="HEN83" i="30" s="1"/>
  <c r="HEP83" i="30" s="1"/>
  <c r="HER83" i="30" s="1"/>
  <c r="HET83" i="30" s="1"/>
  <c r="HEV83" i="30" s="1"/>
  <c r="HEX83" i="30" s="1"/>
  <c r="HEZ83" i="30" s="1"/>
  <c r="HFB83" i="30" s="1"/>
  <c r="HFD83" i="30" s="1"/>
  <c r="HFF83" i="30" s="1"/>
  <c r="HFH83" i="30" s="1"/>
  <c r="HFJ83" i="30" s="1"/>
  <c r="HFL83" i="30" s="1"/>
  <c r="HFN83" i="30" s="1"/>
  <c r="HFP83" i="30" s="1"/>
  <c r="HFR83" i="30" s="1"/>
  <c r="HFT83" i="30" s="1"/>
  <c r="HFV83" i="30" s="1"/>
  <c r="HFX83" i="30" s="1"/>
  <c r="HFZ83" i="30" s="1"/>
  <c r="HGB83" i="30" s="1"/>
  <c r="HGD83" i="30" s="1"/>
  <c r="HGF83" i="30" s="1"/>
  <c r="HGH83" i="30" s="1"/>
  <c r="HGJ83" i="30" s="1"/>
  <c r="HGL83" i="30" s="1"/>
  <c r="HGN83" i="30" s="1"/>
  <c r="HGP83" i="30" s="1"/>
  <c r="HGR83" i="30" s="1"/>
  <c r="HGT83" i="30" s="1"/>
  <c r="HGV83" i="30" s="1"/>
  <c r="HGX83" i="30" s="1"/>
  <c r="HGZ83" i="30" s="1"/>
  <c r="HHB83" i="30" s="1"/>
  <c r="HHD83" i="30" s="1"/>
  <c r="HHF83" i="30" s="1"/>
  <c r="HHH83" i="30" s="1"/>
  <c r="HHJ83" i="30" s="1"/>
  <c r="HHL83" i="30" s="1"/>
  <c r="HHN83" i="30" s="1"/>
  <c r="HHP83" i="30" s="1"/>
  <c r="HHR83" i="30" s="1"/>
  <c r="HHT83" i="30" s="1"/>
  <c r="HHV83" i="30" s="1"/>
  <c r="HHX83" i="30" s="1"/>
  <c r="HHZ83" i="30" s="1"/>
  <c r="HIB83" i="30" s="1"/>
  <c r="HID83" i="30" s="1"/>
  <c r="HIF83" i="30" s="1"/>
  <c r="HIH83" i="30" s="1"/>
  <c r="HIJ83" i="30" s="1"/>
  <c r="HIL83" i="30" s="1"/>
  <c r="HIN83" i="30" s="1"/>
  <c r="HIP83" i="30" s="1"/>
  <c r="HIR83" i="30" s="1"/>
  <c r="HIT83" i="30" s="1"/>
  <c r="HIV83" i="30" s="1"/>
  <c r="HIX83" i="30" s="1"/>
  <c r="HIZ83" i="30" s="1"/>
  <c r="HJB83" i="30" s="1"/>
  <c r="HJD83" i="30" s="1"/>
  <c r="HJF83" i="30" s="1"/>
  <c r="HJH83" i="30" s="1"/>
  <c r="HJJ83" i="30" s="1"/>
  <c r="HJL83" i="30" s="1"/>
  <c r="HJN83" i="30" s="1"/>
  <c r="HJP83" i="30" s="1"/>
  <c r="HJR83" i="30" s="1"/>
  <c r="HJT83" i="30" s="1"/>
  <c r="HJV83" i="30" s="1"/>
  <c r="HJX83" i="30" s="1"/>
  <c r="HJZ83" i="30" s="1"/>
  <c r="HKB83" i="30" s="1"/>
  <c r="HKD83" i="30" s="1"/>
  <c r="HKF83" i="30" s="1"/>
  <c r="HKH83" i="30" s="1"/>
  <c r="HKJ83" i="30" s="1"/>
  <c r="HKL83" i="30" s="1"/>
  <c r="HKN83" i="30" s="1"/>
  <c r="HKP83" i="30" s="1"/>
  <c r="HKR83" i="30" s="1"/>
  <c r="HKT83" i="30" s="1"/>
  <c r="HKV83" i="30" s="1"/>
  <c r="HKX83" i="30" s="1"/>
  <c r="HKZ83" i="30" s="1"/>
  <c r="HLB83" i="30" s="1"/>
  <c r="HLD83" i="30" s="1"/>
  <c r="HLF83" i="30" s="1"/>
  <c r="HLH83" i="30" s="1"/>
  <c r="HLJ83" i="30" s="1"/>
  <c r="HLL83" i="30" s="1"/>
  <c r="HLN83" i="30" s="1"/>
  <c r="HLP83" i="30" s="1"/>
  <c r="HLR83" i="30" s="1"/>
  <c r="HLT83" i="30" s="1"/>
  <c r="HLV83" i="30" s="1"/>
  <c r="HLX83" i="30" s="1"/>
  <c r="HLZ83" i="30" s="1"/>
  <c r="HMB83" i="30" s="1"/>
  <c r="HMD83" i="30" s="1"/>
  <c r="HMF83" i="30" s="1"/>
  <c r="HMH83" i="30" s="1"/>
  <c r="HMJ83" i="30" s="1"/>
  <c r="HML83" i="30" s="1"/>
  <c r="HMN83" i="30" s="1"/>
  <c r="HMP83" i="30" s="1"/>
  <c r="HMR83" i="30" s="1"/>
  <c r="HMT83" i="30" s="1"/>
  <c r="HMV83" i="30" s="1"/>
  <c r="HMX83" i="30" s="1"/>
  <c r="HMZ83" i="30" s="1"/>
  <c r="HNB83" i="30" s="1"/>
  <c r="HND83" i="30" s="1"/>
  <c r="HNF83" i="30" s="1"/>
  <c r="HNH83" i="30" s="1"/>
  <c r="HNJ83" i="30" s="1"/>
  <c r="HNL83" i="30" s="1"/>
  <c r="HNN83" i="30" s="1"/>
  <c r="HNP83" i="30" s="1"/>
  <c r="HNR83" i="30" s="1"/>
  <c r="HNT83" i="30" s="1"/>
  <c r="HNV83" i="30" s="1"/>
  <c r="HNX83" i="30" s="1"/>
  <c r="HNZ83" i="30" s="1"/>
  <c r="HOB83" i="30" s="1"/>
  <c r="HOD83" i="30" s="1"/>
  <c r="HOF83" i="30" s="1"/>
  <c r="HOH83" i="30" s="1"/>
  <c r="HOJ83" i="30" s="1"/>
  <c r="HOL83" i="30" s="1"/>
  <c r="HON83" i="30" s="1"/>
  <c r="HOP83" i="30" s="1"/>
  <c r="HOR83" i="30" s="1"/>
  <c r="HOT83" i="30" s="1"/>
  <c r="HOV83" i="30" s="1"/>
  <c r="HOX83" i="30" s="1"/>
  <c r="HOZ83" i="30" s="1"/>
  <c r="HPB83" i="30" s="1"/>
  <c r="HPD83" i="30" s="1"/>
  <c r="HPF83" i="30" s="1"/>
  <c r="HPH83" i="30" s="1"/>
  <c r="HPJ83" i="30" s="1"/>
  <c r="HPL83" i="30" s="1"/>
  <c r="HPN83" i="30" s="1"/>
  <c r="HPP83" i="30" s="1"/>
  <c r="HPR83" i="30" s="1"/>
  <c r="HPT83" i="30" s="1"/>
  <c r="HPV83" i="30" s="1"/>
  <c r="HPX83" i="30" s="1"/>
  <c r="HPZ83" i="30" s="1"/>
  <c r="HQB83" i="30" s="1"/>
  <c r="HQD83" i="30" s="1"/>
  <c r="HQF83" i="30" s="1"/>
  <c r="HQH83" i="30" s="1"/>
  <c r="HQJ83" i="30" s="1"/>
  <c r="HQL83" i="30" s="1"/>
  <c r="HQN83" i="30" s="1"/>
  <c r="HQP83" i="30" s="1"/>
  <c r="HQR83" i="30" s="1"/>
  <c r="HQT83" i="30" s="1"/>
  <c r="HQV83" i="30" s="1"/>
  <c r="HQX83" i="30" s="1"/>
  <c r="HQZ83" i="30" s="1"/>
  <c r="HRB83" i="30" s="1"/>
  <c r="HRD83" i="30" s="1"/>
  <c r="HRF83" i="30" s="1"/>
  <c r="HRH83" i="30" s="1"/>
  <c r="HRJ83" i="30" s="1"/>
  <c r="HRL83" i="30" s="1"/>
  <c r="HRN83" i="30" s="1"/>
  <c r="HRP83" i="30" s="1"/>
  <c r="HRR83" i="30" s="1"/>
  <c r="HRT83" i="30" s="1"/>
  <c r="HRV83" i="30" s="1"/>
  <c r="HRX83" i="30" s="1"/>
  <c r="HRZ83" i="30" s="1"/>
  <c r="HSB83" i="30" s="1"/>
  <c r="HSD83" i="30" s="1"/>
  <c r="HSF83" i="30" s="1"/>
  <c r="HSH83" i="30" s="1"/>
  <c r="HSJ83" i="30" s="1"/>
  <c r="HSL83" i="30" s="1"/>
  <c r="HSN83" i="30" s="1"/>
  <c r="HSP83" i="30" s="1"/>
  <c r="HSR83" i="30" s="1"/>
  <c r="HST83" i="30" s="1"/>
  <c r="HSV83" i="30" s="1"/>
  <c r="HSX83" i="30" s="1"/>
  <c r="HSZ83" i="30" s="1"/>
  <c r="HTB83" i="30" s="1"/>
  <c r="HTD83" i="30" s="1"/>
  <c r="HTF83" i="30" s="1"/>
  <c r="HTH83" i="30" s="1"/>
  <c r="HTJ83" i="30" s="1"/>
  <c r="HTL83" i="30" s="1"/>
  <c r="HTN83" i="30" s="1"/>
  <c r="HTP83" i="30" s="1"/>
  <c r="HTR83" i="30" s="1"/>
  <c r="HTT83" i="30" s="1"/>
  <c r="HTV83" i="30" s="1"/>
  <c r="HTX83" i="30" s="1"/>
  <c r="HTZ83" i="30" s="1"/>
  <c r="HUB83" i="30" s="1"/>
  <c r="HUD83" i="30" s="1"/>
  <c r="HUF83" i="30" s="1"/>
  <c r="HUH83" i="30" s="1"/>
  <c r="HUJ83" i="30" s="1"/>
  <c r="HUL83" i="30" s="1"/>
  <c r="HUN83" i="30" s="1"/>
  <c r="HUP83" i="30" s="1"/>
  <c r="HUR83" i="30" s="1"/>
  <c r="HUT83" i="30" s="1"/>
  <c r="HUV83" i="30" s="1"/>
  <c r="HUX83" i="30" s="1"/>
  <c r="HUZ83" i="30" s="1"/>
  <c r="HVB83" i="30" s="1"/>
  <c r="HVD83" i="30" s="1"/>
  <c r="HVF83" i="30" s="1"/>
  <c r="HVH83" i="30" s="1"/>
  <c r="HVJ83" i="30" s="1"/>
  <c r="HVL83" i="30" s="1"/>
  <c r="HVN83" i="30" s="1"/>
  <c r="HVP83" i="30" s="1"/>
  <c r="HVR83" i="30" s="1"/>
  <c r="HVT83" i="30" s="1"/>
  <c r="HVV83" i="30" s="1"/>
  <c r="HVX83" i="30" s="1"/>
  <c r="HVZ83" i="30" s="1"/>
  <c r="HWB83" i="30" s="1"/>
  <c r="HWD83" i="30" s="1"/>
  <c r="HWF83" i="30" s="1"/>
  <c r="HWH83" i="30" s="1"/>
  <c r="HWJ83" i="30" s="1"/>
  <c r="HWL83" i="30" s="1"/>
  <c r="HWN83" i="30" s="1"/>
  <c r="HWP83" i="30" s="1"/>
  <c r="HWR83" i="30" s="1"/>
  <c r="HWT83" i="30" s="1"/>
  <c r="HWV83" i="30" s="1"/>
  <c r="HWX83" i="30" s="1"/>
  <c r="HWZ83" i="30" s="1"/>
  <c r="HXB83" i="30" s="1"/>
  <c r="HXD83" i="30" s="1"/>
  <c r="HXF83" i="30" s="1"/>
  <c r="HXH83" i="30" s="1"/>
  <c r="HXJ83" i="30" s="1"/>
  <c r="HXL83" i="30" s="1"/>
  <c r="HXN83" i="30" s="1"/>
  <c r="HXP83" i="30" s="1"/>
  <c r="HXR83" i="30" s="1"/>
  <c r="HXT83" i="30" s="1"/>
  <c r="HXV83" i="30" s="1"/>
  <c r="HXX83" i="30" s="1"/>
  <c r="HXZ83" i="30" s="1"/>
  <c r="HYB83" i="30" s="1"/>
  <c r="HYD83" i="30" s="1"/>
  <c r="HYF83" i="30" s="1"/>
  <c r="HYH83" i="30" s="1"/>
  <c r="HYJ83" i="30" s="1"/>
  <c r="HYL83" i="30" s="1"/>
  <c r="HYN83" i="30" s="1"/>
  <c r="HYP83" i="30" s="1"/>
  <c r="HYR83" i="30" s="1"/>
  <c r="HYT83" i="30" s="1"/>
  <c r="HYV83" i="30" s="1"/>
  <c r="HYX83" i="30" s="1"/>
  <c r="HYZ83" i="30" s="1"/>
  <c r="HZB83" i="30" s="1"/>
  <c r="HZD83" i="30" s="1"/>
  <c r="HZF83" i="30" s="1"/>
  <c r="HZH83" i="30" s="1"/>
  <c r="HZJ83" i="30" s="1"/>
  <c r="HZL83" i="30" s="1"/>
  <c r="HZN83" i="30" s="1"/>
  <c r="HZP83" i="30" s="1"/>
  <c r="HZR83" i="30" s="1"/>
  <c r="HZT83" i="30" s="1"/>
  <c r="HZV83" i="30" s="1"/>
  <c r="HZX83" i="30" s="1"/>
  <c r="HZZ83" i="30" s="1"/>
  <c r="IAB83" i="30" s="1"/>
  <c r="IAD83" i="30" s="1"/>
  <c r="IAF83" i="30" s="1"/>
  <c r="IAH83" i="30" s="1"/>
  <c r="IAJ83" i="30" s="1"/>
  <c r="IAL83" i="30" s="1"/>
  <c r="IAN83" i="30" s="1"/>
  <c r="IAP83" i="30" s="1"/>
  <c r="IAR83" i="30" s="1"/>
  <c r="IAT83" i="30" s="1"/>
  <c r="IAV83" i="30" s="1"/>
  <c r="IAX83" i="30" s="1"/>
  <c r="IAZ83" i="30" s="1"/>
  <c r="IBB83" i="30" s="1"/>
  <c r="IBD83" i="30" s="1"/>
  <c r="IBF83" i="30" s="1"/>
  <c r="IBH83" i="30" s="1"/>
  <c r="IBJ83" i="30" s="1"/>
  <c r="IBL83" i="30" s="1"/>
  <c r="IBN83" i="30" s="1"/>
  <c r="IBP83" i="30" s="1"/>
  <c r="IBR83" i="30" s="1"/>
  <c r="IBT83" i="30" s="1"/>
  <c r="IBV83" i="30" s="1"/>
  <c r="IBX83" i="30" s="1"/>
  <c r="IBZ83" i="30" s="1"/>
  <c r="ICB83" i="30" s="1"/>
  <c r="ICD83" i="30" s="1"/>
  <c r="ICF83" i="30" s="1"/>
  <c r="ICH83" i="30" s="1"/>
  <c r="ICJ83" i="30" s="1"/>
  <c r="ICL83" i="30" s="1"/>
  <c r="ICN83" i="30" s="1"/>
  <c r="ICP83" i="30" s="1"/>
  <c r="ICR83" i="30" s="1"/>
  <c r="ICT83" i="30" s="1"/>
  <c r="ICV83" i="30" s="1"/>
  <c r="ICX83" i="30" s="1"/>
  <c r="ICZ83" i="30" s="1"/>
  <c r="IDB83" i="30" s="1"/>
  <c r="IDD83" i="30" s="1"/>
  <c r="IDF83" i="30" s="1"/>
  <c r="IDH83" i="30" s="1"/>
  <c r="IDJ83" i="30" s="1"/>
  <c r="IDL83" i="30" s="1"/>
  <c r="IDN83" i="30" s="1"/>
  <c r="IDP83" i="30" s="1"/>
  <c r="IDR83" i="30" s="1"/>
  <c r="IDT83" i="30" s="1"/>
  <c r="IDV83" i="30" s="1"/>
  <c r="IDX83" i="30" s="1"/>
  <c r="IDZ83" i="30" s="1"/>
  <c r="IEB83" i="30" s="1"/>
  <c r="IED83" i="30" s="1"/>
  <c r="IEF83" i="30" s="1"/>
  <c r="IEH83" i="30" s="1"/>
  <c r="IEJ83" i="30" s="1"/>
  <c r="IEL83" i="30" s="1"/>
  <c r="IEN83" i="30" s="1"/>
  <c r="IEP83" i="30" s="1"/>
  <c r="IER83" i="30" s="1"/>
  <c r="IET83" i="30" s="1"/>
  <c r="IEV83" i="30" s="1"/>
  <c r="IEX83" i="30" s="1"/>
  <c r="IEZ83" i="30" s="1"/>
  <c r="IFB83" i="30" s="1"/>
  <c r="IFD83" i="30" s="1"/>
  <c r="IFF83" i="30" s="1"/>
  <c r="IFH83" i="30" s="1"/>
  <c r="IFJ83" i="30" s="1"/>
  <c r="IFL83" i="30" s="1"/>
  <c r="IFN83" i="30" s="1"/>
  <c r="IFP83" i="30" s="1"/>
  <c r="IFR83" i="30" s="1"/>
  <c r="IFT83" i="30" s="1"/>
  <c r="IFV83" i="30" s="1"/>
  <c r="IFX83" i="30" s="1"/>
  <c r="IFZ83" i="30" s="1"/>
  <c r="IGB83" i="30" s="1"/>
  <c r="IGD83" i="30" s="1"/>
  <c r="IGF83" i="30" s="1"/>
  <c r="IGH83" i="30" s="1"/>
  <c r="IGJ83" i="30" s="1"/>
  <c r="IGL83" i="30" s="1"/>
  <c r="IGN83" i="30" s="1"/>
  <c r="IGP83" i="30" s="1"/>
  <c r="IGR83" i="30" s="1"/>
  <c r="IGT83" i="30" s="1"/>
  <c r="IGV83" i="30" s="1"/>
  <c r="IGX83" i="30" s="1"/>
  <c r="IGZ83" i="30" s="1"/>
  <c r="IHB83" i="30" s="1"/>
  <c r="IHD83" i="30" s="1"/>
  <c r="IHF83" i="30" s="1"/>
  <c r="IHH83" i="30" s="1"/>
  <c r="IHJ83" i="30" s="1"/>
  <c r="IHL83" i="30" s="1"/>
  <c r="IHN83" i="30" s="1"/>
  <c r="IHP83" i="30" s="1"/>
  <c r="IHR83" i="30" s="1"/>
  <c r="IHT83" i="30" s="1"/>
  <c r="IHV83" i="30" s="1"/>
  <c r="IHX83" i="30" s="1"/>
  <c r="IHZ83" i="30" s="1"/>
  <c r="IIB83" i="30" s="1"/>
  <c r="IID83" i="30" s="1"/>
  <c r="IIF83" i="30" s="1"/>
  <c r="IIH83" i="30" s="1"/>
  <c r="IIJ83" i="30" s="1"/>
  <c r="IIL83" i="30" s="1"/>
  <c r="IIN83" i="30" s="1"/>
  <c r="IIP83" i="30" s="1"/>
  <c r="IIR83" i="30" s="1"/>
  <c r="IIT83" i="30" s="1"/>
  <c r="IIV83" i="30" s="1"/>
  <c r="IIX83" i="30" s="1"/>
  <c r="IIZ83" i="30" s="1"/>
  <c r="IJB83" i="30" s="1"/>
  <c r="IJD83" i="30" s="1"/>
  <c r="IJF83" i="30" s="1"/>
  <c r="IJH83" i="30" s="1"/>
  <c r="IJJ83" i="30" s="1"/>
  <c r="IJL83" i="30" s="1"/>
  <c r="IJN83" i="30" s="1"/>
  <c r="IJP83" i="30" s="1"/>
  <c r="IJR83" i="30" s="1"/>
  <c r="IJT83" i="30" s="1"/>
  <c r="IJV83" i="30" s="1"/>
  <c r="IJX83" i="30" s="1"/>
  <c r="IJZ83" i="30" s="1"/>
  <c r="IKB83" i="30" s="1"/>
  <c r="IKD83" i="30" s="1"/>
  <c r="IKF83" i="30" s="1"/>
  <c r="IKH83" i="30" s="1"/>
  <c r="IKJ83" i="30" s="1"/>
  <c r="IKL83" i="30" s="1"/>
  <c r="IKN83" i="30" s="1"/>
  <c r="IKP83" i="30" s="1"/>
  <c r="IKR83" i="30" s="1"/>
  <c r="IKT83" i="30" s="1"/>
  <c r="IKV83" i="30" s="1"/>
  <c r="IKX83" i="30" s="1"/>
  <c r="IKZ83" i="30" s="1"/>
  <c r="ILB83" i="30" s="1"/>
  <c r="ILD83" i="30" s="1"/>
  <c r="ILF83" i="30" s="1"/>
  <c r="ILH83" i="30" s="1"/>
  <c r="ILJ83" i="30" s="1"/>
  <c r="ILL83" i="30" s="1"/>
  <c r="ILN83" i="30" s="1"/>
  <c r="ILP83" i="30" s="1"/>
  <c r="ILR83" i="30" s="1"/>
  <c r="ILT83" i="30" s="1"/>
  <c r="ILV83" i="30" s="1"/>
  <c r="ILX83" i="30" s="1"/>
  <c r="ILZ83" i="30" s="1"/>
  <c r="IMB83" i="30" s="1"/>
  <c r="IMD83" i="30" s="1"/>
  <c r="IMF83" i="30" s="1"/>
  <c r="IMH83" i="30" s="1"/>
  <c r="IMJ83" i="30" s="1"/>
  <c r="IML83" i="30" s="1"/>
  <c r="IMN83" i="30" s="1"/>
  <c r="IMP83" i="30" s="1"/>
  <c r="IMR83" i="30" s="1"/>
  <c r="IMT83" i="30" s="1"/>
  <c r="IMV83" i="30" s="1"/>
  <c r="IMX83" i="30" s="1"/>
  <c r="IMZ83" i="30" s="1"/>
  <c r="INB83" i="30" s="1"/>
  <c r="IND83" i="30" s="1"/>
  <c r="INF83" i="30" s="1"/>
  <c r="INH83" i="30" s="1"/>
  <c r="INJ83" i="30" s="1"/>
  <c r="INL83" i="30" s="1"/>
  <c r="INN83" i="30" s="1"/>
  <c r="INP83" i="30" s="1"/>
  <c r="INR83" i="30" s="1"/>
  <c r="INT83" i="30" s="1"/>
  <c r="INV83" i="30" s="1"/>
  <c r="INX83" i="30" s="1"/>
  <c r="INZ83" i="30" s="1"/>
  <c r="IOB83" i="30" s="1"/>
  <c r="IOD83" i="30" s="1"/>
  <c r="IOF83" i="30" s="1"/>
  <c r="IOH83" i="30" s="1"/>
  <c r="IOJ83" i="30" s="1"/>
  <c r="IOL83" i="30" s="1"/>
  <c r="ION83" i="30" s="1"/>
  <c r="IOP83" i="30" s="1"/>
  <c r="IOR83" i="30" s="1"/>
  <c r="IOT83" i="30" s="1"/>
  <c r="IOV83" i="30" s="1"/>
  <c r="IOX83" i="30" s="1"/>
  <c r="IOZ83" i="30" s="1"/>
  <c r="IPB83" i="30" s="1"/>
  <c r="IPD83" i="30" s="1"/>
  <c r="IPF83" i="30" s="1"/>
  <c r="IPH83" i="30" s="1"/>
  <c r="IPJ83" i="30" s="1"/>
  <c r="IPL83" i="30" s="1"/>
  <c r="IPN83" i="30" s="1"/>
  <c r="IPP83" i="30" s="1"/>
  <c r="IPR83" i="30" s="1"/>
  <c r="IPT83" i="30" s="1"/>
  <c r="IPV83" i="30" s="1"/>
  <c r="IPX83" i="30" s="1"/>
  <c r="IPZ83" i="30" s="1"/>
  <c r="IQB83" i="30" s="1"/>
  <c r="IQD83" i="30" s="1"/>
  <c r="IQF83" i="30" s="1"/>
  <c r="IQH83" i="30" s="1"/>
  <c r="IQJ83" i="30" s="1"/>
  <c r="IQL83" i="30" s="1"/>
  <c r="IQN83" i="30" s="1"/>
  <c r="IQP83" i="30" s="1"/>
  <c r="IQR83" i="30" s="1"/>
  <c r="IQT83" i="30" s="1"/>
  <c r="IQV83" i="30" s="1"/>
  <c r="IQX83" i="30" s="1"/>
  <c r="IQZ83" i="30" s="1"/>
  <c r="IRB83" i="30" s="1"/>
  <c r="IRD83" i="30" s="1"/>
  <c r="IRF83" i="30" s="1"/>
  <c r="IRH83" i="30" s="1"/>
  <c r="IRJ83" i="30" s="1"/>
  <c r="IRL83" i="30" s="1"/>
  <c r="IRN83" i="30" s="1"/>
  <c r="IRP83" i="30" s="1"/>
  <c r="IRR83" i="30" s="1"/>
  <c r="IRT83" i="30" s="1"/>
  <c r="IRV83" i="30" s="1"/>
  <c r="IRX83" i="30" s="1"/>
  <c r="IRZ83" i="30" s="1"/>
  <c r="ISB83" i="30" s="1"/>
  <c r="ISD83" i="30" s="1"/>
  <c r="ISF83" i="30" s="1"/>
  <c r="ISH83" i="30" s="1"/>
  <c r="ISJ83" i="30" s="1"/>
  <c r="ISL83" i="30" s="1"/>
  <c r="ISN83" i="30" s="1"/>
  <c r="ISP83" i="30" s="1"/>
  <c r="ISR83" i="30" s="1"/>
  <c r="IST83" i="30" s="1"/>
  <c r="ISV83" i="30" s="1"/>
  <c r="ISX83" i="30" s="1"/>
  <c r="ISZ83" i="30" s="1"/>
  <c r="ITB83" i="30" s="1"/>
  <c r="ITD83" i="30" s="1"/>
  <c r="ITF83" i="30" s="1"/>
  <c r="ITH83" i="30" s="1"/>
  <c r="ITJ83" i="30" s="1"/>
  <c r="ITL83" i="30" s="1"/>
  <c r="ITN83" i="30" s="1"/>
  <c r="ITP83" i="30" s="1"/>
  <c r="ITR83" i="30" s="1"/>
  <c r="ITT83" i="30" s="1"/>
  <c r="ITV83" i="30" s="1"/>
  <c r="ITX83" i="30" s="1"/>
  <c r="ITZ83" i="30" s="1"/>
  <c r="IUB83" i="30" s="1"/>
  <c r="IUD83" i="30" s="1"/>
  <c r="IUF83" i="30" s="1"/>
  <c r="IUH83" i="30" s="1"/>
  <c r="IUJ83" i="30" s="1"/>
  <c r="IUL83" i="30" s="1"/>
  <c r="IUN83" i="30" s="1"/>
  <c r="IUP83" i="30" s="1"/>
  <c r="IUR83" i="30" s="1"/>
  <c r="IUT83" i="30" s="1"/>
  <c r="IUV83" i="30" s="1"/>
  <c r="IUX83" i="30" s="1"/>
  <c r="IUZ83" i="30" s="1"/>
  <c r="IVB83" i="30" s="1"/>
  <c r="IVD83" i="30" s="1"/>
  <c r="IVF83" i="30" s="1"/>
  <c r="IVH83" i="30" s="1"/>
  <c r="IVJ83" i="30" s="1"/>
  <c r="IVL83" i="30" s="1"/>
  <c r="IVN83" i="30" s="1"/>
  <c r="IVP83" i="30" s="1"/>
  <c r="IVR83" i="30" s="1"/>
  <c r="IVT83" i="30" s="1"/>
  <c r="IVV83" i="30" s="1"/>
  <c r="IVX83" i="30" s="1"/>
  <c r="IVZ83" i="30" s="1"/>
  <c r="IWB83" i="30" s="1"/>
  <c r="IWD83" i="30" s="1"/>
  <c r="IWF83" i="30" s="1"/>
  <c r="IWH83" i="30" s="1"/>
  <c r="IWJ83" i="30" s="1"/>
  <c r="IWL83" i="30" s="1"/>
  <c r="IWN83" i="30" s="1"/>
  <c r="IWP83" i="30" s="1"/>
  <c r="IWR83" i="30" s="1"/>
  <c r="IWT83" i="30" s="1"/>
  <c r="IWV83" i="30" s="1"/>
  <c r="IWX83" i="30" s="1"/>
  <c r="IWZ83" i="30" s="1"/>
  <c r="IXB83" i="30" s="1"/>
  <c r="IXD83" i="30" s="1"/>
  <c r="IXF83" i="30" s="1"/>
  <c r="IXH83" i="30" s="1"/>
  <c r="IXJ83" i="30" s="1"/>
  <c r="IXL83" i="30" s="1"/>
  <c r="IXN83" i="30" s="1"/>
  <c r="IXP83" i="30" s="1"/>
  <c r="IXR83" i="30" s="1"/>
  <c r="IXT83" i="30" s="1"/>
  <c r="IXV83" i="30" s="1"/>
  <c r="IXX83" i="30" s="1"/>
  <c r="IXZ83" i="30" s="1"/>
  <c r="IYB83" i="30" s="1"/>
  <c r="IYD83" i="30" s="1"/>
  <c r="IYF83" i="30" s="1"/>
  <c r="IYH83" i="30" s="1"/>
  <c r="IYJ83" i="30" s="1"/>
  <c r="IYL83" i="30" s="1"/>
  <c r="IYN83" i="30" s="1"/>
  <c r="IYP83" i="30" s="1"/>
  <c r="IYR83" i="30" s="1"/>
  <c r="IYT83" i="30" s="1"/>
  <c r="IYV83" i="30" s="1"/>
  <c r="IYX83" i="30" s="1"/>
  <c r="IYZ83" i="30" s="1"/>
  <c r="IZB83" i="30" s="1"/>
  <c r="IZD83" i="30" s="1"/>
  <c r="IZF83" i="30" s="1"/>
  <c r="IZH83" i="30" s="1"/>
  <c r="IZJ83" i="30" s="1"/>
  <c r="IZL83" i="30" s="1"/>
  <c r="IZN83" i="30" s="1"/>
  <c r="IZP83" i="30" s="1"/>
  <c r="IZR83" i="30" s="1"/>
  <c r="IZT83" i="30" s="1"/>
  <c r="IZV83" i="30" s="1"/>
  <c r="IZX83" i="30" s="1"/>
  <c r="IZZ83" i="30" s="1"/>
  <c r="JAB83" i="30" s="1"/>
  <c r="JAD83" i="30" s="1"/>
  <c r="JAF83" i="30" s="1"/>
  <c r="JAH83" i="30" s="1"/>
  <c r="JAJ83" i="30" s="1"/>
  <c r="JAL83" i="30" s="1"/>
  <c r="JAN83" i="30" s="1"/>
  <c r="JAP83" i="30" s="1"/>
  <c r="JAR83" i="30" s="1"/>
  <c r="JAT83" i="30" s="1"/>
  <c r="JAV83" i="30" s="1"/>
  <c r="JAX83" i="30" s="1"/>
  <c r="JAZ83" i="30" s="1"/>
  <c r="JBB83" i="30" s="1"/>
  <c r="JBD83" i="30" s="1"/>
  <c r="JBF83" i="30" s="1"/>
  <c r="JBH83" i="30" s="1"/>
  <c r="JBJ83" i="30" s="1"/>
  <c r="JBL83" i="30" s="1"/>
  <c r="JBN83" i="30" s="1"/>
  <c r="JBP83" i="30" s="1"/>
  <c r="JBR83" i="30" s="1"/>
  <c r="JBT83" i="30" s="1"/>
  <c r="JBV83" i="30" s="1"/>
  <c r="JBX83" i="30" s="1"/>
  <c r="JBZ83" i="30" s="1"/>
  <c r="JCB83" i="30" s="1"/>
  <c r="JCD83" i="30" s="1"/>
  <c r="JCF83" i="30" s="1"/>
  <c r="JCH83" i="30" s="1"/>
  <c r="JCJ83" i="30" s="1"/>
  <c r="JCL83" i="30" s="1"/>
  <c r="JCN83" i="30" s="1"/>
  <c r="JCP83" i="30" s="1"/>
  <c r="JCR83" i="30" s="1"/>
  <c r="JCT83" i="30" s="1"/>
  <c r="JCV83" i="30" s="1"/>
  <c r="JCX83" i="30" s="1"/>
  <c r="JCZ83" i="30" s="1"/>
  <c r="JDB83" i="30" s="1"/>
  <c r="JDD83" i="30" s="1"/>
  <c r="JDF83" i="30" s="1"/>
  <c r="JDH83" i="30" s="1"/>
  <c r="JDJ83" i="30" s="1"/>
  <c r="JDL83" i="30" s="1"/>
  <c r="JDN83" i="30" s="1"/>
  <c r="JDP83" i="30" s="1"/>
  <c r="JDR83" i="30" s="1"/>
  <c r="JDT83" i="30" s="1"/>
  <c r="JDV83" i="30" s="1"/>
  <c r="JDX83" i="30" s="1"/>
  <c r="JDZ83" i="30" s="1"/>
  <c r="JEB83" i="30" s="1"/>
  <c r="JED83" i="30" s="1"/>
  <c r="JEF83" i="30" s="1"/>
  <c r="JEH83" i="30" s="1"/>
  <c r="JEJ83" i="30" s="1"/>
  <c r="JEL83" i="30" s="1"/>
  <c r="JEN83" i="30" s="1"/>
  <c r="JEP83" i="30" s="1"/>
  <c r="JER83" i="30" s="1"/>
  <c r="JET83" i="30" s="1"/>
  <c r="JEV83" i="30" s="1"/>
  <c r="JEX83" i="30" s="1"/>
  <c r="JEZ83" i="30" s="1"/>
  <c r="JFB83" i="30" s="1"/>
  <c r="JFD83" i="30" s="1"/>
  <c r="JFF83" i="30" s="1"/>
  <c r="JFH83" i="30" s="1"/>
  <c r="JFJ83" i="30" s="1"/>
  <c r="JFL83" i="30" s="1"/>
  <c r="JFN83" i="30" s="1"/>
  <c r="JFP83" i="30" s="1"/>
  <c r="JFR83" i="30" s="1"/>
  <c r="JFT83" i="30" s="1"/>
  <c r="JFV83" i="30" s="1"/>
  <c r="JFX83" i="30" s="1"/>
  <c r="JFZ83" i="30" s="1"/>
  <c r="JGB83" i="30" s="1"/>
  <c r="JGD83" i="30" s="1"/>
  <c r="JGF83" i="30" s="1"/>
  <c r="JGH83" i="30" s="1"/>
  <c r="JGJ83" i="30" s="1"/>
  <c r="JGL83" i="30" s="1"/>
  <c r="JGN83" i="30" s="1"/>
  <c r="JGP83" i="30" s="1"/>
  <c r="JGR83" i="30" s="1"/>
  <c r="JGT83" i="30" s="1"/>
  <c r="JGV83" i="30" s="1"/>
  <c r="JGX83" i="30" s="1"/>
  <c r="JGZ83" i="30" s="1"/>
  <c r="JHB83" i="30" s="1"/>
  <c r="JHD83" i="30" s="1"/>
  <c r="JHF83" i="30" s="1"/>
  <c r="JHH83" i="30" s="1"/>
  <c r="JHJ83" i="30" s="1"/>
  <c r="JHL83" i="30" s="1"/>
  <c r="JHN83" i="30" s="1"/>
  <c r="JHP83" i="30" s="1"/>
  <c r="JHR83" i="30" s="1"/>
  <c r="JHT83" i="30" s="1"/>
  <c r="JHV83" i="30" s="1"/>
  <c r="JHX83" i="30" s="1"/>
  <c r="JHZ83" i="30" s="1"/>
  <c r="JIB83" i="30" s="1"/>
  <c r="JID83" i="30" s="1"/>
  <c r="JIF83" i="30" s="1"/>
  <c r="JIH83" i="30" s="1"/>
  <c r="JIJ83" i="30" s="1"/>
  <c r="JIL83" i="30" s="1"/>
  <c r="JIN83" i="30" s="1"/>
  <c r="JIP83" i="30" s="1"/>
  <c r="JIR83" i="30" s="1"/>
  <c r="JIT83" i="30" s="1"/>
  <c r="JIV83" i="30" s="1"/>
  <c r="JIX83" i="30" s="1"/>
  <c r="JIZ83" i="30" s="1"/>
  <c r="JJB83" i="30" s="1"/>
  <c r="JJD83" i="30" s="1"/>
  <c r="JJF83" i="30" s="1"/>
  <c r="JJH83" i="30" s="1"/>
  <c r="JJJ83" i="30" s="1"/>
  <c r="JJL83" i="30" s="1"/>
  <c r="JJN83" i="30" s="1"/>
  <c r="JJP83" i="30" s="1"/>
  <c r="JJR83" i="30" s="1"/>
  <c r="JJT83" i="30" s="1"/>
  <c r="JJV83" i="30" s="1"/>
  <c r="JJX83" i="30" s="1"/>
  <c r="JJZ83" i="30" s="1"/>
  <c r="JKB83" i="30" s="1"/>
  <c r="JKD83" i="30" s="1"/>
  <c r="JKF83" i="30" s="1"/>
  <c r="JKH83" i="30" s="1"/>
  <c r="JKJ83" i="30" s="1"/>
  <c r="JKL83" i="30" s="1"/>
  <c r="JKN83" i="30" s="1"/>
  <c r="JKP83" i="30" s="1"/>
  <c r="JKR83" i="30" s="1"/>
  <c r="JKT83" i="30" s="1"/>
  <c r="JKV83" i="30" s="1"/>
  <c r="JKX83" i="30" s="1"/>
  <c r="JKZ83" i="30" s="1"/>
  <c r="JLB83" i="30" s="1"/>
  <c r="JLD83" i="30" s="1"/>
  <c r="JLF83" i="30" s="1"/>
  <c r="JLH83" i="30" s="1"/>
  <c r="JLJ83" i="30" s="1"/>
  <c r="JLL83" i="30" s="1"/>
  <c r="JLN83" i="30" s="1"/>
  <c r="JLP83" i="30" s="1"/>
  <c r="JLR83" i="30" s="1"/>
  <c r="JLT83" i="30" s="1"/>
  <c r="JLV83" i="30" s="1"/>
  <c r="JLX83" i="30" s="1"/>
  <c r="JLZ83" i="30" s="1"/>
  <c r="JMB83" i="30" s="1"/>
  <c r="JMD83" i="30" s="1"/>
  <c r="JMF83" i="30" s="1"/>
  <c r="JMH83" i="30" s="1"/>
  <c r="JMJ83" i="30" s="1"/>
  <c r="JML83" i="30" s="1"/>
  <c r="JMN83" i="30" s="1"/>
  <c r="JMP83" i="30" s="1"/>
  <c r="JMR83" i="30" s="1"/>
  <c r="JMT83" i="30" s="1"/>
  <c r="JMV83" i="30" s="1"/>
  <c r="JMX83" i="30" s="1"/>
  <c r="JMZ83" i="30" s="1"/>
  <c r="JNB83" i="30" s="1"/>
  <c r="JND83" i="30" s="1"/>
  <c r="JNF83" i="30" s="1"/>
  <c r="JNH83" i="30" s="1"/>
  <c r="JNJ83" i="30" s="1"/>
  <c r="JNL83" i="30" s="1"/>
  <c r="JNN83" i="30" s="1"/>
  <c r="JNP83" i="30" s="1"/>
  <c r="JNR83" i="30" s="1"/>
  <c r="JNT83" i="30" s="1"/>
  <c r="JNV83" i="30" s="1"/>
  <c r="JNX83" i="30" s="1"/>
  <c r="JNZ83" i="30" s="1"/>
  <c r="JOB83" i="30" s="1"/>
  <c r="JOD83" i="30" s="1"/>
  <c r="JOF83" i="30" s="1"/>
  <c r="JOH83" i="30" s="1"/>
  <c r="JOJ83" i="30" s="1"/>
  <c r="JOL83" i="30" s="1"/>
  <c r="JON83" i="30" s="1"/>
  <c r="JOP83" i="30" s="1"/>
  <c r="JOR83" i="30" s="1"/>
  <c r="JOT83" i="30" s="1"/>
  <c r="JOV83" i="30" s="1"/>
  <c r="JOX83" i="30" s="1"/>
  <c r="JOZ83" i="30" s="1"/>
  <c r="JPB83" i="30" s="1"/>
  <c r="JPD83" i="30" s="1"/>
  <c r="JPF83" i="30" s="1"/>
  <c r="JPH83" i="30" s="1"/>
  <c r="JPJ83" i="30" s="1"/>
  <c r="JPL83" i="30" s="1"/>
  <c r="JPN83" i="30" s="1"/>
  <c r="JPP83" i="30" s="1"/>
  <c r="JPR83" i="30" s="1"/>
  <c r="JPT83" i="30" s="1"/>
  <c r="JPV83" i="30" s="1"/>
  <c r="JPX83" i="30" s="1"/>
  <c r="JPZ83" i="30" s="1"/>
  <c r="JQB83" i="30" s="1"/>
  <c r="JQD83" i="30" s="1"/>
  <c r="JQF83" i="30" s="1"/>
  <c r="JQH83" i="30" s="1"/>
  <c r="JQJ83" i="30" s="1"/>
  <c r="JQL83" i="30" s="1"/>
  <c r="JQN83" i="30" s="1"/>
  <c r="JQP83" i="30" s="1"/>
  <c r="JQR83" i="30" s="1"/>
  <c r="JQT83" i="30" s="1"/>
  <c r="JQV83" i="30" s="1"/>
  <c r="JQX83" i="30" s="1"/>
  <c r="JQZ83" i="30" s="1"/>
  <c r="JRB83" i="30" s="1"/>
  <c r="JRD83" i="30" s="1"/>
  <c r="JRF83" i="30" s="1"/>
  <c r="JRH83" i="30" s="1"/>
  <c r="JRJ83" i="30" s="1"/>
  <c r="JRL83" i="30" s="1"/>
  <c r="JRN83" i="30" s="1"/>
  <c r="JRP83" i="30" s="1"/>
  <c r="JRR83" i="30" s="1"/>
  <c r="JRT83" i="30" s="1"/>
  <c r="JRV83" i="30" s="1"/>
  <c r="JRX83" i="30" s="1"/>
  <c r="JRZ83" i="30" s="1"/>
  <c r="JSB83" i="30" s="1"/>
  <c r="JSD83" i="30" s="1"/>
  <c r="JSF83" i="30" s="1"/>
  <c r="JSH83" i="30" s="1"/>
  <c r="JSJ83" i="30" s="1"/>
  <c r="JSL83" i="30" s="1"/>
  <c r="JSN83" i="30" s="1"/>
  <c r="JSP83" i="30" s="1"/>
  <c r="JSR83" i="30" s="1"/>
  <c r="JST83" i="30" s="1"/>
  <c r="JSV83" i="30" s="1"/>
  <c r="JSX83" i="30" s="1"/>
  <c r="JSZ83" i="30" s="1"/>
  <c r="JTB83" i="30" s="1"/>
  <c r="JTD83" i="30" s="1"/>
  <c r="JTF83" i="30" s="1"/>
  <c r="JTH83" i="30" s="1"/>
  <c r="JTJ83" i="30" s="1"/>
  <c r="JTL83" i="30" s="1"/>
  <c r="JTN83" i="30" s="1"/>
  <c r="JTP83" i="30" s="1"/>
  <c r="JTR83" i="30" s="1"/>
  <c r="JTT83" i="30" s="1"/>
  <c r="JTV83" i="30" s="1"/>
  <c r="JTX83" i="30" s="1"/>
  <c r="JTZ83" i="30" s="1"/>
  <c r="JUB83" i="30" s="1"/>
  <c r="JUD83" i="30" s="1"/>
  <c r="JUF83" i="30" s="1"/>
  <c r="JUH83" i="30" s="1"/>
  <c r="JUJ83" i="30" s="1"/>
  <c r="JUL83" i="30" s="1"/>
  <c r="JUN83" i="30" s="1"/>
  <c r="JUP83" i="30" s="1"/>
  <c r="JUR83" i="30" s="1"/>
  <c r="JUT83" i="30" s="1"/>
  <c r="JUV83" i="30" s="1"/>
  <c r="JUX83" i="30" s="1"/>
  <c r="JUZ83" i="30" s="1"/>
  <c r="JVB83" i="30" s="1"/>
  <c r="JVD83" i="30" s="1"/>
  <c r="JVF83" i="30" s="1"/>
  <c r="JVH83" i="30" s="1"/>
  <c r="JVJ83" i="30" s="1"/>
  <c r="JVL83" i="30" s="1"/>
  <c r="JVN83" i="30" s="1"/>
  <c r="JVP83" i="30" s="1"/>
  <c r="JVR83" i="30" s="1"/>
  <c r="JVT83" i="30" s="1"/>
  <c r="JVV83" i="30" s="1"/>
  <c r="JVX83" i="30" s="1"/>
  <c r="JVZ83" i="30" s="1"/>
  <c r="JWB83" i="30" s="1"/>
  <c r="JWD83" i="30" s="1"/>
  <c r="JWF83" i="30" s="1"/>
  <c r="JWH83" i="30" s="1"/>
  <c r="JWJ83" i="30" s="1"/>
  <c r="JWL83" i="30" s="1"/>
  <c r="JWN83" i="30" s="1"/>
  <c r="JWP83" i="30" s="1"/>
  <c r="JWR83" i="30" s="1"/>
  <c r="JWT83" i="30" s="1"/>
  <c r="JWV83" i="30" s="1"/>
  <c r="JWX83" i="30" s="1"/>
  <c r="JWZ83" i="30" s="1"/>
  <c r="JXB83" i="30" s="1"/>
  <c r="JXD83" i="30" s="1"/>
  <c r="JXF83" i="30" s="1"/>
  <c r="JXH83" i="30" s="1"/>
  <c r="JXJ83" i="30" s="1"/>
  <c r="JXL83" i="30" s="1"/>
  <c r="JXN83" i="30" s="1"/>
  <c r="JXP83" i="30" s="1"/>
  <c r="JXR83" i="30" s="1"/>
  <c r="JXT83" i="30" s="1"/>
  <c r="JXV83" i="30" s="1"/>
  <c r="JXX83" i="30" s="1"/>
  <c r="JXZ83" i="30" s="1"/>
  <c r="JYB83" i="30" s="1"/>
  <c r="JYD83" i="30" s="1"/>
  <c r="JYF83" i="30" s="1"/>
  <c r="JYH83" i="30" s="1"/>
  <c r="JYJ83" i="30" s="1"/>
  <c r="JYL83" i="30" s="1"/>
  <c r="JYN83" i="30" s="1"/>
  <c r="JYP83" i="30" s="1"/>
  <c r="JYR83" i="30" s="1"/>
  <c r="JYT83" i="30" s="1"/>
  <c r="JYV83" i="30" s="1"/>
  <c r="JYX83" i="30" s="1"/>
  <c r="JYZ83" i="30" s="1"/>
  <c r="JZB83" i="30" s="1"/>
  <c r="JZD83" i="30" s="1"/>
  <c r="JZF83" i="30" s="1"/>
  <c r="JZH83" i="30" s="1"/>
  <c r="JZJ83" i="30" s="1"/>
  <c r="JZL83" i="30" s="1"/>
  <c r="JZN83" i="30" s="1"/>
  <c r="JZP83" i="30" s="1"/>
  <c r="JZR83" i="30" s="1"/>
  <c r="JZT83" i="30" s="1"/>
  <c r="JZV83" i="30" s="1"/>
  <c r="JZX83" i="30" s="1"/>
  <c r="JZZ83" i="30" s="1"/>
  <c r="KAB83" i="30" s="1"/>
  <c r="KAD83" i="30" s="1"/>
  <c r="KAF83" i="30" s="1"/>
  <c r="KAH83" i="30" s="1"/>
  <c r="KAJ83" i="30" s="1"/>
  <c r="KAL83" i="30" s="1"/>
  <c r="KAN83" i="30" s="1"/>
  <c r="KAP83" i="30" s="1"/>
  <c r="KAR83" i="30" s="1"/>
  <c r="KAT83" i="30" s="1"/>
  <c r="KAV83" i="30" s="1"/>
  <c r="KAX83" i="30" s="1"/>
  <c r="KAZ83" i="30" s="1"/>
  <c r="KBB83" i="30" s="1"/>
  <c r="KBD83" i="30" s="1"/>
  <c r="KBF83" i="30" s="1"/>
  <c r="KBH83" i="30" s="1"/>
  <c r="KBJ83" i="30" s="1"/>
  <c r="KBL83" i="30" s="1"/>
  <c r="KBN83" i="30" s="1"/>
  <c r="KBP83" i="30" s="1"/>
  <c r="KBR83" i="30" s="1"/>
  <c r="KBT83" i="30" s="1"/>
  <c r="KBV83" i="30" s="1"/>
  <c r="KBX83" i="30" s="1"/>
  <c r="KBZ83" i="30" s="1"/>
  <c r="KCB83" i="30" s="1"/>
  <c r="KCD83" i="30" s="1"/>
  <c r="KCF83" i="30" s="1"/>
  <c r="KCH83" i="30" s="1"/>
  <c r="KCJ83" i="30" s="1"/>
  <c r="KCL83" i="30" s="1"/>
  <c r="KCN83" i="30" s="1"/>
  <c r="KCP83" i="30" s="1"/>
  <c r="KCR83" i="30" s="1"/>
  <c r="KCT83" i="30" s="1"/>
  <c r="KCV83" i="30" s="1"/>
  <c r="KCX83" i="30" s="1"/>
  <c r="KCZ83" i="30" s="1"/>
  <c r="KDB83" i="30" s="1"/>
  <c r="KDD83" i="30" s="1"/>
  <c r="KDF83" i="30" s="1"/>
  <c r="KDH83" i="30" s="1"/>
  <c r="KDJ83" i="30" s="1"/>
  <c r="KDL83" i="30" s="1"/>
  <c r="KDN83" i="30" s="1"/>
  <c r="KDP83" i="30" s="1"/>
  <c r="KDR83" i="30" s="1"/>
  <c r="KDT83" i="30" s="1"/>
  <c r="KDV83" i="30" s="1"/>
  <c r="KDX83" i="30" s="1"/>
  <c r="KDZ83" i="30" s="1"/>
  <c r="KEB83" i="30" s="1"/>
  <c r="KED83" i="30" s="1"/>
  <c r="KEF83" i="30" s="1"/>
  <c r="KEH83" i="30" s="1"/>
  <c r="KEJ83" i="30" s="1"/>
  <c r="KEL83" i="30" s="1"/>
  <c r="KEN83" i="30" s="1"/>
  <c r="KEP83" i="30" s="1"/>
  <c r="KER83" i="30" s="1"/>
  <c r="KET83" i="30" s="1"/>
  <c r="KEV83" i="30" s="1"/>
  <c r="KEX83" i="30" s="1"/>
  <c r="KEZ83" i="30" s="1"/>
  <c r="KFB83" i="30" s="1"/>
  <c r="KFD83" i="30" s="1"/>
  <c r="KFF83" i="30" s="1"/>
  <c r="KFH83" i="30" s="1"/>
  <c r="KFJ83" i="30" s="1"/>
  <c r="KFL83" i="30" s="1"/>
  <c r="KFN83" i="30" s="1"/>
  <c r="KFP83" i="30" s="1"/>
  <c r="KFR83" i="30" s="1"/>
  <c r="KFT83" i="30" s="1"/>
  <c r="KFV83" i="30" s="1"/>
  <c r="KFX83" i="30" s="1"/>
  <c r="KFZ83" i="30" s="1"/>
  <c r="KGB83" i="30" s="1"/>
  <c r="KGD83" i="30" s="1"/>
  <c r="KGF83" i="30" s="1"/>
  <c r="KGH83" i="30" s="1"/>
  <c r="KGJ83" i="30" s="1"/>
  <c r="KGL83" i="30" s="1"/>
  <c r="KGN83" i="30" s="1"/>
  <c r="KGP83" i="30" s="1"/>
  <c r="KGR83" i="30" s="1"/>
  <c r="KGT83" i="30" s="1"/>
  <c r="KGV83" i="30" s="1"/>
  <c r="KGX83" i="30" s="1"/>
  <c r="KGZ83" i="30" s="1"/>
  <c r="KHB83" i="30" s="1"/>
  <c r="KHD83" i="30" s="1"/>
  <c r="KHF83" i="30" s="1"/>
  <c r="KHH83" i="30" s="1"/>
  <c r="KHJ83" i="30" s="1"/>
  <c r="KHL83" i="30" s="1"/>
  <c r="KHN83" i="30" s="1"/>
  <c r="KHP83" i="30" s="1"/>
  <c r="KHR83" i="30" s="1"/>
  <c r="KHT83" i="30" s="1"/>
  <c r="KHV83" i="30" s="1"/>
  <c r="KHX83" i="30" s="1"/>
  <c r="KHZ83" i="30" s="1"/>
  <c r="KIB83" i="30" s="1"/>
  <c r="KID83" i="30" s="1"/>
  <c r="KIF83" i="30" s="1"/>
  <c r="KIH83" i="30" s="1"/>
  <c r="KIJ83" i="30" s="1"/>
  <c r="KIL83" i="30" s="1"/>
  <c r="KIN83" i="30" s="1"/>
  <c r="KIP83" i="30" s="1"/>
  <c r="KIR83" i="30" s="1"/>
  <c r="KIT83" i="30" s="1"/>
  <c r="KIV83" i="30" s="1"/>
  <c r="KIX83" i="30" s="1"/>
  <c r="KIZ83" i="30" s="1"/>
  <c r="KJB83" i="30" s="1"/>
  <c r="KJD83" i="30" s="1"/>
  <c r="KJF83" i="30" s="1"/>
  <c r="KJH83" i="30" s="1"/>
  <c r="KJJ83" i="30" s="1"/>
  <c r="KJL83" i="30" s="1"/>
  <c r="KJN83" i="30" s="1"/>
  <c r="KJP83" i="30" s="1"/>
  <c r="KJR83" i="30" s="1"/>
  <c r="KJT83" i="30" s="1"/>
  <c r="KJV83" i="30" s="1"/>
  <c r="KJX83" i="30" s="1"/>
  <c r="KJZ83" i="30" s="1"/>
  <c r="KKB83" i="30" s="1"/>
  <c r="KKD83" i="30" s="1"/>
  <c r="KKF83" i="30" s="1"/>
  <c r="KKH83" i="30" s="1"/>
  <c r="KKJ83" i="30" s="1"/>
  <c r="KKL83" i="30" s="1"/>
  <c r="KKN83" i="30" s="1"/>
  <c r="KKP83" i="30" s="1"/>
  <c r="KKR83" i="30" s="1"/>
  <c r="KKT83" i="30" s="1"/>
  <c r="KKV83" i="30" s="1"/>
  <c r="KKX83" i="30" s="1"/>
  <c r="KKZ83" i="30" s="1"/>
  <c r="KLB83" i="30" s="1"/>
  <c r="KLD83" i="30" s="1"/>
  <c r="KLF83" i="30" s="1"/>
  <c r="KLH83" i="30" s="1"/>
  <c r="KLJ83" i="30" s="1"/>
  <c r="KLL83" i="30" s="1"/>
  <c r="KLN83" i="30" s="1"/>
  <c r="KLP83" i="30" s="1"/>
  <c r="KLR83" i="30" s="1"/>
  <c r="KLT83" i="30" s="1"/>
  <c r="KLV83" i="30" s="1"/>
  <c r="KLX83" i="30" s="1"/>
  <c r="KLZ83" i="30" s="1"/>
  <c r="KMB83" i="30" s="1"/>
  <c r="KMD83" i="30" s="1"/>
  <c r="KMF83" i="30" s="1"/>
  <c r="KMH83" i="30" s="1"/>
  <c r="KMJ83" i="30" s="1"/>
  <c r="KML83" i="30" s="1"/>
  <c r="KMN83" i="30" s="1"/>
  <c r="KMP83" i="30" s="1"/>
  <c r="KMR83" i="30" s="1"/>
  <c r="KMT83" i="30" s="1"/>
  <c r="KMV83" i="30" s="1"/>
  <c r="KMX83" i="30" s="1"/>
  <c r="KMZ83" i="30" s="1"/>
  <c r="KNB83" i="30" s="1"/>
  <c r="KND83" i="30" s="1"/>
  <c r="KNF83" i="30" s="1"/>
  <c r="KNH83" i="30" s="1"/>
  <c r="KNJ83" i="30" s="1"/>
  <c r="KNL83" i="30" s="1"/>
  <c r="KNN83" i="30" s="1"/>
  <c r="KNP83" i="30" s="1"/>
  <c r="KNR83" i="30" s="1"/>
  <c r="KNT83" i="30" s="1"/>
  <c r="KNV83" i="30" s="1"/>
  <c r="KNX83" i="30" s="1"/>
  <c r="KNZ83" i="30" s="1"/>
  <c r="KOB83" i="30" s="1"/>
  <c r="KOD83" i="30" s="1"/>
  <c r="KOF83" i="30" s="1"/>
  <c r="KOH83" i="30" s="1"/>
  <c r="KOJ83" i="30" s="1"/>
  <c r="KOL83" i="30" s="1"/>
  <c r="KON83" i="30" s="1"/>
  <c r="KOP83" i="30" s="1"/>
  <c r="KOR83" i="30" s="1"/>
  <c r="KOT83" i="30" s="1"/>
  <c r="KOV83" i="30" s="1"/>
  <c r="KOX83" i="30" s="1"/>
  <c r="KOZ83" i="30" s="1"/>
  <c r="KPB83" i="30" s="1"/>
  <c r="KPD83" i="30" s="1"/>
  <c r="KPF83" i="30" s="1"/>
  <c r="KPH83" i="30" s="1"/>
  <c r="KPJ83" i="30" s="1"/>
  <c r="KPL83" i="30" s="1"/>
  <c r="KPN83" i="30" s="1"/>
  <c r="KPP83" i="30" s="1"/>
  <c r="KPR83" i="30" s="1"/>
  <c r="KPT83" i="30" s="1"/>
  <c r="KPV83" i="30" s="1"/>
  <c r="KPX83" i="30" s="1"/>
  <c r="KPZ83" i="30" s="1"/>
  <c r="KQB83" i="30" s="1"/>
  <c r="KQD83" i="30" s="1"/>
  <c r="KQF83" i="30" s="1"/>
  <c r="KQH83" i="30" s="1"/>
  <c r="KQJ83" i="30" s="1"/>
  <c r="KQL83" i="30" s="1"/>
  <c r="KQN83" i="30" s="1"/>
  <c r="KQP83" i="30" s="1"/>
  <c r="KQR83" i="30" s="1"/>
  <c r="KQT83" i="30" s="1"/>
  <c r="KQV83" i="30" s="1"/>
  <c r="KQX83" i="30" s="1"/>
  <c r="KQZ83" i="30" s="1"/>
  <c r="KRB83" i="30" s="1"/>
  <c r="KRD83" i="30" s="1"/>
  <c r="KRF83" i="30" s="1"/>
  <c r="KRH83" i="30" s="1"/>
  <c r="KRJ83" i="30" s="1"/>
  <c r="KRL83" i="30" s="1"/>
  <c r="KRN83" i="30" s="1"/>
  <c r="KRP83" i="30" s="1"/>
  <c r="KRR83" i="30" s="1"/>
  <c r="KRT83" i="30" s="1"/>
  <c r="KRV83" i="30" s="1"/>
  <c r="KRX83" i="30" s="1"/>
  <c r="KRZ83" i="30" s="1"/>
  <c r="KSB83" i="30" s="1"/>
  <c r="KSD83" i="30" s="1"/>
  <c r="KSF83" i="30" s="1"/>
  <c r="KSH83" i="30" s="1"/>
  <c r="KSJ83" i="30" s="1"/>
  <c r="KSL83" i="30" s="1"/>
  <c r="KSN83" i="30" s="1"/>
  <c r="KSP83" i="30" s="1"/>
  <c r="KSR83" i="30" s="1"/>
  <c r="KST83" i="30" s="1"/>
  <c r="KSV83" i="30" s="1"/>
  <c r="KSX83" i="30" s="1"/>
  <c r="KSZ83" i="30" s="1"/>
  <c r="KTB83" i="30" s="1"/>
  <c r="KTD83" i="30" s="1"/>
  <c r="KTF83" i="30" s="1"/>
  <c r="KTH83" i="30" s="1"/>
  <c r="KTJ83" i="30" s="1"/>
  <c r="KTL83" i="30" s="1"/>
  <c r="KTN83" i="30" s="1"/>
  <c r="KTP83" i="30" s="1"/>
  <c r="KTR83" i="30" s="1"/>
  <c r="KTT83" i="30" s="1"/>
  <c r="KTV83" i="30" s="1"/>
  <c r="KTX83" i="30" s="1"/>
  <c r="KTZ83" i="30" s="1"/>
  <c r="KUB83" i="30" s="1"/>
  <c r="KUD83" i="30" s="1"/>
  <c r="KUF83" i="30" s="1"/>
  <c r="KUH83" i="30" s="1"/>
  <c r="KUJ83" i="30" s="1"/>
  <c r="KUL83" i="30" s="1"/>
  <c r="KUN83" i="30" s="1"/>
  <c r="KUP83" i="30" s="1"/>
  <c r="KUR83" i="30" s="1"/>
  <c r="KUT83" i="30" s="1"/>
  <c r="KUV83" i="30" s="1"/>
  <c r="KUX83" i="30" s="1"/>
  <c r="KUZ83" i="30" s="1"/>
  <c r="KVB83" i="30" s="1"/>
  <c r="KVD83" i="30" s="1"/>
  <c r="KVF83" i="30" s="1"/>
  <c r="KVH83" i="30" s="1"/>
  <c r="KVJ83" i="30" s="1"/>
  <c r="KVL83" i="30" s="1"/>
  <c r="KVN83" i="30" s="1"/>
  <c r="KVP83" i="30" s="1"/>
  <c r="KVR83" i="30" s="1"/>
  <c r="KVT83" i="30" s="1"/>
  <c r="KVV83" i="30" s="1"/>
  <c r="KVX83" i="30" s="1"/>
  <c r="KVZ83" i="30" s="1"/>
  <c r="KWB83" i="30" s="1"/>
  <c r="KWD83" i="30" s="1"/>
  <c r="KWF83" i="30" s="1"/>
  <c r="KWH83" i="30" s="1"/>
  <c r="KWJ83" i="30" s="1"/>
  <c r="KWL83" i="30" s="1"/>
  <c r="KWN83" i="30" s="1"/>
  <c r="KWP83" i="30" s="1"/>
  <c r="KWR83" i="30" s="1"/>
  <c r="KWT83" i="30" s="1"/>
  <c r="KWV83" i="30" s="1"/>
  <c r="KWX83" i="30" s="1"/>
  <c r="KWZ83" i="30" s="1"/>
  <c r="KXB83" i="30" s="1"/>
  <c r="KXD83" i="30" s="1"/>
  <c r="KXF83" i="30" s="1"/>
  <c r="KXH83" i="30" s="1"/>
  <c r="KXJ83" i="30" s="1"/>
  <c r="KXL83" i="30" s="1"/>
  <c r="KXN83" i="30" s="1"/>
  <c r="KXP83" i="30" s="1"/>
  <c r="KXR83" i="30" s="1"/>
  <c r="KXT83" i="30" s="1"/>
  <c r="KXV83" i="30" s="1"/>
  <c r="KXX83" i="30" s="1"/>
  <c r="KXZ83" i="30" s="1"/>
  <c r="KYB83" i="30" s="1"/>
  <c r="KYD83" i="30" s="1"/>
  <c r="KYF83" i="30" s="1"/>
  <c r="KYH83" i="30" s="1"/>
  <c r="KYJ83" i="30" s="1"/>
  <c r="KYL83" i="30" s="1"/>
  <c r="KYN83" i="30" s="1"/>
  <c r="KYP83" i="30" s="1"/>
  <c r="KYR83" i="30" s="1"/>
  <c r="KYT83" i="30" s="1"/>
  <c r="KYV83" i="30" s="1"/>
  <c r="KYX83" i="30" s="1"/>
  <c r="KYZ83" i="30" s="1"/>
  <c r="KZB83" i="30" s="1"/>
  <c r="KZD83" i="30" s="1"/>
  <c r="KZF83" i="30" s="1"/>
  <c r="KZH83" i="30" s="1"/>
  <c r="KZJ83" i="30" s="1"/>
  <c r="KZL83" i="30" s="1"/>
  <c r="KZN83" i="30" s="1"/>
  <c r="KZP83" i="30" s="1"/>
  <c r="KZR83" i="30" s="1"/>
  <c r="KZT83" i="30" s="1"/>
  <c r="KZV83" i="30" s="1"/>
  <c r="KZX83" i="30" s="1"/>
  <c r="KZZ83" i="30" s="1"/>
  <c r="LAB83" i="30" s="1"/>
  <c r="LAD83" i="30" s="1"/>
  <c r="LAF83" i="30" s="1"/>
  <c r="LAH83" i="30" s="1"/>
  <c r="LAJ83" i="30" s="1"/>
  <c r="LAL83" i="30" s="1"/>
  <c r="LAN83" i="30" s="1"/>
  <c r="LAP83" i="30" s="1"/>
  <c r="LAR83" i="30" s="1"/>
  <c r="LAT83" i="30" s="1"/>
  <c r="LAV83" i="30" s="1"/>
  <c r="LAX83" i="30" s="1"/>
  <c r="LAZ83" i="30" s="1"/>
  <c r="LBB83" i="30" s="1"/>
  <c r="LBD83" i="30" s="1"/>
  <c r="LBF83" i="30" s="1"/>
  <c r="LBH83" i="30" s="1"/>
  <c r="LBJ83" i="30" s="1"/>
  <c r="LBL83" i="30" s="1"/>
  <c r="LBN83" i="30" s="1"/>
  <c r="LBP83" i="30" s="1"/>
  <c r="LBR83" i="30" s="1"/>
  <c r="LBT83" i="30" s="1"/>
  <c r="LBV83" i="30" s="1"/>
  <c r="LBX83" i="30" s="1"/>
  <c r="LBZ83" i="30" s="1"/>
  <c r="LCB83" i="30" s="1"/>
  <c r="LCD83" i="30" s="1"/>
  <c r="LCF83" i="30" s="1"/>
  <c r="LCH83" i="30" s="1"/>
  <c r="LCJ83" i="30" s="1"/>
  <c r="LCL83" i="30" s="1"/>
  <c r="LCN83" i="30" s="1"/>
  <c r="LCP83" i="30" s="1"/>
  <c r="LCR83" i="30" s="1"/>
  <c r="LCT83" i="30" s="1"/>
  <c r="LCV83" i="30" s="1"/>
  <c r="LCX83" i="30" s="1"/>
  <c r="LCZ83" i="30" s="1"/>
  <c r="LDB83" i="30" s="1"/>
  <c r="LDD83" i="30" s="1"/>
  <c r="LDF83" i="30" s="1"/>
  <c r="LDH83" i="30" s="1"/>
  <c r="LDJ83" i="30" s="1"/>
  <c r="LDL83" i="30" s="1"/>
  <c r="LDN83" i="30" s="1"/>
  <c r="LDP83" i="30" s="1"/>
  <c r="LDR83" i="30" s="1"/>
  <c r="LDT83" i="30" s="1"/>
  <c r="LDV83" i="30" s="1"/>
  <c r="LDX83" i="30" s="1"/>
  <c r="LDZ83" i="30" s="1"/>
  <c r="LEB83" i="30" s="1"/>
  <c r="LED83" i="30" s="1"/>
  <c r="LEF83" i="30" s="1"/>
  <c r="LEH83" i="30" s="1"/>
  <c r="LEJ83" i="30" s="1"/>
  <c r="LEL83" i="30" s="1"/>
  <c r="LEN83" i="30" s="1"/>
  <c r="LEP83" i="30" s="1"/>
  <c r="LER83" i="30" s="1"/>
  <c r="LET83" i="30" s="1"/>
  <c r="LEV83" i="30" s="1"/>
  <c r="LEX83" i="30" s="1"/>
  <c r="LEZ83" i="30" s="1"/>
  <c r="LFB83" i="30" s="1"/>
  <c r="LFD83" i="30" s="1"/>
  <c r="LFF83" i="30" s="1"/>
  <c r="LFH83" i="30" s="1"/>
  <c r="LFJ83" i="30" s="1"/>
  <c r="LFL83" i="30" s="1"/>
  <c r="LFN83" i="30" s="1"/>
  <c r="LFP83" i="30" s="1"/>
  <c r="LFR83" i="30" s="1"/>
  <c r="LFT83" i="30" s="1"/>
  <c r="LFV83" i="30" s="1"/>
  <c r="LFX83" i="30" s="1"/>
  <c r="LFZ83" i="30" s="1"/>
  <c r="LGB83" i="30" s="1"/>
  <c r="LGD83" i="30" s="1"/>
  <c r="LGF83" i="30" s="1"/>
  <c r="LGH83" i="30" s="1"/>
  <c r="LGJ83" i="30" s="1"/>
  <c r="LGL83" i="30" s="1"/>
  <c r="LGN83" i="30" s="1"/>
  <c r="LGP83" i="30" s="1"/>
  <c r="LGR83" i="30" s="1"/>
  <c r="LGT83" i="30" s="1"/>
  <c r="LGV83" i="30" s="1"/>
  <c r="LGX83" i="30" s="1"/>
  <c r="LGZ83" i="30" s="1"/>
  <c r="LHB83" i="30" s="1"/>
  <c r="LHD83" i="30" s="1"/>
  <c r="LHF83" i="30" s="1"/>
  <c r="LHH83" i="30" s="1"/>
  <c r="LHJ83" i="30" s="1"/>
  <c r="LHL83" i="30" s="1"/>
  <c r="LHN83" i="30" s="1"/>
  <c r="LHP83" i="30" s="1"/>
  <c r="LHR83" i="30" s="1"/>
  <c r="LHT83" i="30" s="1"/>
  <c r="LHV83" i="30" s="1"/>
  <c r="LHX83" i="30" s="1"/>
  <c r="LHZ83" i="30" s="1"/>
  <c r="LIB83" i="30" s="1"/>
  <c r="LID83" i="30" s="1"/>
  <c r="LIF83" i="30" s="1"/>
  <c r="LIH83" i="30" s="1"/>
  <c r="LIJ83" i="30" s="1"/>
  <c r="LIL83" i="30" s="1"/>
  <c r="LIN83" i="30" s="1"/>
  <c r="LIP83" i="30" s="1"/>
  <c r="LIR83" i="30" s="1"/>
  <c r="LIT83" i="30" s="1"/>
  <c r="LIV83" i="30" s="1"/>
  <c r="LIX83" i="30" s="1"/>
  <c r="LIZ83" i="30" s="1"/>
  <c r="LJB83" i="30" s="1"/>
  <c r="LJD83" i="30" s="1"/>
  <c r="LJF83" i="30" s="1"/>
  <c r="LJH83" i="30" s="1"/>
  <c r="LJJ83" i="30" s="1"/>
  <c r="LJL83" i="30" s="1"/>
  <c r="LJN83" i="30" s="1"/>
  <c r="LJP83" i="30" s="1"/>
  <c r="LJR83" i="30" s="1"/>
  <c r="LJT83" i="30" s="1"/>
  <c r="LJV83" i="30" s="1"/>
  <c r="LJX83" i="30" s="1"/>
  <c r="LJZ83" i="30" s="1"/>
  <c r="LKB83" i="30" s="1"/>
  <c r="LKD83" i="30" s="1"/>
  <c r="LKF83" i="30" s="1"/>
  <c r="LKH83" i="30" s="1"/>
  <c r="LKJ83" i="30" s="1"/>
  <c r="LKL83" i="30" s="1"/>
  <c r="LKN83" i="30" s="1"/>
  <c r="LKP83" i="30" s="1"/>
  <c r="LKR83" i="30" s="1"/>
  <c r="LKT83" i="30" s="1"/>
  <c r="LKV83" i="30" s="1"/>
  <c r="LKX83" i="30" s="1"/>
  <c r="LKZ83" i="30" s="1"/>
  <c r="LLB83" i="30" s="1"/>
  <c r="LLD83" i="30" s="1"/>
  <c r="LLF83" i="30" s="1"/>
  <c r="LLH83" i="30" s="1"/>
  <c r="LLJ83" i="30" s="1"/>
  <c r="LLL83" i="30" s="1"/>
  <c r="LLN83" i="30" s="1"/>
  <c r="LLP83" i="30" s="1"/>
  <c r="LLR83" i="30" s="1"/>
  <c r="LLT83" i="30" s="1"/>
  <c r="LLV83" i="30" s="1"/>
  <c r="LLX83" i="30" s="1"/>
  <c r="LLZ83" i="30" s="1"/>
  <c r="LMB83" i="30" s="1"/>
  <c r="LMD83" i="30" s="1"/>
  <c r="LMF83" i="30" s="1"/>
  <c r="LMH83" i="30" s="1"/>
  <c r="LMJ83" i="30" s="1"/>
  <c r="LML83" i="30" s="1"/>
  <c r="LMN83" i="30" s="1"/>
  <c r="LMP83" i="30" s="1"/>
  <c r="LMR83" i="30" s="1"/>
  <c r="LMT83" i="30" s="1"/>
  <c r="LMV83" i="30" s="1"/>
  <c r="LMX83" i="30" s="1"/>
  <c r="LMZ83" i="30" s="1"/>
  <c r="LNB83" i="30" s="1"/>
  <c r="LND83" i="30" s="1"/>
  <c r="LNF83" i="30" s="1"/>
  <c r="LNH83" i="30" s="1"/>
  <c r="LNJ83" i="30" s="1"/>
  <c r="LNL83" i="30" s="1"/>
  <c r="LNN83" i="30" s="1"/>
  <c r="LNP83" i="30" s="1"/>
  <c r="LNR83" i="30" s="1"/>
  <c r="LNT83" i="30" s="1"/>
  <c r="LNV83" i="30" s="1"/>
  <c r="LNX83" i="30" s="1"/>
  <c r="LNZ83" i="30" s="1"/>
  <c r="LOB83" i="30" s="1"/>
  <c r="LOD83" i="30" s="1"/>
  <c r="LOF83" i="30" s="1"/>
  <c r="LOH83" i="30" s="1"/>
  <c r="LOJ83" i="30" s="1"/>
  <c r="LOL83" i="30" s="1"/>
  <c r="LON83" i="30" s="1"/>
  <c r="LOP83" i="30" s="1"/>
  <c r="LOR83" i="30" s="1"/>
  <c r="LOT83" i="30" s="1"/>
  <c r="LOV83" i="30" s="1"/>
  <c r="LOX83" i="30" s="1"/>
  <c r="LOZ83" i="30" s="1"/>
  <c r="LPB83" i="30" s="1"/>
  <c r="LPD83" i="30" s="1"/>
  <c r="LPF83" i="30" s="1"/>
  <c r="LPH83" i="30" s="1"/>
  <c r="LPJ83" i="30" s="1"/>
  <c r="LPL83" i="30" s="1"/>
  <c r="LPN83" i="30" s="1"/>
  <c r="LPP83" i="30" s="1"/>
  <c r="LPR83" i="30" s="1"/>
  <c r="LPT83" i="30" s="1"/>
  <c r="LPV83" i="30" s="1"/>
  <c r="LPX83" i="30" s="1"/>
  <c r="LPZ83" i="30" s="1"/>
  <c r="LQB83" i="30" s="1"/>
  <c r="LQD83" i="30" s="1"/>
  <c r="LQF83" i="30" s="1"/>
  <c r="LQH83" i="30" s="1"/>
  <c r="LQJ83" i="30" s="1"/>
  <c r="LQL83" i="30" s="1"/>
  <c r="LQN83" i="30" s="1"/>
  <c r="LQP83" i="30" s="1"/>
  <c r="LQR83" i="30" s="1"/>
  <c r="LQT83" i="30" s="1"/>
  <c r="LQV83" i="30" s="1"/>
  <c r="LQX83" i="30" s="1"/>
  <c r="LQZ83" i="30" s="1"/>
  <c r="LRB83" i="30" s="1"/>
  <c r="LRD83" i="30" s="1"/>
  <c r="LRF83" i="30" s="1"/>
  <c r="LRH83" i="30" s="1"/>
  <c r="LRJ83" i="30" s="1"/>
  <c r="LRL83" i="30" s="1"/>
  <c r="LRN83" i="30" s="1"/>
  <c r="LRP83" i="30" s="1"/>
  <c r="LRR83" i="30" s="1"/>
  <c r="LRT83" i="30" s="1"/>
  <c r="LRV83" i="30" s="1"/>
  <c r="LRX83" i="30" s="1"/>
  <c r="LRZ83" i="30" s="1"/>
  <c r="LSB83" i="30" s="1"/>
  <c r="LSD83" i="30" s="1"/>
  <c r="LSF83" i="30" s="1"/>
  <c r="LSH83" i="30" s="1"/>
  <c r="LSJ83" i="30" s="1"/>
  <c r="LSL83" i="30" s="1"/>
  <c r="LSN83" i="30" s="1"/>
  <c r="LSP83" i="30" s="1"/>
  <c r="LSR83" i="30" s="1"/>
  <c r="LST83" i="30" s="1"/>
  <c r="LSV83" i="30" s="1"/>
  <c r="LSX83" i="30" s="1"/>
  <c r="LSZ83" i="30" s="1"/>
  <c r="LTB83" i="30" s="1"/>
  <c r="LTD83" i="30" s="1"/>
  <c r="LTF83" i="30" s="1"/>
  <c r="LTH83" i="30" s="1"/>
  <c r="LTJ83" i="30" s="1"/>
  <c r="LTL83" i="30" s="1"/>
  <c r="LTN83" i="30" s="1"/>
  <c r="LTP83" i="30" s="1"/>
  <c r="LTR83" i="30" s="1"/>
  <c r="LTT83" i="30" s="1"/>
  <c r="LTV83" i="30" s="1"/>
  <c r="LTX83" i="30" s="1"/>
  <c r="LTZ83" i="30" s="1"/>
  <c r="LUB83" i="30" s="1"/>
  <c r="LUD83" i="30" s="1"/>
  <c r="LUF83" i="30" s="1"/>
  <c r="LUH83" i="30" s="1"/>
  <c r="LUJ83" i="30" s="1"/>
  <c r="LUL83" i="30" s="1"/>
  <c r="LUN83" i="30" s="1"/>
  <c r="LUP83" i="30" s="1"/>
  <c r="LUR83" i="30" s="1"/>
  <c r="LUT83" i="30" s="1"/>
  <c r="LUV83" i="30" s="1"/>
  <c r="LUX83" i="30" s="1"/>
  <c r="LUZ83" i="30" s="1"/>
  <c r="LVB83" i="30" s="1"/>
  <c r="LVD83" i="30" s="1"/>
  <c r="LVF83" i="30" s="1"/>
  <c r="LVH83" i="30" s="1"/>
  <c r="LVJ83" i="30" s="1"/>
  <c r="LVL83" i="30" s="1"/>
  <c r="LVN83" i="30" s="1"/>
  <c r="LVP83" i="30" s="1"/>
  <c r="LVR83" i="30" s="1"/>
  <c r="LVT83" i="30" s="1"/>
  <c r="LVV83" i="30" s="1"/>
  <c r="LVX83" i="30" s="1"/>
  <c r="LVZ83" i="30" s="1"/>
  <c r="LWB83" i="30" s="1"/>
  <c r="LWD83" i="30" s="1"/>
  <c r="LWF83" i="30" s="1"/>
  <c r="LWH83" i="30" s="1"/>
  <c r="LWJ83" i="30" s="1"/>
  <c r="LWL83" i="30" s="1"/>
  <c r="LWN83" i="30" s="1"/>
  <c r="LWP83" i="30" s="1"/>
  <c r="LWR83" i="30" s="1"/>
  <c r="LWT83" i="30" s="1"/>
  <c r="LWV83" i="30" s="1"/>
  <c r="LWX83" i="30" s="1"/>
  <c r="LWZ83" i="30" s="1"/>
  <c r="LXB83" i="30" s="1"/>
  <c r="LXD83" i="30" s="1"/>
  <c r="LXF83" i="30" s="1"/>
  <c r="LXH83" i="30" s="1"/>
  <c r="LXJ83" i="30" s="1"/>
  <c r="LXL83" i="30" s="1"/>
  <c r="LXN83" i="30" s="1"/>
  <c r="LXP83" i="30" s="1"/>
  <c r="LXR83" i="30" s="1"/>
  <c r="LXT83" i="30" s="1"/>
  <c r="LXV83" i="30" s="1"/>
  <c r="LXX83" i="30" s="1"/>
  <c r="LXZ83" i="30" s="1"/>
  <c r="LYB83" i="30" s="1"/>
  <c r="LYD83" i="30" s="1"/>
  <c r="LYF83" i="30" s="1"/>
  <c r="LYH83" i="30" s="1"/>
  <c r="LYJ83" i="30" s="1"/>
  <c r="LYL83" i="30" s="1"/>
  <c r="LYN83" i="30" s="1"/>
  <c r="LYP83" i="30" s="1"/>
  <c r="LYR83" i="30" s="1"/>
  <c r="LYT83" i="30" s="1"/>
  <c r="LYV83" i="30" s="1"/>
  <c r="LYX83" i="30" s="1"/>
  <c r="LYZ83" i="30" s="1"/>
  <c r="LZB83" i="30" s="1"/>
  <c r="LZD83" i="30" s="1"/>
  <c r="LZF83" i="30" s="1"/>
  <c r="LZH83" i="30" s="1"/>
  <c r="LZJ83" i="30" s="1"/>
  <c r="LZL83" i="30" s="1"/>
  <c r="LZN83" i="30" s="1"/>
  <c r="LZP83" i="30" s="1"/>
  <c r="LZR83" i="30" s="1"/>
  <c r="LZT83" i="30" s="1"/>
  <c r="LZV83" i="30" s="1"/>
  <c r="LZX83" i="30" s="1"/>
  <c r="LZZ83" i="30" s="1"/>
  <c r="MAB83" i="30" s="1"/>
  <c r="MAD83" i="30" s="1"/>
  <c r="MAF83" i="30" s="1"/>
  <c r="MAH83" i="30" s="1"/>
  <c r="MAJ83" i="30" s="1"/>
  <c r="MAL83" i="30" s="1"/>
  <c r="MAN83" i="30" s="1"/>
  <c r="MAP83" i="30" s="1"/>
  <c r="MAR83" i="30" s="1"/>
  <c r="MAT83" i="30" s="1"/>
  <c r="MAV83" i="30" s="1"/>
  <c r="MAX83" i="30" s="1"/>
  <c r="MAZ83" i="30" s="1"/>
  <c r="MBB83" i="30" s="1"/>
  <c r="MBD83" i="30" s="1"/>
  <c r="MBF83" i="30" s="1"/>
  <c r="MBH83" i="30" s="1"/>
  <c r="MBJ83" i="30" s="1"/>
  <c r="MBL83" i="30" s="1"/>
  <c r="MBN83" i="30" s="1"/>
  <c r="MBP83" i="30" s="1"/>
  <c r="MBR83" i="30" s="1"/>
  <c r="MBT83" i="30" s="1"/>
  <c r="MBV83" i="30" s="1"/>
  <c r="MBX83" i="30" s="1"/>
  <c r="MBZ83" i="30" s="1"/>
  <c r="MCB83" i="30" s="1"/>
  <c r="MCD83" i="30" s="1"/>
  <c r="MCF83" i="30" s="1"/>
  <c r="MCH83" i="30" s="1"/>
  <c r="MCJ83" i="30" s="1"/>
  <c r="MCL83" i="30" s="1"/>
  <c r="MCN83" i="30" s="1"/>
  <c r="MCP83" i="30" s="1"/>
  <c r="MCR83" i="30" s="1"/>
  <c r="MCT83" i="30" s="1"/>
  <c r="MCV83" i="30" s="1"/>
  <c r="MCX83" i="30" s="1"/>
  <c r="MCZ83" i="30" s="1"/>
  <c r="MDB83" i="30" s="1"/>
  <c r="MDD83" i="30" s="1"/>
  <c r="MDF83" i="30" s="1"/>
  <c r="MDH83" i="30" s="1"/>
  <c r="MDJ83" i="30" s="1"/>
  <c r="MDL83" i="30" s="1"/>
  <c r="MDN83" i="30" s="1"/>
  <c r="MDP83" i="30" s="1"/>
  <c r="MDR83" i="30" s="1"/>
  <c r="MDT83" i="30" s="1"/>
  <c r="MDV83" i="30" s="1"/>
  <c r="MDX83" i="30" s="1"/>
  <c r="MDZ83" i="30" s="1"/>
  <c r="MEB83" i="30" s="1"/>
  <c r="MED83" i="30" s="1"/>
  <c r="MEF83" i="30" s="1"/>
  <c r="MEH83" i="30" s="1"/>
  <c r="MEJ83" i="30" s="1"/>
  <c r="MEL83" i="30" s="1"/>
  <c r="MEN83" i="30" s="1"/>
  <c r="MEP83" i="30" s="1"/>
  <c r="MER83" i="30" s="1"/>
  <c r="MET83" i="30" s="1"/>
  <c r="MEV83" i="30" s="1"/>
  <c r="MEX83" i="30" s="1"/>
  <c r="MEZ83" i="30" s="1"/>
  <c r="MFB83" i="30" s="1"/>
  <c r="MFD83" i="30" s="1"/>
  <c r="MFF83" i="30" s="1"/>
  <c r="MFH83" i="30" s="1"/>
  <c r="MFJ83" i="30" s="1"/>
  <c r="MFL83" i="30" s="1"/>
  <c r="MFN83" i="30" s="1"/>
  <c r="MFP83" i="30" s="1"/>
  <c r="MFR83" i="30" s="1"/>
  <c r="MFT83" i="30" s="1"/>
  <c r="MFV83" i="30" s="1"/>
  <c r="MFX83" i="30" s="1"/>
  <c r="MFZ83" i="30" s="1"/>
  <c r="MGB83" i="30" s="1"/>
  <c r="MGD83" i="30" s="1"/>
  <c r="MGF83" i="30" s="1"/>
  <c r="MGH83" i="30" s="1"/>
  <c r="MGJ83" i="30" s="1"/>
  <c r="MGL83" i="30" s="1"/>
  <c r="MGN83" i="30" s="1"/>
  <c r="MGP83" i="30" s="1"/>
  <c r="MGR83" i="30" s="1"/>
  <c r="MGT83" i="30" s="1"/>
  <c r="MGV83" i="30" s="1"/>
  <c r="MGX83" i="30" s="1"/>
  <c r="MGZ83" i="30" s="1"/>
  <c r="MHB83" i="30" s="1"/>
  <c r="MHD83" i="30" s="1"/>
  <c r="MHF83" i="30" s="1"/>
  <c r="MHH83" i="30" s="1"/>
  <c r="MHJ83" i="30" s="1"/>
  <c r="MHL83" i="30" s="1"/>
  <c r="MHN83" i="30" s="1"/>
  <c r="MHP83" i="30" s="1"/>
  <c r="MHR83" i="30" s="1"/>
  <c r="MHT83" i="30" s="1"/>
  <c r="MHV83" i="30" s="1"/>
  <c r="MHX83" i="30" s="1"/>
  <c r="MHZ83" i="30" s="1"/>
  <c r="MIB83" i="30" s="1"/>
  <c r="MID83" i="30" s="1"/>
  <c r="MIF83" i="30" s="1"/>
  <c r="MIH83" i="30" s="1"/>
  <c r="MIJ83" i="30" s="1"/>
  <c r="MIL83" i="30" s="1"/>
  <c r="MIN83" i="30" s="1"/>
  <c r="MIP83" i="30" s="1"/>
  <c r="MIR83" i="30" s="1"/>
  <c r="MIT83" i="30" s="1"/>
  <c r="MIV83" i="30" s="1"/>
  <c r="MIX83" i="30" s="1"/>
  <c r="MIZ83" i="30" s="1"/>
  <c r="MJB83" i="30" s="1"/>
  <c r="MJD83" i="30" s="1"/>
  <c r="MJF83" i="30" s="1"/>
  <c r="MJH83" i="30" s="1"/>
  <c r="MJJ83" i="30" s="1"/>
  <c r="MJL83" i="30" s="1"/>
  <c r="MJN83" i="30" s="1"/>
  <c r="MJP83" i="30" s="1"/>
  <c r="MJR83" i="30" s="1"/>
  <c r="MJT83" i="30" s="1"/>
  <c r="MJV83" i="30" s="1"/>
  <c r="MJX83" i="30" s="1"/>
  <c r="MJZ83" i="30" s="1"/>
  <c r="MKB83" i="30" s="1"/>
  <c r="MKD83" i="30" s="1"/>
  <c r="MKF83" i="30" s="1"/>
  <c r="MKH83" i="30" s="1"/>
  <c r="MKJ83" i="30" s="1"/>
  <c r="MKL83" i="30" s="1"/>
  <c r="MKN83" i="30" s="1"/>
  <c r="MKP83" i="30" s="1"/>
  <c r="MKR83" i="30" s="1"/>
  <c r="MKT83" i="30" s="1"/>
  <c r="MKV83" i="30" s="1"/>
  <c r="MKX83" i="30" s="1"/>
  <c r="MKZ83" i="30" s="1"/>
  <c r="MLB83" i="30" s="1"/>
  <c r="MLD83" i="30" s="1"/>
  <c r="MLF83" i="30" s="1"/>
  <c r="MLH83" i="30" s="1"/>
  <c r="MLJ83" i="30" s="1"/>
  <c r="MLL83" i="30" s="1"/>
  <c r="MLN83" i="30" s="1"/>
  <c r="MLP83" i="30" s="1"/>
  <c r="MLR83" i="30" s="1"/>
  <c r="MLT83" i="30" s="1"/>
  <c r="MLV83" i="30" s="1"/>
  <c r="MLX83" i="30" s="1"/>
  <c r="MLZ83" i="30" s="1"/>
  <c r="MMB83" i="30" s="1"/>
  <c r="MMD83" i="30" s="1"/>
  <c r="MMF83" i="30" s="1"/>
  <c r="MMH83" i="30" s="1"/>
  <c r="MMJ83" i="30" s="1"/>
  <c r="MML83" i="30" s="1"/>
  <c r="MMN83" i="30" s="1"/>
  <c r="MMP83" i="30" s="1"/>
  <c r="MMR83" i="30" s="1"/>
  <c r="MMT83" i="30" s="1"/>
  <c r="MMV83" i="30" s="1"/>
  <c r="MMX83" i="30" s="1"/>
  <c r="MMZ83" i="30" s="1"/>
  <c r="MNB83" i="30" s="1"/>
  <c r="MND83" i="30" s="1"/>
  <c r="MNF83" i="30" s="1"/>
  <c r="MNH83" i="30" s="1"/>
  <c r="MNJ83" i="30" s="1"/>
  <c r="MNL83" i="30" s="1"/>
  <c r="MNN83" i="30" s="1"/>
  <c r="MNP83" i="30" s="1"/>
  <c r="MNR83" i="30" s="1"/>
  <c r="MNT83" i="30" s="1"/>
  <c r="MNV83" i="30" s="1"/>
  <c r="MNX83" i="30" s="1"/>
  <c r="MNZ83" i="30" s="1"/>
  <c r="MOB83" i="30" s="1"/>
  <c r="MOD83" i="30" s="1"/>
  <c r="MOF83" i="30" s="1"/>
  <c r="MOH83" i="30" s="1"/>
  <c r="MOJ83" i="30" s="1"/>
  <c r="MOL83" i="30" s="1"/>
  <c r="MON83" i="30" s="1"/>
  <c r="MOP83" i="30" s="1"/>
  <c r="MOR83" i="30" s="1"/>
  <c r="MOT83" i="30" s="1"/>
  <c r="MOV83" i="30" s="1"/>
  <c r="MOX83" i="30" s="1"/>
  <c r="MOZ83" i="30" s="1"/>
  <c r="MPB83" i="30" s="1"/>
  <c r="MPD83" i="30" s="1"/>
  <c r="MPF83" i="30" s="1"/>
  <c r="MPH83" i="30" s="1"/>
  <c r="MPJ83" i="30" s="1"/>
  <c r="MPL83" i="30" s="1"/>
  <c r="MPN83" i="30" s="1"/>
  <c r="MPP83" i="30" s="1"/>
  <c r="MPR83" i="30" s="1"/>
  <c r="MPT83" i="30" s="1"/>
  <c r="MPV83" i="30" s="1"/>
  <c r="MPX83" i="30" s="1"/>
  <c r="MPZ83" i="30" s="1"/>
  <c r="MQB83" i="30" s="1"/>
  <c r="MQD83" i="30" s="1"/>
  <c r="MQF83" i="30" s="1"/>
  <c r="MQH83" i="30" s="1"/>
  <c r="MQJ83" i="30" s="1"/>
  <c r="MQL83" i="30" s="1"/>
  <c r="MQN83" i="30" s="1"/>
  <c r="MQP83" i="30" s="1"/>
  <c r="MQR83" i="30" s="1"/>
  <c r="MQT83" i="30" s="1"/>
  <c r="MQV83" i="30" s="1"/>
  <c r="MQX83" i="30" s="1"/>
  <c r="MQZ83" i="30" s="1"/>
  <c r="MRB83" i="30" s="1"/>
  <c r="MRD83" i="30" s="1"/>
  <c r="MRF83" i="30" s="1"/>
  <c r="MRH83" i="30" s="1"/>
  <c r="MRJ83" i="30" s="1"/>
  <c r="MRL83" i="30" s="1"/>
  <c r="MRN83" i="30" s="1"/>
  <c r="MRP83" i="30" s="1"/>
  <c r="MRR83" i="30" s="1"/>
  <c r="MRT83" i="30" s="1"/>
  <c r="MRV83" i="30" s="1"/>
  <c r="MRX83" i="30" s="1"/>
  <c r="MRZ83" i="30" s="1"/>
  <c r="MSB83" i="30" s="1"/>
  <c r="MSD83" i="30" s="1"/>
  <c r="MSF83" i="30" s="1"/>
  <c r="MSH83" i="30" s="1"/>
  <c r="MSJ83" i="30" s="1"/>
  <c r="MSL83" i="30" s="1"/>
  <c r="MSN83" i="30" s="1"/>
  <c r="MSP83" i="30" s="1"/>
  <c r="MSR83" i="30" s="1"/>
  <c r="MST83" i="30" s="1"/>
  <c r="MSV83" i="30" s="1"/>
  <c r="MSX83" i="30" s="1"/>
  <c r="MSZ83" i="30" s="1"/>
  <c r="MTB83" i="30" s="1"/>
  <c r="MTD83" i="30" s="1"/>
  <c r="MTF83" i="30" s="1"/>
  <c r="MTH83" i="30" s="1"/>
  <c r="MTJ83" i="30" s="1"/>
  <c r="MTL83" i="30" s="1"/>
  <c r="MTN83" i="30" s="1"/>
  <c r="MTP83" i="30" s="1"/>
  <c r="MTR83" i="30" s="1"/>
  <c r="MTT83" i="30" s="1"/>
  <c r="MTV83" i="30" s="1"/>
  <c r="MTX83" i="30" s="1"/>
  <c r="MTZ83" i="30" s="1"/>
  <c r="MUB83" i="30" s="1"/>
  <c r="MUD83" i="30" s="1"/>
  <c r="MUF83" i="30" s="1"/>
  <c r="MUH83" i="30" s="1"/>
  <c r="MUJ83" i="30" s="1"/>
  <c r="MUL83" i="30" s="1"/>
  <c r="MUN83" i="30" s="1"/>
  <c r="MUP83" i="30" s="1"/>
  <c r="MUR83" i="30" s="1"/>
  <c r="MUT83" i="30" s="1"/>
  <c r="MUV83" i="30" s="1"/>
  <c r="MUX83" i="30" s="1"/>
  <c r="MUZ83" i="30" s="1"/>
  <c r="MVB83" i="30" s="1"/>
  <c r="MVD83" i="30" s="1"/>
  <c r="MVF83" i="30" s="1"/>
  <c r="MVH83" i="30" s="1"/>
  <c r="MVJ83" i="30" s="1"/>
  <c r="MVL83" i="30" s="1"/>
  <c r="MVN83" i="30" s="1"/>
  <c r="MVP83" i="30" s="1"/>
  <c r="MVR83" i="30" s="1"/>
  <c r="MVT83" i="30" s="1"/>
  <c r="MVV83" i="30" s="1"/>
  <c r="MVX83" i="30" s="1"/>
  <c r="MVZ83" i="30" s="1"/>
  <c r="MWB83" i="30" s="1"/>
  <c r="MWD83" i="30" s="1"/>
  <c r="MWF83" i="30" s="1"/>
  <c r="MWH83" i="30" s="1"/>
  <c r="MWJ83" i="30" s="1"/>
  <c r="MWL83" i="30" s="1"/>
  <c r="MWN83" i="30" s="1"/>
  <c r="MWP83" i="30" s="1"/>
  <c r="MWR83" i="30" s="1"/>
  <c r="MWT83" i="30" s="1"/>
  <c r="MWV83" i="30" s="1"/>
  <c r="MWX83" i="30" s="1"/>
  <c r="MWZ83" i="30" s="1"/>
  <c r="MXB83" i="30" s="1"/>
  <c r="MXD83" i="30" s="1"/>
  <c r="MXF83" i="30" s="1"/>
  <c r="MXH83" i="30" s="1"/>
  <c r="MXJ83" i="30" s="1"/>
  <c r="MXL83" i="30" s="1"/>
  <c r="MXN83" i="30" s="1"/>
  <c r="MXP83" i="30" s="1"/>
  <c r="MXR83" i="30" s="1"/>
  <c r="MXT83" i="30" s="1"/>
  <c r="MXV83" i="30" s="1"/>
  <c r="MXX83" i="30" s="1"/>
  <c r="MXZ83" i="30" s="1"/>
  <c r="MYB83" i="30" s="1"/>
  <c r="MYD83" i="30" s="1"/>
  <c r="MYF83" i="30" s="1"/>
  <c r="MYH83" i="30" s="1"/>
  <c r="MYJ83" i="30" s="1"/>
  <c r="MYL83" i="30" s="1"/>
  <c r="MYN83" i="30" s="1"/>
  <c r="MYP83" i="30" s="1"/>
  <c r="MYR83" i="30" s="1"/>
  <c r="MYT83" i="30" s="1"/>
  <c r="MYV83" i="30" s="1"/>
  <c r="MYX83" i="30" s="1"/>
  <c r="MYZ83" i="30" s="1"/>
  <c r="MZB83" i="30" s="1"/>
  <c r="MZD83" i="30" s="1"/>
  <c r="MZF83" i="30" s="1"/>
  <c r="MZH83" i="30" s="1"/>
  <c r="MZJ83" i="30" s="1"/>
  <c r="MZL83" i="30" s="1"/>
  <c r="MZN83" i="30" s="1"/>
  <c r="MZP83" i="30" s="1"/>
  <c r="MZR83" i="30" s="1"/>
  <c r="MZT83" i="30" s="1"/>
  <c r="MZV83" i="30" s="1"/>
  <c r="MZX83" i="30" s="1"/>
  <c r="MZZ83" i="30" s="1"/>
  <c r="NAB83" i="30" s="1"/>
  <c r="NAD83" i="30" s="1"/>
  <c r="NAF83" i="30" s="1"/>
  <c r="NAH83" i="30" s="1"/>
  <c r="NAJ83" i="30" s="1"/>
  <c r="NAL83" i="30" s="1"/>
  <c r="NAN83" i="30" s="1"/>
  <c r="NAP83" i="30" s="1"/>
  <c r="NAR83" i="30" s="1"/>
  <c r="NAT83" i="30" s="1"/>
  <c r="NAV83" i="30" s="1"/>
  <c r="NAX83" i="30" s="1"/>
  <c r="NAZ83" i="30" s="1"/>
  <c r="NBB83" i="30" s="1"/>
  <c r="NBD83" i="30" s="1"/>
  <c r="NBF83" i="30" s="1"/>
  <c r="NBH83" i="30" s="1"/>
  <c r="NBJ83" i="30" s="1"/>
  <c r="NBL83" i="30" s="1"/>
  <c r="NBN83" i="30" s="1"/>
  <c r="NBP83" i="30" s="1"/>
  <c r="NBR83" i="30" s="1"/>
  <c r="NBT83" i="30" s="1"/>
  <c r="NBV83" i="30" s="1"/>
  <c r="NBX83" i="30" s="1"/>
  <c r="NBZ83" i="30" s="1"/>
  <c r="NCB83" i="30" s="1"/>
  <c r="NCD83" i="30" s="1"/>
  <c r="NCF83" i="30" s="1"/>
  <c r="NCH83" i="30" s="1"/>
  <c r="NCJ83" i="30" s="1"/>
  <c r="NCL83" i="30" s="1"/>
  <c r="NCN83" i="30" s="1"/>
  <c r="NCP83" i="30" s="1"/>
  <c r="NCR83" i="30" s="1"/>
  <c r="NCT83" i="30" s="1"/>
  <c r="NCV83" i="30" s="1"/>
  <c r="NCX83" i="30" s="1"/>
  <c r="NCZ83" i="30" s="1"/>
  <c r="NDB83" i="30" s="1"/>
  <c r="NDD83" i="30" s="1"/>
  <c r="NDF83" i="30" s="1"/>
  <c r="NDH83" i="30" s="1"/>
  <c r="NDJ83" i="30" s="1"/>
  <c r="NDL83" i="30" s="1"/>
  <c r="NDN83" i="30" s="1"/>
  <c r="NDP83" i="30" s="1"/>
  <c r="NDR83" i="30" s="1"/>
  <c r="NDT83" i="30" s="1"/>
  <c r="NDV83" i="30" s="1"/>
  <c r="NDX83" i="30" s="1"/>
  <c r="NDZ83" i="30" s="1"/>
  <c r="NEB83" i="30" s="1"/>
  <c r="NED83" i="30" s="1"/>
  <c r="NEF83" i="30" s="1"/>
  <c r="NEH83" i="30" s="1"/>
  <c r="NEJ83" i="30" s="1"/>
  <c r="NEL83" i="30" s="1"/>
  <c r="NEN83" i="30" s="1"/>
  <c r="NEP83" i="30" s="1"/>
  <c r="NER83" i="30" s="1"/>
  <c r="NET83" i="30" s="1"/>
  <c r="NEV83" i="30" s="1"/>
  <c r="NEX83" i="30" s="1"/>
  <c r="NEZ83" i="30" s="1"/>
  <c r="NFB83" i="30" s="1"/>
  <c r="NFD83" i="30" s="1"/>
  <c r="NFF83" i="30" s="1"/>
  <c r="NFH83" i="30" s="1"/>
  <c r="NFJ83" i="30" s="1"/>
  <c r="NFL83" i="30" s="1"/>
  <c r="NFN83" i="30" s="1"/>
  <c r="NFP83" i="30" s="1"/>
  <c r="NFR83" i="30" s="1"/>
  <c r="NFT83" i="30" s="1"/>
  <c r="NFV83" i="30" s="1"/>
  <c r="NFX83" i="30" s="1"/>
  <c r="NFZ83" i="30" s="1"/>
  <c r="NGB83" i="30" s="1"/>
  <c r="NGD83" i="30" s="1"/>
  <c r="NGF83" i="30" s="1"/>
  <c r="NGH83" i="30" s="1"/>
  <c r="NGJ83" i="30" s="1"/>
  <c r="NGL83" i="30" s="1"/>
  <c r="NGN83" i="30" s="1"/>
  <c r="NGP83" i="30" s="1"/>
  <c r="NGR83" i="30" s="1"/>
  <c r="NGT83" i="30" s="1"/>
  <c r="NGV83" i="30" s="1"/>
  <c r="NGX83" i="30" s="1"/>
  <c r="NGZ83" i="30" s="1"/>
  <c r="NHB83" i="30" s="1"/>
  <c r="NHD83" i="30" s="1"/>
  <c r="NHF83" i="30" s="1"/>
  <c r="NHH83" i="30" s="1"/>
  <c r="NHJ83" i="30" s="1"/>
  <c r="NHL83" i="30" s="1"/>
  <c r="NHN83" i="30" s="1"/>
  <c r="NHP83" i="30" s="1"/>
  <c r="NHR83" i="30" s="1"/>
  <c r="NHT83" i="30" s="1"/>
  <c r="NHV83" i="30" s="1"/>
  <c r="NHX83" i="30" s="1"/>
  <c r="NHZ83" i="30" s="1"/>
  <c r="NIB83" i="30" s="1"/>
  <c r="NID83" i="30" s="1"/>
  <c r="NIF83" i="30" s="1"/>
  <c r="NIH83" i="30" s="1"/>
  <c r="NIJ83" i="30" s="1"/>
  <c r="NIL83" i="30" s="1"/>
  <c r="NIN83" i="30" s="1"/>
  <c r="NIP83" i="30" s="1"/>
  <c r="NIR83" i="30" s="1"/>
  <c r="NIT83" i="30" s="1"/>
  <c r="NIV83" i="30" s="1"/>
  <c r="NIX83" i="30" s="1"/>
  <c r="NIZ83" i="30" s="1"/>
  <c r="NJB83" i="30" s="1"/>
  <c r="NJD83" i="30" s="1"/>
  <c r="NJF83" i="30" s="1"/>
  <c r="NJH83" i="30" s="1"/>
  <c r="NJJ83" i="30" s="1"/>
  <c r="NJL83" i="30" s="1"/>
  <c r="NJN83" i="30" s="1"/>
  <c r="NJP83" i="30" s="1"/>
  <c r="NJR83" i="30" s="1"/>
  <c r="NJT83" i="30" s="1"/>
  <c r="NJV83" i="30" s="1"/>
  <c r="NJX83" i="30" s="1"/>
  <c r="NJZ83" i="30" s="1"/>
  <c r="NKB83" i="30" s="1"/>
  <c r="NKD83" i="30" s="1"/>
  <c r="NKF83" i="30" s="1"/>
  <c r="NKH83" i="30" s="1"/>
  <c r="NKJ83" i="30" s="1"/>
  <c r="NKL83" i="30" s="1"/>
  <c r="NKN83" i="30" s="1"/>
  <c r="NKP83" i="30" s="1"/>
  <c r="NKR83" i="30" s="1"/>
  <c r="NKT83" i="30" s="1"/>
  <c r="NKV83" i="30" s="1"/>
  <c r="NKX83" i="30" s="1"/>
  <c r="NKZ83" i="30" s="1"/>
  <c r="NLB83" i="30" s="1"/>
  <c r="NLD83" i="30" s="1"/>
  <c r="NLF83" i="30" s="1"/>
  <c r="NLH83" i="30" s="1"/>
  <c r="NLJ83" i="30" s="1"/>
  <c r="NLL83" i="30" s="1"/>
  <c r="NLN83" i="30" s="1"/>
  <c r="NLP83" i="30" s="1"/>
  <c r="NLR83" i="30" s="1"/>
  <c r="NLT83" i="30" s="1"/>
  <c r="NLV83" i="30" s="1"/>
  <c r="NLX83" i="30" s="1"/>
  <c r="NLZ83" i="30" s="1"/>
  <c r="NMB83" i="30" s="1"/>
  <c r="NMD83" i="30" s="1"/>
  <c r="NMF83" i="30" s="1"/>
  <c r="NMH83" i="30" s="1"/>
  <c r="NMJ83" i="30" s="1"/>
  <c r="NML83" i="30" s="1"/>
  <c r="NMN83" i="30" s="1"/>
  <c r="NMP83" i="30" s="1"/>
  <c r="NMR83" i="30" s="1"/>
  <c r="NMT83" i="30" s="1"/>
  <c r="NMV83" i="30" s="1"/>
  <c r="NMX83" i="30" s="1"/>
  <c r="NMZ83" i="30" s="1"/>
  <c r="NNB83" i="30" s="1"/>
  <c r="NND83" i="30" s="1"/>
  <c r="NNF83" i="30" s="1"/>
  <c r="NNH83" i="30" s="1"/>
  <c r="NNJ83" i="30" s="1"/>
  <c r="NNL83" i="30" s="1"/>
  <c r="NNN83" i="30" s="1"/>
  <c r="NNP83" i="30" s="1"/>
  <c r="NNR83" i="30" s="1"/>
  <c r="NNT83" i="30" s="1"/>
  <c r="NNV83" i="30" s="1"/>
  <c r="NNX83" i="30" s="1"/>
  <c r="NNZ83" i="30" s="1"/>
  <c r="NOB83" i="30" s="1"/>
  <c r="NOD83" i="30" s="1"/>
  <c r="NOF83" i="30" s="1"/>
  <c r="NOH83" i="30" s="1"/>
  <c r="NOJ83" i="30" s="1"/>
  <c r="NOL83" i="30" s="1"/>
  <c r="NON83" i="30" s="1"/>
  <c r="NOP83" i="30" s="1"/>
  <c r="NOR83" i="30" s="1"/>
  <c r="NOT83" i="30" s="1"/>
  <c r="NOV83" i="30" s="1"/>
  <c r="NOX83" i="30" s="1"/>
  <c r="NOZ83" i="30" s="1"/>
  <c r="NPB83" i="30" s="1"/>
  <c r="NPD83" i="30" s="1"/>
  <c r="NPF83" i="30" s="1"/>
  <c r="NPH83" i="30" s="1"/>
  <c r="NPJ83" i="30" s="1"/>
  <c r="NPL83" i="30" s="1"/>
  <c r="NPN83" i="30" s="1"/>
  <c r="NPP83" i="30" s="1"/>
  <c r="NPR83" i="30" s="1"/>
  <c r="NPT83" i="30" s="1"/>
  <c r="NPV83" i="30" s="1"/>
  <c r="NPX83" i="30" s="1"/>
  <c r="NPZ83" i="30" s="1"/>
  <c r="NQB83" i="30" s="1"/>
  <c r="NQD83" i="30" s="1"/>
  <c r="NQF83" i="30" s="1"/>
  <c r="NQH83" i="30" s="1"/>
  <c r="NQJ83" i="30" s="1"/>
  <c r="NQL83" i="30" s="1"/>
  <c r="NQN83" i="30" s="1"/>
  <c r="NQP83" i="30" s="1"/>
  <c r="NQR83" i="30" s="1"/>
  <c r="NQT83" i="30" s="1"/>
  <c r="NQV83" i="30" s="1"/>
  <c r="NQX83" i="30" s="1"/>
  <c r="NQZ83" i="30" s="1"/>
  <c r="NRB83" i="30" s="1"/>
  <c r="NRD83" i="30" s="1"/>
  <c r="NRF83" i="30" s="1"/>
  <c r="NRH83" i="30" s="1"/>
  <c r="NRJ83" i="30" s="1"/>
  <c r="NRL83" i="30" s="1"/>
  <c r="NRN83" i="30" s="1"/>
  <c r="NRP83" i="30" s="1"/>
  <c r="NRR83" i="30" s="1"/>
  <c r="NRT83" i="30" s="1"/>
  <c r="NRV83" i="30" s="1"/>
  <c r="NRX83" i="30" s="1"/>
  <c r="NRZ83" i="30" s="1"/>
  <c r="NSB83" i="30" s="1"/>
  <c r="NSD83" i="30" s="1"/>
  <c r="NSF83" i="30" s="1"/>
  <c r="NSH83" i="30" s="1"/>
  <c r="NSJ83" i="30" s="1"/>
  <c r="NSL83" i="30" s="1"/>
  <c r="NSN83" i="30" s="1"/>
  <c r="NSP83" i="30" s="1"/>
  <c r="NSR83" i="30" s="1"/>
  <c r="NST83" i="30" s="1"/>
  <c r="NSV83" i="30" s="1"/>
  <c r="NSX83" i="30" s="1"/>
  <c r="NSZ83" i="30" s="1"/>
  <c r="NTB83" i="30" s="1"/>
  <c r="NTD83" i="30" s="1"/>
  <c r="NTF83" i="30" s="1"/>
  <c r="NTH83" i="30" s="1"/>
  <c r="NTJ83" i="30" s="1"/>
  <c r="NTL83" i="30" s="1"/>
  <c r="NTN83" i="30" s="1"/>
  <c r="NTP83" i="30" s="1"/>
  <c r="NTR83" i="30" s="1"/>
  <c r="NTT83" i="30" s="1"/>
  <c r="NTV83" i="30" s="1"/>
  <c r="NTX83" i="30" s="1"/>
  <c r="NTZ83" i="30" s="1"/>
  <c r="NUB83" i="30" s="1"/>
  <c r="NUD83" i="30" s="1"/>
  <c r="NUF83" i="30" s="1"/>
  <c r="NUH83" i="30" s="1"/>
  <c r="NUJ83" i="30" s="1"/>
  <c r="NUL83" i="30" s="1"/>
  <c r="NUN83" i="30" s="1"/>
  <c r="NUP83" i="30" s="1"/>
  <c r="NUR83" i="30" s="1"/>
  <c r="NUT83" i="30" s="1"/>
  <c r="NUV83" i="30" s="1"/>
  <c r="NUX83" i="30" s="1"/>
  <c r="NUZ83" i="30" s="1"/>
  <c r="NVB83" i="30" s="1"/>
  <c r="NVD83" i="30" s="1"/>
  <c r="NVF83" i="30" s="1"/>
  <c r="NVH83" i="30" s="1"/>
  <c r="NVJ83" i="30" s="1"/>
  <c r="NVL83" i="30" s="1"/>
  <c r="NVN83" i="30" s="1"/>
  <c r="NVP83" i="30" s="1"/>
  <c r="NVR83" i="30" s="1"/>
  <c r="NVT83" i="30" s="1"/>
  <c r="NVV83" i="30" s="1"/>
  <c r="NVX83" i="30" s="1"/>
  <c r="NVZ83" i="30" s="1"/>
  <c r="NWB83" i="30" s="1"/>
  <c r="NWD83" i="30" s="1"/>
  <c r="NWF83" i="30" s="1"/>
  <c r="NWH83" i="30" s="1"/>
  <c r="NWJ83" i="30" s="1"/>
  <c r="NWL83" i="30" s="1"/>
  <c r="NWN83" i="30" s="1"/>
  <c r="NWP83" i="30" s="1"/>
  <c r="NWR83" i="30" s="1"/>
  <c r="NWT83" i="30" s="1"/>
  <c r="NWV83" i="30" s="1"/>
  <c r="NWX83" i="30" s="1"/>
  <c r="NWZ83" i="30" s="1"/>
  <c r="NXB83" i="30" s="1"/>
  <c r="NXD83" i="30" s="1"/>
  <c r="NXF83" i="30" s="1"/>
  <c r="NXH83" i="30" s="1"/>
  <c r="NXJ83" i="30" s="1"/>
  <c r="NXL83" i="30" s="1"/>
  <c r="NXN83" i="30" s="1"/>
  <c r="NXP83" i="30" s="1"/>
  <c r="NXR83" i="30" s="1"/>
  <c r="NXT83" i="30" s="1"/>
  <c r="NXV83" i="30" s="1"/>
  <c r="NXX83" i="30" s="1"/>
  <c r="NXZ83" i="30" s="1"/>
  <c r="NYB83" i="30" s="1"/>
  <c r="NYD83" i="30" s="1"/>
  <c r="NYF83" i="30" s="1"/>
  <c r="NYH83" i="30" s="1"/>
  <c r="NYJ83" i="30" s="1"/>
  <c r="NYL83" i="30" s="1"/>
  <c r="NYN83" i="30" s="1"/>
  <c r="NYP83" i="30" s="1"/>
  <c r="NYR83" i="30" s="1"/>
  <c r="NYT83" i="30" s="1"/>
  <c r="NYV83" i="30" s="1"/>
  <c r="NYX83" i="30" s="1"/>
  <c r="NYZ83" i="30" s="1"/>
  <c r="NZB83" i="30" s="1"/>
  <c r="NZD83" i="30" s="1"/>
  <c r="NZF83" i="30" s="1"/>
  <c r="NZH83" i="30" s="1"/>
  <c r="NZJ83" i="30" s="1"/>
  <c r="NZL83" i="30" s="1"/>
  <c r="NZN83" i="30" s="1"/>
  <c r="NZP83" i="30" s="1"/>
  <c r="NZR83" i="30" s="1"/>
  <c r="NZT83" i="30" s="1"/>
  <c r="NZV83" i="30" s="1"/>
  <c r="NZX83" i="30" s="1"/>
  <c r="NZZ83" i="30" s="1"/>
  <c r="OAB83" i="30" s="1"/>
  <c r="OAD83" i="30" s="1"/>
  <c r="OAF83" i="30" s="1"/>
  <c r="OAH83" i="30" s="1"/>
  <c r="OAJ83" i="30" s="1"/>
  <c r="OAL83" i="30" s="1"/>
  <c r="OAN83" i="30" s="1"/>
  <c r="OAP83" i="30" s="1"/>
  <c r="OAR83" i="30" s="1"/>
  <c r="OAT83" i="30" s="1"/>
  <c r="OAV83" i="30" s="1"/>
  <c r="OAX83" i="30" s="1"/>
  <c r="OAZ83" i="30" s="1"/>
  <c r="OBB83" i="30" s="1"/>
  <c r="OBD83" i="30" s="1"/>
  <c r="OBF83" i="30" s="1"/>
  <c r="OBH83" i="30" s="1"/>
  <c r="OBJ83" i="30" s="1"/>
  <c r="OBL83" i="30" s="1"/>
  <c r="OBN83" i="30" s="1"/>
  <c r="OBP83" i="30" s="1"/>
  <c r="OBR83" i="30" s="1"/>
  <c r="OBT83" i="30" s="1"/>
  <c r="OBV83" i="30" s="1"/>
  <c r="OBX83" i="30" s="1"/>
  <c r="OBZ83" i="30" s="1"/>
  <c r="OCB83" i="30" s="1"/>
  <c r="OCD83" i="30" s="1"/>
  <c r="OCF83" i="30" s="1"/>
  <c r="OCH83" i="30" s="1"/>
  <c r="OCJ83" i="30" s="1"/>
  <c r="OCL83" i="30" s="1"/>
  <c r="OCN83" i="30" s="1"/>
  <c r="OCP83" i="30" s="1"/>
  <c r="OCR83" i="30" s="1"/>
  <c r="OCT83" i="30" s="1"/>
  <c r="OCV83" i="30" s="1"/>
  <c r="OCX83" i="30" s="1"/>
  <c r="OCZ83" i="30" s="1"/>
  <c r="ODB83" i="30" s="1"/>
  <c r="ODD83" i="30" s="1"/>
  <c r="ODF83" i="30" s="1"/>
  <c r="ODH83" i="30" s="1"/>
  <c r="ODJ83" i="30" s="1"/>
  <c r="ODL83" i="30" s="1"/>
  <c r="ODN83" i="30" s="1"/>
  <c r="ODP83" i="30" s="1"/>
  <c r="ODR83" i="30" s="1"/>
  <c r="ODT83" i="30" s="1"/>
  <c r="ODV83" i="30" s="1"/>
  <c r="ODX83" i="30" s="1"/>
  <c r="ODZ83" i="30" s="1"/>
  <c r="OEB83" i="30" s="1"/>
  <c r="OED83" i="30" s="1"/>
  <c r="OEF83" i="30" s="1"/>
  <c r="OEH83" i="30" s="1"/>
  <c r="OEJ83" i="30" s="1"/>
  <c r="OEL83" i="30" s="1"/>
  <c r="OEN83" i="30" s="1"/>
  <c r="OEP83" i="30" s="1"/>
  <c r="OER83" i="30" s="1"/>
  <c r="OET83" i="30" s="1"/>
  <c r="OEV83" i="30" s="1"/>
  <c r="OEX83" i="30" s="1"/>
  <c r="OEZ83" i="30" s="1"/>
  <c r="OFB83" i="30" s="1"/>
  <c r="OFD83" i="30" s="1"/>
  <c r="OFF83" i="30" s="1"/>
  <c r="OFH83" i="30" s="1"/>
  <c r="OFJ83" i="30" s="1"/>
  <c r="OFL83" i="30" s="1"/>
  <c r="OFN83" i="30" s="1"/>
  <c r="OFP83" i="30" s="1"/>
  <c r="OFR83" i="30" s="1"/>
  <c r="OFT83" i="30" s="1"/>
  <c r="OFV83" i="30" s="1"/>
  <c r="OFX83" i="30" s="1"/>
  <c r="OFZ83" i="30" s="1"/>
  <c r="OGB83" i="30" s="1"/>
  <c r="OGD83" i="30" s="1"/>
  <c r="OGF83" i="30" s="1"/>
  <c r="OGH83" i="30" s="1"/>
  <c r="OGJ83" i="30" s="1"/>
  <c r="OGL83" i="30" s="1"/>
  <c r="OGN83" i="30" s="1"/>
  <c r="OGP83" i="30" s="1"/>
  <c r="OGR83" i="30" s="1"/>
  <c r="OGT83" i="30" s="1"/>
  <c r="OGV83" i="30" s="1"/>
  <c r="OGX83" i="30" s="1"/>
  <c r="OGZ83" i="30" s="1"/>
  <c r="OHB83" i="30" s="1"/>
  <c r="OHD83" i="30" s="1"/>
  <c r="OHF83" i="30" s="1"/>
  <c r="OHH83" i="30" s="1"/>
  <c r="OHJ83" i="30" s="1"/>
  <c r="OHL83" i="30" s="1"/>
  <c r="OHN83" i="30" s="1"/>
  <c r="OHP83" i="30" s="1"/>
  <c r="OHR83" i="30" s="1"/>
  <c r="OHT83" i="30" s="1"/>
  <c r="OHV83" i="30" s="1"/>
  <c r="OHX83" i="30" s="1"/>
  <c r="OHZ83" i="30" s="1"/>
  <c r="OIB83" i="30" s="1"/>
  <c r="OID83" i="30" s="1"/>
  <c r="OIF83" i="30" s="1"/>
  <c r="OIH83" i="30" s="1"/>
  <c r="OIJ83" i="30" s="1"/>
  <c r="OIL83" i="30" s="1"/>
  <c r="OIN83" i="30" s="1"/>
  <c r="OIP83" i="30" s="1"/>
  <c r="OIR83" i="30" s="1"/>
  <c r="OIT83" i="30" s="1"/>
  <c r="OIV83" i="30" s="1"/>
  <c r="OIX83" i="30" s="1"/>
  <c r="OIZ83" i="30" s="1"/>
  <c r="OJB83" i="30" s="1"/>
  <c r="OJD83" i="30" s="1"/>
  <c r="OJF83" i="30" s="1"/>
  <c r="OJH83" i="30" s="1"/>
  <c r="OJJ83" i="30" s="1"/>
  <c r="OJL83" i="30" s="1"/>
  <c r="OJN83" i="30" s="1"/>
  <c r="OJP83" i="30" s="1"/>
  <c r="OJR83" i="30" s="1"/>
  <c r="OJT83" i="30" s="1"/>
  <c r="OJV83" i="30" s="1"/>
  <c r="OJX83" i="30" s="1"/>
  <c r="OJZ83" i="30" s="1"/>
  <c r="OKB83" i="30" s="1"/>
  <c r="OKD83" i="30" s="1"/>
  <c r="OKF83" i="30" s="1"/>
  <c r="OKH83" i="30" s="1"/>
  <c r="OKJ83" i="30" s="1"/>
  <c r="OKL83" i="30" s="1"/>
  <c r="OKN83" i="30" s="1"/>
  <c r="OKP83" i="30" s="1"/>
  <c r="OKR83" i="30" s="1"/>
  <c r="OKT83" i="30" s="1"/>
  <c r="OKV83" i="30" s="1"/>
  <c r="OKX83" i="30" s="1"/>
  <c r="OKZ83" i="30" s="1"/>
  <c r="OLB83" i="30" s="1"/>
  <c r="OLD83" i="30" s="1"/>
  <c r="OLF83" i="30" s="1"/>
  <c r="OLH83" i="30" s="1"/>
  <c r="OLJ83" i="30" s="1"/>
  <c r="OLL83" i="30" s="1"/>
  <c r="OLN83" i="30" s="1"/>
  <c r="OLP83" i="30" s="1"/>
  <c r="OLR83" i="30" s="1"/>
  <c r="OLT83" i="30" s="1"/>
  <c r="OLV83" i="30" s="1"/>
  <c r="OLX83" i="30" s="1"/>
  <c r="OLZ83" i="30" s="1"/>
  <c r="OMB83" i="30" s="1"/>
  <c r="OMD83" i="30" s="1"/>
  <c r="OMF83" i="30" s="1"/>
  <c r="OMH83" i="30" s="1"/>
  <c r="OMJ83" i="30" s="1"/>
  <c r="OML83" i="30" s="1"/>
  <c r="OMN83" i="30" s="1"/>
  <c r="OMP83" i="30" s="1"/>
  <c r="OMR83" i="30" s="1"/>
  <c r="OMT83" i="30" s="1"/>
  <c r="OMV83" i="30" s="1"/>
  <c r="OMX83" i="30" s="1"/>
  <c r="OMZ83" i="30" s="1"/>
  <c r="ONB83" i="30" s="1"/>
  <c r="OND83" i="30" s="1"/>
  <c r="ONF83" i="30" s="1"/>
  <c r="ONH83" i="30" s="1"/>
  <c r="ONJ83" i="30" s="1"/>
  <c r="ONL83" i="30" s="1"/>
  <c r="ONN83" i="30" s="1"/>
  <c r="ONP83" i="30" s="1"/>
  <c r="ONR83" i="30" s="1"/>
  <c r="ONT83" i="30" s="1"/>
  <c r="ONV83" i="30" s="1"/>
  <c r="ONX83" i="30" s="1"/>
  <c r="ONZ83" i="30" s="1"/>
  <c r="OOB83" i="30" s="1"/>
  <c r="OOD83" i="30" s="1"/>
  <c r="OOF83" i="30" s="1"/>
  <c r="OOH83" i="30" s="1"/>
  <c r="OOJ83" i="30" s="1"/>
  <c r="OOL83" i="30" s="1"/>
  <c r="OON83" i="30" s="1"/>
  <c r="OOP83" i="30" s="1"/>
  <c r="OOR83" i="30" s="1"/>
  <c r="OOT83" i="30" s="1"/>
  <c r="OOV83" i="30" s="1"/>
  <c r="OOX83" i="30" s="1"/>
  <c r="OOZ83" i="30" s="1"/>
  <c r="OPB83" i="30" s="1"/>
  <c r="OPD83" i="30" s="1"/>
  <c r="OPF83" i="30" s="1"/>
  <c r="OPH83" i="30" s="1"/>
  <c r="OPJ83" i="30" s="1"/>
  <c r="OPL83" i="30" s="1"/>
  <c r="OPN83" i="30" s="1"/>
  <c r="OPP83" i="30" s="1"/>
  <c r="OPR83" i="30" s="1"/>
  <c r="OPT83" i="30" s="1"/>
  <c r="OPV83" i="30" s="1"/>
  <c r="OPX83" i="30" s="1"/>
  <c r="OPZ83" i="30" s="1"/>
  <c r="OQB83" i="30" s="1"/>
  <c r="OQD83" i="30" s="1"/>
  <c r="OQF83" i="30" s="1"/>
  <c r="OQH83" i="30" s="1"/>
  <c r="OQJ83" i="30" s="1"/>
  <c r="OQL83" i="30" s="1"/>
  <c r="OQN83" i="30" s="1"/>
  <c r="OQP83" i="30" s="1"/>
  <c r="OQR83" i="30" s="1"/>
  <c r="OQT83" i="30" s="1"/>
  <c r="OQV83" i="30" s="1"/>
  <c r="OQX83" i="30" s="1"/>
  <c r="OQZ83" i="30" s="1"/>
  <c r="ORB83" i="30" s="1"/>
  <c r="ORD83" i="30" s="1"/>
  <c r="ORF83" i="30" s="1"/>
  <c r="ORH83" i="30" s="1"/>
  <c r="ORJ83" i="30" s="1"/>
  <c r="ORL83" i="30" s="1"/>
  <c r="ORN83" i="30" s="1"/>
  <c r="ORP83" i="30" s="1"/>
  <c r="ORR83" i="30" s="1"/>
  <c r="ORT83" i="30" s="1"/>
  <c r="ORV83" i="30" s="1"/>
  <c r="ORX83" i="30" s="1"/>
  <c r="ORZ83" i="30" s="1"/>
  <c r="OSB83" i="30" s="1"/>
  <c r="OSD83" i="30" s="1"/>
  <c r="OSF83" i="30" s="1"/>
  <c r="OSH83" i="30" s="1"/>
  <c r="OSJ83" i="30" s="1"/>
  <c r="OSL83" i="30" s="1"/>
  <c r="OSN83" i="30" s="1"/>
  <c r="OSP83" i="30" s="1"/>
  <c r="OSR83" i="30" s="1"/>
  <c r="OST83" i="30" s="1"/>
  <c r="OSV83" i="30" s="1"/>
  <c r="OSX83" i="30" s="1"/>
  <c r="OSZ83" i="30" s="1"/>
  <c r="OTB83" i="30" s="1"/>
  <c r="OTD83" i="30" s="1"/>
  <c r="OTF83" i="30" s="1"/>
  <c r="OTH83" i="30" s="1"/>
  <c r="OTJ83" i="30" s="1"/>
  <c r="OTL83" i="30" s="1"/>
  <c r="OTN83" i="30" s="1"/>
  <c r="OTP83" i="30" s="1"/>
  <c r="OTR83" i="30" s="1"/>
  <c r="OTT83" i="30" s="1"/>
  <c r="OTV83" i="30" s="1"/>
  <c r="OTX83" i="30" s="1"/>
  <c r="OTZ83" i="30" s="1"/>
  <c r="OUB83" i="30" s="1"/>
  <c r="OUD83" i="30" s="1"/>
  <c r="OUF83" i="30" s="1"/>
  <c r="OUH83" i="30" s="1"/>
  <c r="OUJ83" i="30" s="1"/>
  <c r="OUL83" i="30" s="1"/>
  <c r="OUN83" i="30" s="1"/>
  <c r="OUP83" i="30" s="1"/>
  <c r="OUR83" i="30" s="1"/>
  <c r="OUT83" i="30" s="1"/>
  <c r="OUV83" i="30" s="1"/>
  <c r="OUX83" i="30" s="1"/>
  <c r="OUZ83" i="30" s="1"/>
  <c r="OVB83" i="30" s="1"/>
  <c r="OVD83" i="30" s="1"/>
  <c r="OVF83" i="30" s="1"/>
  <c r="OVH83" i="30" s="1"/>
  <c r="OVJ83" i="30" s="1"/>
  <c r="OVL83" i="30" s="1"/>
  <c r="OVN83" i="30" s="1"/>
  <c r="OVP83" i="30" s="1"/>
  <c r="OVR83" i="30" s="1"/>
  <c r="OVT83" i="30" s="1"/>
  <c r="OVV83" i="30" s="1"/>
  <c r="OVX83" i="30" s="1"/>
  <c r="OVZ83" i="30" s="1"/>
  <c r="OWB83" i="30" s="1"/>
  <c r="OWD83" i="30" s="1"/>
  <c r="OWF83" i="30" s="1"/>
  <c r="OWH83" i="30" s="1"/>
  <c r="OWJ83" i="30" s="1"/>
  <c r="OWL83" i="30" s="1"/>
  <c r="OWN83" i="30" s="1"/>
  <c r="OWP83" i="30" s="1"/>
  <c r="OWR83" i="30" s="1"/>
  <c r="OWT83" i="30" s="1"/>
  <c r="OWV83" i="30" s="1"/>
  <c r="OWX83" i="30" s="1"/>
  <c r="OWZ83" i="30" s="1"/>
  <c r="OXB83" i="30" s="1"/>
  <c r="OXD83" i="30" s="1"/>
  <c r="OXF83" i="30" s="1"/>
  <c r="OXH83" i="30" s="1"/>
  <c r="OXJ83" i="30" s="1"/>
  <c r="OXL83" i="30" s="1"/>
  <c r="OXN83" i="30" s="1"/>
  <c r="OXP83" i="30" s="1"/>
  <c r="OXR83" i="30" s="1"/>
  <c r="OXT83" i="30" s="1"/>
  <c r="OXV83" i="30" s="1"/>
  <c r="OXX83" i="30" s="1"/>
  <c r="OXZ83" i="30" s="1"/>
  <c r="OYB83" i="30" s="1"/>
  <c r="OYD83" i="30" s="1"/>
  <c r="OYF83" i="30" s="1"/>
  <c r="OYH83" i="30" s="1"/>
  <c r="OYJ83" i="30" s="1"/>
  <c r="OYL83" i="30" s="1"/>
  <c r="OYN83" i="30" s="1"/>
  <c r="OYP83" i="30" s="1"/>
  <c r="OYR83" i="30" s="1"/>
  <c r="OYT83" i="30" s="1"/>
  <c r="OYV83" i="30" s="1"/>
  <c r="OYX83" i="30" s="1"/>
  <c r="OYZ83" i="30" s="1"/>
  <c r="OZB83" i="30" s="1"/>
  <c r="OZD83" i="30" s="1"/>
  <c r="OZF83" i="30" s="1"/>
  <c r="OZH83" i="30" s="1"/>
  <c r="OZJ83" i="30" s="1"/>
  <c r="OZL83" i="30" s="1"/>
  <c r="OZN83" i="30" s="1"/>
  <c r="OZP83" i="30" s="1"/>
  <c r="OZR83" i="30" s="1"/>
  <c r="OZT83" i="30" s="1"/>
  <c r="OZV83" i="30" s="1"/>
  <c r="OZX83" i="30" s="1"/>
  <c r="OZZ83" i="30" s="1"/>
  <c r="PAB83" i="30" s="1"/>
  <c r="PAD83" i="30" s="1"/>
  <c r="PAF83" i="30" s="1"/>
  <c r="PAH83" i="30" s="1"/>
  <c r="PAJ83" i="30" s="1"/>
  <c r="PAL83" i="30" s="1"/>
  <c r="PAN83" i="30" s="1"/>
  <c r="PAP83" i="30" s="1"/>
  <c r="PAR83" i="30" s="1"/>
  <c r="PAT83" i="30" s="1"/>
  <c r="PAV83" i="30" s="1"/>
  <c r="PAX83" i="30" s="1"/>
  <c r="PAZ83" i="30" s="1"/>
  <c r="PBB83" i="30" s="1"/>
  <c r="PBD83" i="30" s="1"/>
  <c r="PBF83" i="30" s="1"/>
  <c r="PBH83" i="30" s="1"/>
  <c r="PBJ83" i="30" s="1"/>
  <c r="PBL83" i="30" s="1"/>
  <c r="PBN83" i="30" s="1"/>
  <c r="PBP83" i="30" s="1"/>
  <c r="PBR83" i="30" s="1"/>
  <c r="PBT83" i="30" s="1"/>
  <c r="PBV83" i="30" s="1"/>
  <c r="PBX83" i="30" s="1"/>
  <c r="PBZ83" i="30" s="1"/>
  <c r="PCB83" i="30" s="1"/>
  <c r="PCD83" i="30" s="1"/>
  <c r="PCF83" i="30" s="1"/>
  <c r="PCH83" i="30" s="1"/>
  <c r="PCJ83" i="30" s="1"/>
  <c r="PCL83" i="30" s="1"/>
  <c r="PCN83" i="30" s="1"/>
  <c r="PCP83" i="30" s="1"/>
  <c r="PCR83" i="30" s="1"/>
  <c r="PCT83" i="30" s="1"/>
  <c r="PCV83" i="30" s="1"/>
  <c r="PCX83" i="30" s="1"/>
  <c r="PCZ83" i="30" s="1"/>
  <c r="PDB83" i="30" s="1"/>
  <c r="PDD83" i="30" s="1"/>
  <c r="PDF83" i="30" s="1"/>
  <c r="PDH83" i="30" s="1"/>
  <c r="PDJ83" i="30" s="1"/>
  <c r="PDL83" i="30" s="1"/>
  <c r="PDN83" i="30" s="1"/>
  <c r="PDP83" i="30" s="1"/>
  <c r="PDR83" i="30" s="1"/>
  <c r="PDT83" i="30" s="1"/>
  <c r="PDV83" i="30" s="1"/>
  <c r="PDX83" i="30" s="1"/>
  <c r="PDZ83" i="30" s="1"/>
  <c r="PEB83" i="30" s="1"/>
  <c r="PED83" i="30" s="1"/>
  <c r="PEF83" i="30" s="1"/>
  <c r="PEH83" i="30" s="1"/>
  <c r="PEJ83" i="30" s="1"/>
  <c r="PEL83" i="30" s="1"/>
  <c r="PEN83" i="30" s="1"/>
  <c r="PEP83" i="30" s="1"/>
  <c r="PER83" i="30" s="1"/>
  <c r="PET83" i="30" s="1"/>
  <c r="PEV83" i="30" s="1"/>
  <c r="PEX83" i="30" s="1"/>
  <c r="PEZ83" i="30" s="1"/>
  <c r="PFB83" i="30" s="1"/>
  <c r="PFD83" i="30" s="1"/>
  <c r="PFF83" i="30" s="1"/>
  <c r="PFH83" i="30" s="1"/>
  <c r="PFJ83" i="30" s="1"/>
  <c r="PFL83" i="30" s="1"/>
  <c r="PFN83" i="30" s="1"/>
  <c r="PFP83" i="30" s="1"/>
  <c r="PFR83" i="30" s="1"/>
  <c r="PFT83" i="30" s="1"/>
  <c r="PFV83" i="30" s="1"/>
  <c r="PFX83" i="30" s="1"/>
  <c r="PFZ83" i="30" s="1"/>
  <c r="PGB83" i="30" s="1"/>
  <c r="PGD83" i="30" s="1"/>
  <c r="PGF83" i="30" s="1"/>
  <c r="PGH83" i="30" s="1"/>
  <c r="PGJ83" i="30" s="1"/>
  <c r="PGL83" i="30" s="1"/>
  <c r="PGN83" i="30" s="1"/>
  <c r="PGP83" i="30" s="1"/>
  <c r="PGR83" i="30" s="1"/>
  <c r="PGT83" i="30" s="1"/>
  <c r="PGV83" i="30" s="1"/>
  <c r="PGX83" i="30" s="1"/>
  <c r="PGZ83" i="30" s="1"/>
  <c r="PHB83" i="30" s="1"/>
  <c r="PHD83" i="30" s="1"/>
  <c r="PHF83" i="30" s="1"/>
  <c r="PHH83" i="30" s="1"/>
  <c r="PHJ83" i="30" s="1"/>
  <c r="PHL83" i="30" s="1"/>
  <c r="PHN83" i="30" s="1"/>
  <c r="PHP83" i="30" s="1"/>
  <c r="PHR83" i="30" s="1"/>
  <c r="PHT83" i="30" s="1"/>
  <c r="PHV83" i="30" s="1"/>
  <c r="PHX83" i="30" s="1"/>
  <c r="PHZ83" i="30" s="1"/>
  <c r="PIB83" i="30" s="1"/>
  <c r="PID83" i="30" s="1"/>
  <c r="PIF83" i="30" s="1"/>
  <c r="PIH83" i="30" s="1"/>
  <c r="PIJ83" i="30" s="1"/>
  <c r="PIL83" i="30" s="1"/>
  <c r="PIN83" i="30" s="1"/>
  <c r="PIP83" i="30" s="1"/>
  <c r="PIR83" i="30" s="1"/>
  <c r="PIT83" i="30" s="1"/>
  <c r="PIV83" i="30" s="1"/>
  <c r="PIX83" i="30" s="1"/>
  <c r="PIZ83" i="30" s="1"/>
  <c r="PJB83" i="30" s="1"/>
  <c r="PJD83" i="30" s="1"/>
  <c r="PJF83" i="30" s="1"/>
  <c r="PJH83" i="30" s="1"/>
  <c r="PJJ83" i="30" s="1"/>
  <c r="PJL83" i="30" s="1"/>
  <c r="PJN83" i="30" s="1"/>
  <c r="PJP83" i="30" s="1"/>
  <c r="PJR83" i="30" s="1"/>
  <c r="PJT83" i="30" s="1"/>
  <c r="PJV83" i="30" s="1"/>
  <c r="PJX83" i="30" s="1"/>
  <c r="PJZ83" i="30" s="1"/>
  <c r="PKB83" i="30" s="1"/>
  <c r="PKD83" i="30" s="1"/>
  <c r="PKF83" i="30" s="1"/>
  <c r="PKH83" i="30" s="1"/>
  <c r="PKJ83" i="30" s="1"/>
  <c r="PKL83" i="30" s="1"/>
  <c r="PKN83" i="30" s="1"/>
  <c r="PKP83" i="30" s="1"/>
  <c r="PKR83" i="30" s="1"/>
  <c r="PKT83" i="30" s="1"/>
  <c r="PKV83" i="30" s="1"/>
  <c r="PKX83" i="30" s="1"/>
  <c r="PKZ83" i="30" s="1"/>
  <c r="PLB83" i="30" s="1"/>
  <c r="PLD83" i="30" s="1"/>
  <c r="PLF83" i="30" s="1"/>
  <c r="PLH83" i="30" s="1"/>
  <c r="PLJ83" i="30" s="1"/>
  <c r="PLL83" i="30" s="1"/>
  <c r="PLN83" i="30" s="1"/>
  <c r="PLP83" i="30" s="1"/>
  <c r="PLR83" i="30" s="1"/>
  <c r="PLT83" i="30" s="1"/>
  <c r="PLV83" i="30" s="1"/>
  <c r="PLX83" i="30" s="1"/>
  <c r="PLZ83" i="30" s="1"/>
  <c r="PMB83" i="30" s="1"/>
  <c r="PMD83" i="30" s="1"/>
  <c r="PMF83" i="30" s="1"/>
  <c r="PMH83" i="30" s="1"/>
  <c r="PMJ83" i="30" s="1"/>
  <c r="PML83" i="30" s="1"/>
  <c r="PMN83" i="30" s="1"/>
  <c r="PMP83" i="30" s="1"/>
  <c r="PMR83" i="30" s="1"/>
  <c r="PMT83" i="30" s="1"/>
  <c r="PMV83" i="30" s="1"/>
  <c r="PMX83" i="30" s="1"/>
  <c r="PMZ83" i="30" s="1"/>
  <c r="PNB83" i="30" s="1"/>
  <c r="PND83" i="30" s="1"/>
  <c r="PNF83" i="30" s="1"/>
  <c r="PNH83" i="30" s="1"/>
  <c r="PNJ83" i="30" s="1"/>
  <c r="PNL83" i="30" s="1"/>
  <c r="PNN83" i="30" s="1"/>
  <c r="PNP83" i="30" s="1"/>
  <c r="PNR83" i="30" s="1"/>
  <c r="PNT83" i="30" s="1"/>
  <c r="PNV83" i="30" s="1"/>
  <c r="PNX83" i="30" s="1"/>
  <c r="PNZ83" i="30" s="1"/>
  <c r="POB83" i="30" s="1"/>
  <c r="POD83" i="30" s="1"/>
  <c r="POF83" i="30" s="1"/>
  <c r="POH83" i="30" s="1"/>
  <c r="POJ83" i="30" s="1"/>
  <c r="POL83" i="30" s="1"/>
  <c r="PON83" i="30" s="1"/>
  <c r="POP83" i="30" s="1"/>
  <c r="POR83" i="30" s="1"/>
  <c r="POT83" i="30" s="1"/>
  <c r="POV83" i="30" s="1"/>
  <c r="POX83" i="30" s="1"/>
  <c r="POZ83" i="30" s="1"/>
  <c r="PPB83" i="30" s="1"/>
  <c r="PPD83" i="30" s="1"/>
  <c r="PPF83" i="30" s="1"/>
  <c r="PPH83" i="30" s="1"/>
  <c r="PPJ83" i="30" s="1"/>
  <c r="PPL83" i="30" s="1"/>
  <c r="PPN83" i="30" s="1"/>
  <c r="PPP83" i="30" s="1"/>
  <c r="PPR83" i="30" s="1"/>
  <c r="PPT83" i="30" s="1"/>
  <c r="PPV83" i="30" s="1"/>
  <c r="PPX83" i="30" s="1"/>
  <c r="PPZ83" i="30" s="1"/>
  <c r="PQB83" i="30" s="1"/>
  <c r="PQD83" i="30" s="1"/>
  <c r="PQF83" i="30" s="1"/>
  <c r="PQH83" i="30" s="1"/>
  <c r="PQJ83" i="30" s="1"/>
  <c r="PQL83" i="30" s="1"/>
  <c r="PQN83" i="30" s="1"/>
  <c r="PQP83" i="30" s="1"/>
  <c r="PQR83" i="30" s="1"/>
  <c r="PQT83" i="30" s="1"/>
  <c r="PQV83" i="30" s="1"/>
  <c r="PQX83" i="30" s="1"/>
  <c r="PQZ83" i="30" s="1"/>
  <c r="PRB83" i="30" s="1"/>
  <c r="PRD83" i="30" s="1"/>
  <c r="PRF83" i="30" s="1"/>
  <c r="PRH83" i="30" s="1"/>
  <c r="PRJ83" i="30" s="1"/>
  <c r="PRL83" i="30" s="1"/>
  <c r="PRN83" i="30" s="1"/>
  <c r="PRP83" i="30" s="1"/>
  <c r="PRR83" i="30" s="1"/>
  <c r="PRT83" i="30" s="1"/>
  <c r="PRV83" i="30" s="1"/>
  <c r="PRX83" i="30" s="1"/>
  <c r="PRZ83" i="30" s="1"/>
  <c r="PSB83" i="30" s="1"/>
  <c r="PSD83" i="30" s="1"/>
  <c r="PSF83" i="30" s="1"/>
  <c r="PSH83" i="30" s="1"/>
  <c r="PSJ83" i="30" s="1"/>
  <c r="PSL83" i="30" s="1"/>
  <c r="PSN83" i="30" s="1"/>
  <c r="PSP83" i="30" s="1"/>
  <c r="PSR83" i="30" s="1"/>
  <c r="PST83" i="30" s="1"/>
  <c r="PSV83" i="30" s="1"/>
  <c r="PSX83" i="30" s="1"/>
  <c r="PSZ83" i="30" s="1"/>
  <c r="PTB83" i="30" s="1"/>
  <c r="PTD83" i="30" s="1"/>
  <c r="PTF83" i="30" s="1"/>
  <c r="PTH83" i="30" s="1"/>
  <c r="PTJ83" i="30" s="1"/>
  <c r="PTL83" i="30" s="1"/>
  <c r="PTN83" i="30" s="1"/>
  <c r="PTP83" i="30" s="1"/>
  <c r="PTR83" i="30" s="1"/>
  <c r="PTT83" i="30" s="1"/>
  <c r="PTV83" i="30" s="1"/>
  <c r="PTX83" i="30" s="1"/>
  <c r="PTZ83" i="30" s="1"/>
  <c r="PUB83" i="30" s="1"/>
  <c r="PUD83" i="30" s="1"/>
  <c r="PUF83" i="30" s="1"/>
  <c r="PUH83" i="30" s="1"/>
  <c r="PUJ83" i="30" s="1"/>
  <c r="PUL83" i="30" s="1"/>
  <c r="PUN83" i="30" s="1"/>
  <c r="PUP83" i="30" s="1"/>
  <c r="PUR83" i="30" s="1"/>
  <c r="PUT83" i="30" s="1"/>
  <c r="PUV83" i="30" s="1"/>
  <c r="PUX83" i="30" s="1"/>
  <c r="PUZ83" i="30" s="1"/>
  <c r="PVB83" i="30" s="1"/>
  <c r="PVD83" i="30" s="1"/>
  <c r="PVF83" i="30" s="1"/>
  <c r="PVH83" i="30" s="1"/>
  <c r="PVJ83" i="30" s="1"/>
  <c r="PVL83" i="30" s="1"/>
  <c r="PVN83" i="30" s="1"/>
  <c r="PVP83" i="30" s="1"/>
  <c r="PVR83" i="30" s="1"/>
  <c r="PVT83" i="30" s="1"/>
  <c r="PVV83" i="30" s="1"/>
  <c r="PVX83" i="30" s="1"/>
  <c r="PVZ83" i="30" s="1"/>
  <c r="PWB83" i="30" s="1"/>
  <c r="PWD83" i="30" s="1"/>
  <c r="PWF83" i="30" s="1"/>
  <c r="PWH83" i="30" s="1"/>
  <c r="PWJ83" i="30" s="1"/>
  <c r="PWL83" i="30" s="1"/>
  <c r="PWN83" i="30" s="1"/>
  <c r="PWP83" i="30" s="1"/>
  <c r="PWR83" i="30" s="1"/>
  <c r="PWT83" i="30" s="1"/>
  <c r="PWV83" i="30" s="1"/>
  <c r="PWX83" i="30" s="1"/>
  <c r="PWZ83" i="30" s="1"/>
  <c r="PXB83" i="30" s="1"/>
  <c r="PXD83" i="30" s="1"/>
  <c r="PXF83" i="30" s="1"/>
  <c r="PXH83" i="30" s="1"/>
  <c r="PXJ83" i="30" s="1"/>
  <c r="PXL83" i="30" s="1"/>
  <c r="PXN83" i="30" s="1"/>
  <c r="PXP83" i="30" s="1"/>
  <c r="PXR83" i="30" s="1"/>
  <c r="PXT83" i="30" s="1"/>
  <c r="PXV83" i="30" s="1"/>
  <c r="PXX83" i="30" s="1"/>
  <c r="PXZ83" i="30" s="1"/>
  <c r="PYB83" i="30" s="1"/>
  <c r="PYD83" i="30" s="1"/>
  <c r="PYF83" i="30" s="1"/>
  <c r="PYH83" i="30" s="1"/>
  <c r="PYJ83" i="30" s="1"/>
  <c r="PYL83" i="30" s="1"/>
  <c r="PYN83" i="30" s="1"/>
  <c r="PYP83" i="30" s="1"/>
  <c r="PYR83" i="30" s="1"/>
  <c r="PYT83" i="30" s="1"/>
  <c r="PYV83" i="30" s="1"/>
  <c r="PYX83" i="30" s="1"/>
  <c r="PYZ83" i="30" s="1"/>
  <c r="PZB83" i="30" s="1"/>
  <c r="PZD83" i="30" s="1"/>
  <c r="PZF83" i="30" s="1"/>
  <c r="PZH83" i="30" s="1"/>
  <c r="PZJ83" i="30" s="1"/>
  <c r="PZL83" i="30" s="1"/>
  <c r="PZN83" i="30" s="1"/>
  <c r="PZP83" i="30" s="1"/>
  <c r="PZR83" i="30" s="1"/>
  <c r="PZT83" i="30" s="1"/>
  <c r="PZV83" i="30" s="1"/>
  <c r="PZX83" i="30" s="1"/>
  <c r="PZZ83" i="30" s="1"/>
  <c r="QAB83" i="30" s="1"/>
  <c r="QAD83" i="30" s="1"/>
  <c r="QAF83" i="30" s="1"/>
  <c r="QAH83" i="30" s="1"/>
  <c r="QAJ83" i="30" s="1"/>
  <c r="QAL83" i="30" s="1"/>
  <c r="QAN83" i="30" s="1"/>
  <c r="QAP83" i="30" s="1"/>
  <c r="QAR83" i="30" s="1"/>
  <c r="QAT83" i="30" s="1"/>
  <c r="QAV83" i="30" s="1"/>
  <c r="QAX83" i="30" s="1"/>
  <c r="QAZ83" i="30" s="1"/>
  <c r="QBB83" i="30" s="1"/>
  <c r="QBD83" i="30" s="1"/>
  <c r="QBF83" i="30" s="1"/>
  <c r="QBH83" i="30" s="1"/>
  <c r="QBJ83" i="30" s="1"/>
  <c r="QBL83" i="30" s="1"/>
  <c r="QBN83" i="30" s="1"/>
  <c r="QBP83" i="30" s="1"/>
  <c r="QBR83" i="30" s="1"/>
  <c r="QBT83" i="30" s="1"/>
  <c r="QBV83" i="30" s="1"/>
  <c r="QBX83" i="30" s="1"/>
  <c r="QBZ83" i="30" s="1"/>
  <c r="QCB83" i="30" s="1"/>
  <c r="QCD83" i="30" s="1"/>
  <c r="QCF83" i="30" s="1"/>
  <c r="QCH83" i="30" s="1"/>
  <c r="QCJ83" i="30" s="1"/>
  <c r="QCL83" i="30" s="1"/>
  <c r="QCN83" i="30" s="1"/>
  <c r="QCP83" i="30" s="1"/>
  <c r="QCR83" i="30" s="1"/>
  <c r="QCT83" i="30" s="1"/>
  <c r="QCV83" i="30" s="1"/>
  <c r="QCX83" i="30" s="1"/>
  <c r="QCZ83" i="30" s="1"/>
  <c r="QDB83" i="30" s="1"/>
  <c r="QDD83" i="30" s="1"/>
  <c r="QDF83" i="30" s="1"/>
  <c r="QDH83" i="30" s="1"/>
  <c r="QDJ83" i="30" s="1"/>
  <c r="QDL83" i="30" s="1"/>
  <c r="QDN83" i="30" s="1"/>
  <c r="QDP83" i="30" s="1"/>
  <c r="QDR83" i="30" s="1"/>
  <c r="QDT83" i="30" s="1"/>
  <c r="QDV83" i="30" s="1"/>
  <c r="QDX83" i="30" s="1"/>
  <c r="QDZ83" i="30" s="1"/>
  <c r="QEB83" i="30" s="1"/>
  <c r="QED83" i="30" s="1"/>
  <c r="QEF83" i="30" s="1"/>
  <c r="QEH83" i="30" s="1"/>
  <c r="QEJ83" i="30" s="1"/>
  <c r="QEL83" i="30" s="1"/>
  <c r="QEN83" i="30" s="1"/>
  <c r="QEP83" i="30" s="1"/>
  <c r="QER83" i="30" s="1"/>
  <c r="QET83" i="30" s="1"/>
  <c r="QEV83" i="30" s="1"/>
  <c r="QEX83" i="30" s="1"/>
  <c r="QEZ83" i="30" s="1"/>
  <c r="QFB83" i="30" s="1"/>
  <c r="QFD83" i="30" s="1"/>
  <c r="QFF83" i="30" s="1"/>
  <c r="QFH83" i="30" s="1"/>
  <c r="QFJ83" i="30" s="1"/>
  <c r="QFL83" i="30" s="1"/>
  <c r="QFN83" i="30" s="1"/>
  <c r="QFP83" i="30" s="1"/>
  <c r="QFR83" i="30" s="1"/>
  <c r="QFT83" i="30" s="1"/>
  <c r="QFV83" i="30" s="1"/>
  <c r="QFX83" i="30" s="1"/>
  <c r="QFZ83" i="30" s="1"/>
  <c r="QGB83" i="30" s="1"/>
  <c r="QGD83" i="30" s="1"/>
  <c r="QGF83" i="30" s="1"/>
  <c r="QGH83" i="30" s="1"/>
  <c r="QGJ83" i="30" s="1"/>
  <c r="QGL83" i="30" s="1"/>
  <c r="QGN83" i="30" s="1"/>
  <c r="QGP83" i="30" s="1"/>
  <c r="QGR83" i="30" s="1"/>
  <c r="QGT83" i="30" s="1"/>
  <c r="QGV83" i="30" s="1"/>
  <c r="QGX83" i="30" s="1"/>
  <c r="QGZ83" i="30" s="1"/>
  <c r="QHB83" i="30" s="1"/>
  <c r="QHD83" i="30" s="1"/>
  <c r="QHF83" i="30" s="1"/>
  <c r="QHH83" i="30" s="1"/>
  <c r="QHJ83" i="30" s="1"/>
  <c r="QHL83" i="30" s="1"/>
  <c r="QHN83" i="30" s="1"/>
  <c r="QHP83" i="30" s="1"/>
  <c r="QHR83" i="30" s="1"/>
  <c r="QHT83" i="30" s="1"/>
  <c r="QHV83" i="30" s="1"/>
  <c r="QHX83" i="30" s="1"/>
  <c r="QHZ83" i="30" s="1"/>
  <c r="QIB83" i="30" s="1"/>
  <c r="QID83" i="30" s="1"/>
  <c r="QIF83" i="30" s="1"/>
  <c r="QIH83" i="30" s="1"/>
  <c r="QIJ83" i="30" s="1"/>
  <c r="QIL83" i="30" s="1"/>
  <c r="QIN83" i="30" s="1"/>
  <c r="QIP83" i="30" s="1"/>
  <c r="QIR83" i="30" s="1"/>
  <c r="QIT83" i="30" s="1"/>
  <c r="QIV83" i="30" s="1"/>
  <c r="QIX83" i="30" s="1"/>
  <c r="QIZ83" i="30" s="1"/>
  <c r="QJB83" i="30" s="1"/>
  <c r="QJD83" i="30" s="1"/>
  <c r="QJF83" i="30" s="1"/>
  <c r="QJH83" i="30" s="1"/>
  <c r="QJJ83" i="30" s="1"/>
  <c r="QJL83" i="30" s="1"/>
  <c r="QJN83" i="30" s="1"/>
  <c r="QJP83" i="30" s="1"/>
  <c r="QJR83" i="30" s="1"/>
  <c r="QJT83" i="30" s="1"/>
  <c r="QJV83" i="30" s="1"/>
  <c r="QJX83" i="30" s="1"/>
  <c r="QJZ83" i="30" s="1"/>
  <c r="QKB83" i="30" s="1"/>
  <c r="QKD83" i="30" s="1"/>
  <c r="QKF83" i="30" s="1"/>
  <c r="QKH83" i="30" s="1"/>
  <c r="QKJ83" i="30" s="1"/>
  <c r="QKL83" i="30" s="1"/>
  <c r="QKN83" i="30" s="1"/>
  <c r="QKP83" i="30" s="1"/>
  <c r="QKR83" i="30" s="1"/>
  <c r="QKT83" i="30" s="1"/>
  <c r="QKV83" i="30" s="1"/>
  <c r="QKX83" i="30" s="1"/>
  <c r="QKZ83" i="30" s="1"/>
  <c r="QLB83" i="30" s="1"/>
  <c r="QLD83" i="30" s="1"/>
  <c r="QLF83" i="30" s="1"/>
  <c r="QLH83" i="30" s="1"/>
  <c r="QLJ83" i="30" s="1"/>
  <c r="QLL83" i="30" s="1"/>
  <c r="QLN83" i="30" s="1"/>
  <c r="QLP83" i="30" s="1"/>
  <c r="QLR83" i="30" s="1"/>
  <c r="QLT83" i="30" s="1"/>
  <c r="QLV83" i="30" s="1"/>
  <c r="QLX83" i="30" s="1"/>
  <c r="QLZ83" i="30" s="1"/>
  <c r="QMB83" i="30" s="1"/>
  <c r="QMD83" i="30" s="1"/>
  <c r="QMF83" i="30" s="1"/>
  <c r="QMH83" i="30" s="1"/>
  <c r="QMJ83" i="30" s="1"/>
  <c r="QML83" i="30" s="1"/>
  <c r="QMN83" i="30" s="1"/>
  <c r="QMP83" i="30" s="1"/>
  <c r="QMR83" i="30" s="1"/>
  <c r="QMT83" i="30" s="1"/>
  <c r="QMV83" i="30" s="1"/>
  <c r="QMX83" i="30" s="1"/>
  <c r="QMZ83" i="30" s="1"/>
  <c r="QNB83" i="30" s="1"/>
  <c r="QND83" i="30" s="1"/>
  <c r="QNF83" i="30" s="1"/>
  <c r="QNH83" i="30" s="1"/>
  <c r="QNJ83" i="30" s="1"/>
  <c r="QNL83" i="30" s="1"/>
  <c r="QNN83" i="30" s="1"/>
  <c r="QNP83" i="30" s="1"/>
  <c r="QNR83" i="30" s="1"/>
  <c r="QNT83" i="30" s="1"/>
  <c r="QNV83" i="30" s="1"/>
  <c r="QNX83" i="30" s="1"/>
  <c r="QNZ83" i="30" s="1"/>
  <c r="QOB83" i="30" s="1"/>
  <c r="QOD83" i="30" s="1"/>
  <c r="QOF83" i="30" s="1"/>
  <c r="QOH83" i="30" s="1"/>
  <c r="QOJ83" i="30" s="1"/>
  <c r="QOL83" i="30" s="1"/>
  <c r="QON83" i="30" s="1"/>
  <c r="QOP83" i="30" s="1"/>
  <c r="QOR83" i="30" s="1"/>
  <c r="QOT83" i="30" s="1"/>
  <c r="QOV83" i="30" s="1"/>
  <c r="QOX83" i="30" s="1"/>
  <c r="QOZ83" i="30" s="1"/>
  <c r="QPB83" i="30" s="1"/>
  <c r="QPD83" i="30" s="1"/>
  <c r="QPF83" i="30" s="1"/>
  <c r="QPH83" i="30" s="1"/>
  <c r="QPJ83" i="30" s="1"/>
  <c r="QPL83" i="30" s="1"/>
  <c r="QPN83" i="30" s="1"/>
  <c r="QPP83" i="30" s="1"/>
  <c r="QPR83" i="30" s="1"/>
  <c r="QPT83" i="30" s="1"/>
  <c r="QPV83" i="30" s="1"/>
  <c r="QPX83" i="30" s="1"/>
  <c r="QPZ83" i="30" s="1"/>
  <c r="QQB83" i="30" s="1"/>
  <c r="QQD83" i="30" s="1"/>
  <c r="QQF83" i="30" s="1"/>
  <c r="QQH83" i="30" s="1"/>
  <c r="QQJ83" i="30" s="1"/>
  <c r="QQL83" i="30" s="1"/>
  <c r="QQN83" i="30" s="1"/>
  <c r="QQP83" i="30" s="1"/>
  <c r="QQR83" i="30" s="1"/>
  <c r="QQT83" i="30" s="1"/>
  <c r="QQV83" i="30" s="1"/>
  <c r="QQX83" i="30" s="1"/>
  <c r="QQZ83" i="30" s="1"/>
  <c r="QRB83" i="30" s="1"/>
  <c r="QRD83" i="30" s="1"/>
  <c r="QRF83" i="30" s="1"/>
  <c r="QRH83" i="30" s="1"/>
  <c r="QRJ83" i="30" s="1"/>
  <c r="QRL83" i="30" s="1"/>
  <c r="QRN83" i="30" s="1"/>
  <c r="QRP83" i="30" s="1"/>
  <c r="QRR83" i="30" s="1"/>
  <c r="QRT83" i="30" s="1"/>
  <c r="QRV83" i="30" s="1"/>
  <c r="QRX83" i="30" s="1"/>
  <c r="QRZ83" i="30" s="1"/>
  <c r="QSB83" i="30" s="1"/>
  <c r="QSD83" i="30" s="1"/>
  <c r="QSF83" i="30" s="1"/>
  <c r="QSH83" i="30" s="1"/>
  <c r="QSJ83" i="30" s="1"/>
  <c r="QSL83" i="30" s="1"/>
  <c r="QSN83" i="30" s="1"/>
  <c r="QSP83" i="30" s="1"/>
  <c r="QSR83" i="30" s="1"/>
  <c r="QST83" i="30" s="1"/>
  <c r="QSV83" i="30" s="1"/>
  <c r="QSX83" i="30" s="1"/>
  <c r="QSZ83" i="30" s="1"/>
  <c r="QTB83" i="30" s="1"/>
  <c r="QTD83" i="30" s="1"/>
  <c r="QTF83" i="30" s="1"/>
  <c r="QTH83" i="30" s="1"/>
  <c r="QTJ83" i="30" s="1"/>
  <c r="QTL83" i="30" s="1"/>
  <c r="QTN83" i="30" s="1"/>
  <c r="QTP83" i="30" s="1"/>
  <c r="QTR83" i="30" s="1"/>
  <c r="QTT83" i="30" s="1"/>
  <c r="QTV83" i="30" s="1"/>
  <c r="QTX83" i="30" s="1"/>
  <c r="QTZ83" i="30" s="1"/>
  <c r="QUB83" i="30" s="1"/>
  <c r="QUD83" i="30" s="1"/>
  <c r="QUF83" i="30" s="1"/>
  <c r="QUH83" i="30" s="1"/>
  <c r="QUJ83" i="30" s="1"/>
  <c r="QUL83" i="30" s="1"/>
  <c r="QUN83" i="30" s="1"/>
  <c r="QUP83" i="30" s="1"/>
  <c r="QUR83" i="30" s="1"/>
  <c r="QUT83" i="30" s="1"/>
  <c r="QUV83" i="30" s="1"/>
  <c r="QUX83" i="30" s="1"/>
  <c r="QUZ83" i="30" s="1"/>
  <c r="QVB83" i="30" s="1"/>
  <c r="QVD83" i="30" s="1"/>
  <c r="QVF83" i="30" s="1"/>
  <c r="QVH83" i="30" s="1"/>
  <c r="QVJ83" i="30" s="1"/>
  <c r="QVL83" i="30" s="1"/>
  <c r="QVN83" i="30" s="1"/>
  <c r="QVP83" i="30" s="1"/>
  <c r="QVR83" i="30" s="1"/>
  <c r="QVT83" i="30" s="1"/>
  <c r="QVV83" i="30" s="1"/>
  <c r="QVX83" i="30" s="1"/>
  <c r="QVZ83" i="30" s="1"/>
  <c r="QWB83" i="30" s="1"/>
  <c r="QWD83" i="30" s="1"/>
  <c r="QWF83" i="30" s="1"/>
  <c r="QWH83" i="30" s="1"/>
  <c r="QWJ83" i="30" s="1"/>
  <c r="QWL83" i="30" s="1"/>
  <c r="QWN83" i="30" s="1"/>
  <c r="QWP83" i="30" s="1"/>
  <c r="QWR83" i="30" s="1"/>
  <c r="QWT83" i="30" s="1"/>
  <c r="QWV83" i="30" s="1"/>
  <c r="QWX83" i="30" s="1"/>
  <c r="QWZ83" i="30" s="1"/>
  <c r="QXB83" i="30" s="1"/>
  <c r="QXD83" i="30" s="1"/>
  <c r="QXF83" i="30" s="1"/>
  <c r="QXH83" i="30" s="1"/>
  <c r="QXJ83" i="30" s="1"/>
  <c r="QXL83" i="30" s="1"/>
  <c r="QXN83" i="30" s="1"/>
  <c r="QXP83" i="30" s="1"/>
  <c r="QXR83" i="30" s="1"/>
  <c r="QXT83" i="30" s="1"/>
  <c r="QXV83" i="30" s="1"/>
  <c r="QXX83" i="30" s="1"/>
  <c r="QXZ83" i="30" s="1"/>
  <c r="QYB83" i="30" s="1"/>
  <c r="QYD83" i="30" s="1"/>
  <c r="QYF83" i="30" s="1"/>
  <c r="QYH83" i="30" s="1"/>
  <c r="QYJ83" i="30" s="1"/>
  <c r="QYL83" i="30" s="1"/>
  <c r="QYN83" i="30" s="1"/>
  <c r="QYP83" i="30" s="1"/>
  <c r="QYR83" i="30" s="1"/>
  <c r="QYT83" i="30" s="1"/>
  <c r="QYV83" i="30" s="1"/>
  <c r="QYX83" i="30" s="1"/>
  <c r="QYZ83" i="30" s="1"/>
  <c r="QZB83" i="30" s="1"/>
  <c r="QZD83" i="30" s="1"/>
  <c r="QZF83" i="30" s="1"/>
  <c r="QZH83" i="30" s="1"/>
  <c r="QZJ83" i="30" s="1"/>
  <c r="QZL83" i="30" s="1"/>
  <c r="QZN83" i="30" s="1"/>
  <c r="QZP83" i="30" s="1"/>
  <c r="QZR83" i="30" s="1"/>
  <c r="QZT83" i="30" s="1"/>
  <c r="QZV83" i="30" s="1"/>
  <c r="QZX83" i="30" s="1"/>
  <c r="QZZ83" i="30" s="1"/>
  <c r="RAB83" i="30" s="1"/>
  <c r="RAD83" i="30" s="1"/>
  <c r="RAF83" i="30" s="1"/>
  <c r="RAH83" i="30" s="1"/>
  <c r="RAJ83" i="30" s="1"/>
  <c r="RAL83" i="30" s="1"/>
  <c r="RAN83" i="30" s="1"/>
  <c r="RAP83" i="30" s="1"/>
  <c r="RAR83" i="30" s="1"/>
  <c r="RAT83" i="30" s="1"/>
  <c r="RAV83" i="30" s="1"/>
  <c r="RAX83" i="30" s="1"/>
  <c r="RAZ83" i="30" s="1"/>
  <c r="RBB83" i="30" s="1"/>
  <c r="RBD83" i="30" s="1"/>
  <c r="RBF83" i="30" s="1"/>
  <c r="RBH83" i="30" s="1"/>
  <c r="RBJ83" i="30" s="1"/>
  <c r="RBL83" i="30" s="1"/>
  <c r="RBN83" i="30" s="1"/>
  <c r="RBP83" i="30" s="1"/>
  <c r="RBR83" i="30" s="1"/>
  <c r="RBT83" i="30" s="1"/>
  <c r="RBV83" i="30" s="1"/>
  <c r="RBX83" i="30" s="1"/>
  <c r="RBZ83" i="30" s="1"/>
  <c r="RCB83" i="30" s="1"/>
  <c r="RCD83" i="30" s="1"/>
  <c r="RCF83" i="30" s="1"/>
  <c r="RCH83" i="30" s="1"/>
  <c r="RCJ83" i="30" s="1"/>
  <c r="RCL83" i="30" s="1"/>
  <c r="RCN83" i="30" s="1"/>
  <c r="RCP83" i="30" s="1"/>
  <c r="RCR83" i="30" s="1"/>
  <c r="RCT83" i="30" s="1"/>
  <c r="RCV83" i="30" s="1"/>
  <c r="RCX83" i="30" s="1"/>
  <c r="RCZ83" i="30" s="1"/>
  <c r="RDB83" i="30" s="1"/>
  <c r="RDD83" i="30" s="1"/>
  <c r="RDF83" i="30" s="1"/>
  <c r="RDH83" i="30" s="1"/>
  <c r="RDJ83" i="30" s="1"/>
  <c r="RDL83" i="30" s="1"/>
  <c r="RDN83" i="30" s="1"/>
  <c r="RDP83" i="30" s="1"/>
  <c r="RDR83" i="30" s="1"/>
  <c r="RDT83" i="30" s="1"/>
  <c r="RDV83" i="30" s="1"/>
  <c r="RDX83" i="30" s="1"/>
  <c r="RDZ83" i="30" s="1"/>
  <c r="REB83" i="30" s="1"/>
  <c r="RED83" i="30" s="1"/>
  <c r="REF83" i="30" s="1"/>
  <c r="REH83" i="30" s="1"/>
  <c r="REJ83" i="30" s="1"/>
  <c r="REL83" i="30" s="1"/>
  <c r="REN83" i="30" s="1"/>
  <c r="REP83" i="30" s="1"/>
  <c r="RER83" i="30" s="1"/>
  <c r="RET83" i="30" s="1"/>
  <c r="REV83" i="30" s="1"/>
  <c r="REX83" i="30" s="1"/>
  <c r="REZ83" i="30" s="1"/>
  <c r="RFB83" i="30" s="1"/>
  <c r="RFD83" i="30" s="1"/>
  <c r="RFF83" i="30" s="1"/>
  <c r="RFH83" i="30" s="1"/>
  <c r="RFJ83" i="30" s="1"/>
  <c r="RFL83" i="30" s="1"/>
  <c r="RFN83" i="30" s="1"/>
  <c r="RFP83" i="30" s="1"/>
  <c r="RFR83" i="30" s="1"/>
  <c r="RFT83" i="30" s="1"/>
  <c r="RFV83" i="30" s="1"/>
  <c r="RFX83" i="30" s="1"/>
  <c r="RFZ83" i="30" s="1"/>
  <c r="RGB83" i="30" s="1"/>
  <c r="RGD83" i="30" s="1"/>
  <c r="RGF83" i="30" s="1"/>
  <c r="RGH83" i="30" s="1"/>
  <c r="RGJ83" i="30" s="1"/>
  <c r="RGL83" i="30" s="1"/>
  <c r="RGN83" i="30" s="1"/>
  <c r="RGP83" i="30" s="1"/>
  <c r="RGR83" i="30" s="1"/>
  <c r="RGT83" i="30" s="1"/>
  <c r="RGV83" i="30" s="1"/>
  <c r="RGX83" i="30" s="1"/>
  <c r="RGZ83" i="30" s="1"/>
  <c r="RHB83" i="30" s="1"/>
  <c r="RHD83" i="30" s="1"/>
  <c r="RHF83" i="30" s="1"/>
  <c r="RHH83" i="30" s="1"/>
  <c r="RHJ83" i="30" s="1"/>
  <c r="RHL83" i="30" s="1"/>
  <c r="RHN83" i="30" s="1"/>
  <c r="RHP83" i="30" s="1"/>
  <c r="RHR83" i="30" s="1"/>
  <c r="RHT83" i="30" s="1"/>
  <c r="RHV83" i="30" s="1"/>
  <c r="RHX83" i="30" s="1"/>
  <c r="RHZ83" i="30" s="1"/>
  <c r="RIB83" i="30" s="1"/>
  <c r="RID83" i="30" s="1"/>
  <c r="RIF83" i="30" s="1"/>
  <c r="RIH83" i="30" s="1"/>
  <c r="RIJ83" i="30" s="1"/>
  <c r="RIL83" i="30" s="1"/>
  <c r="RIN83" i="30" s="1"/>
  <c r="RIP83" i="30" s="1"/>
  <c r="RIR83" i="30" s="1"/>
  <c r="RIT83" i="30" s="1"/>
  <c r="RIV83" i="30" s="1"/>
  <c r="RIX83" i="30" s="1"/>
  <c r="RIZ83" i="30" s="1"/>
  <c r="RJB83" i="30" s="1"/>
  <c r="RJD83" i="30" s="1"/>
  <c r="RJF83" i="30" s="1"/>
  <c r="RJH83" i="30" s="1"/>
  <c r="RJJ83" i="30" s="1"/>
  <c r="RJL83" i="30" s="1"/>
  <c r="RJN83" i="30" s="1"/>
  <c r="RJP83" i="30" s="1"/>
  <c r="RJR83" i="30" s="1"/>
  <c r="RJT83" i="30" s="1"/>
  <c r="RJV83" i="30" s="1"/>
  <c r="RJX83" i="30" s="1"/>
  <c r="RJZ83" i="30" s="1"/>
  <c r="RKB83" i="30" s="1"/>
  <c r="RKD83" i="30" s="1"/>
  <c r="RKF83" i="30" s="1"/>
  <c r="RKH83" i="30" s="1"/>
  <c r="RKJ83" i="30" s="1"/>
  <c r="RKL83" i="30" s="1"/>
  <c r="RKN83" i="30" s="1"/>
  <c r="RKP83" i="30" s="1"/>
  <c r="RKR83" i="30" s="1"/>
  <c r="RKT83" i="30" s="1"/>
  <c r="RKV83" i="30" s="1"/>
  <c r="RKX83" i="30" s="1"/>
  <c r="RKZ83" i="30" s="1"/>
  <c r="RLB83" i="30" s="1"/>
  <c r="RLD83" i="30" s="1"/>
  <c r="RLF83" i="30" s="1"/>
  <c r="RLH83" i="30" s="1"/>
  <c r="RLJ83" i="30" s="1"/>
  <c r="RLL83" i="30" s="1"/>
  <c r="RLN83" i="30" s="1"/>
  <c r="RLP83" i="30" s="1"/>
  <c r="RLR83" i="30" s="1"/>
  <c r="RLT83" i="30" s="1"/>
  <c r="RLV83" i="30" s="1"/>
  <c r="RLX83" i="30" s="1"/>
  <c r="RLZ83" i="30" s="1"/>
  <c r="RMB83" i="30" s="1"/>
  <c r="RMD83" i="30" s="1"/>
  <c r="RMF83" i="30" s="1"/>
  <c r="RMH83" i="30" s="1"/>
  <c r="RMJ83" i="30" s="1"/>
  <c r="RML83" i="30" s="1"/>
  <c r="RMN83" i="30" s="1"/>
  <c r="RMP83" i="30" s="1"/>
  <c r="RMR83" i="30" s="1"/>
  <c r="RMT83" i="30" s="1"/>
  <c r="RMV83" i="30" s="1"/>
  <c r="RMX83" i="30" s="1"/>
  <c r="RMZ83" i="30" s="1"/>
  <c r="RNB83" i="30" s="1"/>
  <c r="RND83" i="30" s="1"/>
  <c r="RNF83" i="30" s="1"/>
  <c r="RNH83" i="30" s="1"/>
  <c r="RNJ83" i="30" s="1"/>
  <c r="RNL83" i="30" s="1"/>
  <c r="RNN83" i="30" s="1"/>
  <c r="RNP83" i="30" s="1"/>
  <c r="RNR83" i="30" s="1"/>
  <c r="RNT83" i="30" s="1"/>
  <c r="RNV83" i="30" s="1"/>
  <c r="RNX83" i="30" s="1"/>
  <c r="RNZ83" i="30" s="1"/>
  <c r="ROB83" i="30" s="1"/>
  <c r="ROD83" i="30" s="1"/>
  <c r="ROF83" i="30" s="1"/>
  <c r="ROH83" i="30" s="1"/>
  <c r="ROJ83" i="30" s="1"/>
  <c r="ROL83" i="30" s="1"/>
  <c r="RON83" i="30" s="1"/>
  <c r="ROP83" i="30" s="1"/>
  <c r="ROR83" i="30" s="1"/>
  <c r="ROT83" i="30" s="1"/>
  <c r="ROV83" i="30" s="1"/>
  <c r="ROX83" i="30" s="1"/>
  <c r="ROZ83" i="30" s="1"/>
  <c r="RPB83" i="30" s="1"/>
  <c r="RPD83" i="30" s="1"/>
  <c r="RPF83" i="30" s="1"/>
  <c r="RPH83" i="30" s="1"/>
  <c r="RPJ83" i="30" s="1"/>
  <c r="RPL83" i="30" s="1"/>
  <c r="RPN83" i="30" s="1"/>
  <c r="RPP83" i="30" s="1"/>
  <c r="RPR83" i="30" s="1"/>
  <c r="RPT83" i="30" s="1"/>
  <c r="RPV83" i="30" s="1"/>
  <c r="RPX83" i="30" s="1"/>
  <c r="RPZ83" i="30" s="1"/>
  <c r="RQB83" i="30" s="1"/>
  <c r="RQD83" i="30" s="1"/>
  <c r="RQF83" i="30" s="1"/>
  <c r="RQH83" i="30" s="1"/>
  <c r="RQJ83" i="30" s="1"/>
  <c r="RQL83" i="30" s="1"/>
  <c r="RQN83" i="30" s="1"/>
  <c r="RQP83" i="30" s="1"/>
  <c r="RQR83" i="30" s="1"/>
  <c r="RQT83" i="30" s="1"/>
  <c r="RQV83" i="30" s="1"/>
  <c r="RQX83" i="30" s="1"/>
  <c r="RQZ83" i="30" s="1"/>
  <c r="RRB83" i="30" s="1"/>
  <c r="RRD83" i="30" s="1"/>
  <c r="RRF83" i="30" s="1"/>
  <c r="RRH83" i="30" s="1"/>
  <c r="RRJ83" i="30" s="1"/>
  <c r="RRL83" i="30" s="1"/>
  <c r="RRN83" i="30" s="1"/>
  <c r="RRP83" i="30" s="1"/>
  <c r="RRR83" i="30" s="1"/>
  <c r="RRT83" i="30" s="1"/>
  <c r="RRV83" i="30" s="1"/>
  <c r="RRX83" i="30" s="1"/>
  <c r="RRZ83" i="30" s="1"/>
  <c r="RSB83" i="30" s="1"/>
  <c r="RSD83" i="30" s="1"/>
  <c r="RSF83" i="30" s="1"/>
  <c r="RSH83" i="30" s="1"/>
  <c r="RSJ83" i="30" s="1"/>
  <c r="RSL83" i="30" s="1"/>
  <c r="RSN83" i="30" s="1"/>
  <c r="RSP83" i="30" s="1"/>
  <c r="RSR83" i="30" s="1"/>
  <c r="RST83" i="30" s="1"/>
  <c r="RSV83" i="30" s="1"/>
  <c r="RSX83" i="30" s="1"/>
  <c r="RSZ83" i="30" s="1"/>
  <c r="RTB83" i="30" s="1"/>
  <c r="RTD83" i="30" s="1"/>
  <c r="RTF83" i="30" s="1"/>
  <c r="RTH83" i="30" s="1"/>
  <c r="RTJ83" i="30" s="1"/>
  <c r="RTL83" i="30" s="1"/>
  <c r="RTN83" i="30" s="1"/>
  <c r="RTP83" i="30" s="1"/>
  <c r="RTR83" i="30" s="1"/>
  <c r="RTT83" i="30" s="1"/>
  <c r="RTV83" i="30" s="1"/>
  <c r="RTX83" i="30" s="1"/>
  <c r="RTZ83" i="30" s="1"/>
  <c r="RUB83" i="30" s="1"/>
  <c r="RUD83" i="30" s="1"/>
  <c r="RUF83" i="30" s="1"/>
  <c r="RUH83" i="30" s="1"/>
  <c r="RUJ83" i="30" s="1"/>
  <c r="RUL83" i="30" s="1"/>
  <c r="RUN83" i="30" s="1"/>
  <c r="RUP83" i="30" s="1"/>
  <c r="RUR83" i="30" s="1"/>
  <c r="RUT83" i="30" s="1"/>
  <c r="RUV83" i="30" s="1"/>
  <c r="RUX83" i="30" s="1"/>
  <c r="RUZ83" i="30" s="1"/>
  <c r="RVB83" i="30" s="1"/>
  <c r="RVD83" i="30" s="1"/>
  <c r="RVF83" i="30" s="1"/>
  <c r="RVH83" i="30" s="1"/>
  <c r="RVJ83" i="30" s="1"/>
  <c r="RVL83" i="30" s="1"/>
  <c r="RVN83" i="30" s="1"/>
  <c r="RVP83" i="30" s="1"/>
  <c r="RVR83" i="30" s="1"/>
  <c r="RVT83" i="30" s="1"/>
  <c r="RVV83" i="30" s="1"/>
  <c r="RVX83" i="30" s="1"/>
  <c r="RVZ83" i="30" s="1"/>
  <c r="RWB83" i="30" s="1"/>
  <c r="RWD83" i="30" s="1"/>
  <c r="RWF83" i="30" s="1"/>
  <c r="RWH83" i="30" s="1"/>
  <c r="RWJ83" i="30" s="1"/>
  <c r="RWL83" i="30" s="1"/>
  <c r="RWN83" i="30" s="1"/>
  <c r="RWP83" i="30" s="1"/>
  <c r="RWR83" i="30" s="1"/>
  <c r="RWT83" i="30" s="1"/>
  <c r="RWV83" i="30" s="1"/>
  <c r="RWX83" i="30" s="1"/>
  <c r="RWZ83" i="30" s="1"/>
  <c r="RXB83" i="30" s="1"/>
  <c r="RXD83" i="30" s="1"/>
  <c r="RXF83" i="30" s="1"/>
  <c r="RXH83" i="30" s="1"/>
  <c r="RXJ83" i="30" s="1"/>
  <c r="RXL83" i="30" s="1"/>
  <c r="RXN83" i="30" s="1"/>
  <c r="RXP83" i="30" s="1"/>
  <c r="RXR83" i="30" s="1"/>
  <c r="RXT83" i="30" s="1"/>
  <c r="RXV83" i="30" s="1"/>
  <c r="RXX83" i="30" s="1"/>
  <c r="RXZ83" i="30" s="1"/>
  <c r="RYB83" i="30" s="1"/>
  <c r="RYD83" i="30" s="1"/>
  <c r="RYF83" i="30" s="1"/>
  <c r="RYH83" i="30" s="1"/>
  <c r="RYJ83" i="30" s="1"/>
  <c r="RYL83" i="30" s="1"/>
  <c r="RYN83" i="30" s="1"/>
  <c r="RYP83" i="30" s="1"/>
  <c r="RYR83" i="30" s="1"/>
  <c r="RYT83" i="30" s="1"/>
  <c r="RYV83" i="30" s="1"/>
  <c r="RYX83" i="30" s="1"/>
  <c r="RYZ83" i="30" s="1"/>
  <c r="RZB83" i="30" s="1"/>
  <c r="RZD83" i="30" s="1"/>
  <c r="RZF83" i="30" s="1"/>
  <c r="RZH83" i="30" s="1"/>
  <c r="RZJ83" i="30" s="1"/>
  <c r="RZL83" i="30" s="1"/>
  <c r="RZN83" i="30" s="1"/>
  <c r="RZP83" i="30" s="1"/>
  <c r="RZR83" i="30" s="1"/>
  <c r="RZT83" i="30" s="1"/>
  <c r="RZV83" i="30" s="1"/>
  <c r="RZX83" i="30" s="1"/>
  <c r="RZZ83" i="30" s="1"/>
  <c r="SAB83" i="30" s="1"/>
  <c r="SAD83" i="30" s="1"/>
  <c r="SAF83" i="30" s="1"/>
  <c r="SAH83" i="30" s="1"/>
  <c r="SAJ83" i="30" s="1"/>
  <c r="SAL83" i="30" s="1"/>
  <c r="SAN83" i="30" s="1"/>
  <c r="SAP83" i="30" s="1"/>
  <c r="SAR83" i="30" s="1"/>
  <c r="SAT83" i="30" s="1"/>
  <c r="SAV83" i="30" s="1"/>
  <c r="SAX83" i="30" s="1"/>
  <c r="SAZ83" i="30" s="1"/>
  <c r="SBB83" i="30" s="1"/>
  <c r="SBD83" i="30" s="1"/>
  <c r="SBF83" i="30" s="1"/>
  <c r="SBH83" i="30" s="1"/>
  <c r="SBJ83" i="30" s="1"/>
  <c r="SBL83" i="30" s="1"/>
  <c r="SBN83" i="30" s="1"/>
  <c r="SBP83" i="30" s="1"/>
  <c r="SBR83" i="30" s="1"/>
  <c r="SBT83" i="30" s="1"/>
  <c r="SBV83" i="30" s="1"/>
  <c r="SBX83" i="30" s="1"/>
  <c r="SBZ83" i="30" s="1"/>
  <c r="SCB83" i="30" s="1"/>
  <c r="SCD83" i="30" s="1"/>
  <c r="SCF83" i="30" s="1"/>
  <c r="SCH83" i="30" s="1"/>
  <c r="SCJ83" i="30" s="1"/>
  <c r="SCL83" i="30" s="1"/>
  <c r="SCN83" i="30" s="1"/>
  <c r="SCP83" i="30" s="1"/>
  <c r="SCR83" i="30" s="1"/>
  <c r="SCT83" i="30" s="1"/>
  <c r="SCV83" i="30" s="1"/>
  <c r="SCX83" i="30" s="1"/>
  <c r="SCZ83" i="30" s="1"/>
  <c r="SDB83" i="30" s="1"/>
  <c r="SDD83" i="30" s="1"/>
  <c r="SDF83" i="30" s="1"/>
  <c r="SDH83" i="30" s="1"/>
  <c r="SDJ83" i="30" s="1"/>
  <c r="SDL83" i="30" s="1"/>
  <c r="SDN83" i="30" s="1"/>
  <c r="SDP83" i="30" s="1"/>
  <c r="SDR83" i="30" s="1"/>
  <c r="SDT83" i="30" s="1"/>
  <c r="SDV83" i="30" s="1"/>
  <c r="SDX83" i="30" s="1"/>
  <c r="SDZ83" i="30" s="1"/>
  <c r="SEB83" i="30" s="1"/>
  <c r="SED83" i="30" s="1"/>
  <c r="SEF83" i="30" s="1"/>
  <c r="SEH83" i="30" s="1"/>
  <c r="SEJ83" i="30" s="1"/>
  <c r="SEL83" i="30" s="1"/>
  <c r="SEN83" i="30" s="1"/>
  <c r="SEP83" i="30" s="1"/>
  <c r="SER83" i="30" s="1"/>
  <c r="SET83" i="30" s="1"/>
  <c r="SEV83" i="30" s="1"/>
  <c r="SEX83" i="30" s="1"/>
  <c r="SEZ83" i="30" s="1"/>
  <c r="SFB83" i="30" s="1"/>
  <c r="SFD83" i="30" s="1"/>
  <c r="SFF83" i="30" s="1"/>
  <c r="SFH83" i="30" s="1"/>
  <c r="SFJ83" i="30" s="1"/>
  <c r="SFL83" i="30" s="1"/>
  <c r="SFN83" i="30" s="1"/>
  <c r="SFP83" i="30" s="1"/>
  <c r="SFR83" i="30" s="1"/>
  <c r="SFT83" i="30" s="1"/>
  <c r="SFV83" i="30" s="1"/>
  <c r="SFX83" i="30" s="1"/>
  <c r="SFZ83" i="30" s="1"/>
  <c r="SGB83" i="30" s="1"/>
  <c r="SGD83" i="30" s="1"/>
  <c r="SGF83" i="30" s="1"/>
  <c r="SGH83" i="30" s="1"/>
  <c r="SGJ83" i="30" s="1"/>
  <c r="SGL83" i="30" s="1"/>
  <c r="SGN83" i="30" s="1"/>
  <c r="SGP83" i="30" s="1"/>
  <c r="SGR83" i="30" s="1"/>
  <c r="SGT83" i="30" s="1"/>
  <c r="SGV83" i="30" s="1"/>
  <c r="SGX83" i="30" s="1"/>
  <c r="SGZ83" i="30" s="1"/>
  <c r="SHB83" i="30" s="1"/>
  <c r="SHD83" i="30" s="1"/>
  <c r="SHF83" i="30" s="1"/>
  <c r="SHH83" i="30" s="1"/>
  <c r="SHJ83" i="30" s="1"/>
  <c r="SHL83" i="30" s="1"/>
  <c r="SHN83" i="30" s="1"/>
  <c r="SHP83" i="30" s="1"/>
  <c r="SHR83" i="30" s="1"/>
  <c r="SHT83" i="30" s="1"/>
  <c r="SHV83" i="30" s="1"/>
  <c r="SHX83" i="30" s="1"/>
  <c r="SHZ83" i="30" s="1"/>
  <c r="SIB83" i="30" s="1"/>
  <c r="SID83" i="30" s="1"/>
  <c r="SIF83" i="30" s="1"/>
  <c r="SIH83" i="30" s="1"/>
  <c r="SIJ83" i="30" s="1"/>
  <c r="SIL83" i="30" s="1"/>
  <c r="SIN83" i="30" s="1"/>
  <c r="SIP83" i="30" s="1"/>
  <c r="SIR83" i="30" s="1"/>
  <c r="SIT83" i="30" s="1"/>
  <c r="SIV83" i="30" s="1"/>
  <c r="SIX83" i="30" s="1"/>
  <c r="SIZ83" i="30" s="1"/>
  <c r="SJB83" i="30" s="1"/>
  <c r="SJD83" i="30" s="1"/>
  <c r="SJF83" i="30" s="1"/>
  <c r="SJH83" i="30" s="1"/>
  <c r="SJJ83" i="30" s="1"/>
  <c r="SJL83" i="30" s="1"/>
  <c r="SJN83" i="30" s="1"/>
  <c r="SJP83" i="30" s="1"/>
  <c r="SJR83" i="30" s="1"/>
  <c r="SJT83" i="30" s="1"/>
  <c r="SJV83" i="30" s="1"/>
  <c r="SJX83" i="30" s="1"/>
  <c r="SJZ83" i="30" s="1"/>
  <c r="SKB83" i="30" s="1"/>
  <c r="SKD83" i="30" s="1"/>
  <c r="SKF83" i="30" s="1"/>
  <c r="SKH83" i="30" s="1"/>
  <c r="SKJ83" i="30" s="1"/>
  <c r="SKL83" i="30" s="1"/>
  <c r="SKN83" i="30" s="1"/>
  <c r="SKP83" i="30" s="1"/>
  <c r="SKR83" i="30" s="1"/>
  <c r="SKT83" i="30" s="1"/>
  <c r="SKV83" i="30" s="1"/>
  <c r="SKX83" i="30" s="1"/>
  <c r="SKZ83" i="30" s="1"/>
  <c r="SLB83" i="30" s="1"/>
  <c r="SLD83" i="30" s="1"/>
  <c r="SLF83" i="30" s="1"/>
  <c r="SLH83" i="30" s="1"/>
  <c r="SLJ83" i="30" s="1"/>
  <c r="SLL83" i="30" s="1"/>
  <c r="SLN83" i="30" s="1"/>
  <c r="SLP83" i="30" s="1"/>
  <c r="SLR83" i="30" s="1"/>
  <c r="SLT83" i="30" s="1"/>
  <c r="SLV83" i="30" s="1"/>
  <c r="SLX83" i="30" s="1"/>
  <c r="SLZ83" i="30" s="1"/>
  <c r="SMB83" i="30" s="1"/>
  <c r="SMD83" i="30" s="1"/>
  <c r="SMF83" i="30" s="1"/>
  <c r="SMH83" i="30" s="1"/>
  <c r="SMJ83" i="30" s="1"/>
  <c r="SML83" i="30" s="1"/>
  <c r="SMN83" i="30" s="1"/>
  <c r="SMP83" i="30" s="1"/>
  <c r="SMR83" i="30" s="1"/>
  <c r="SMT83" i="30" s="1"/>
  <c r="SMV83" i="30" s="1"/>
  <c r="SMX83" i="30" s="1"/>
  <c r="SMZ83" i="30" s="1"/>
  <c r="SNB83" i="30" s="1"/>
  <c r="SND83" i="30" s="1"/>
  <c r="SNF83" i="30" s="1"/>
  <c r="SNH83" i="30" s="1"/>
  <c r="SNJ83" i="30" s="1"/>
  <c r="SNL83" i="30" s="1"/>
  <c r="SNN83" i="30" s="1"/>
  <c r="SNP83" i="30" s="1"/>
  <c r="SNR83" i="30" s="1"/>
  <c r="SNT83" i="30" s="1"/>
  <c r="SNV83" i="30" s="1"/>
  <c r="SNX83" i="30" s="1"/>
  <c r="SNZ83" i="30" s="1"/>
  <c r="SOB83" i="30" s="1"/>
  <c r="SOD83" i="30" s="1"/>
  <c r="SOF83" i="30" s="1"/>
  <c r="SOH83" i="30" s="1"/>
  <c r="SOJ83" i="30" s="1"/>
  <c r="SOL83" i="30" s="1"/>
  <c r="SON83" i="30" s="1"/>
  <c r="SOP83" i="30" s="1"/>
  <c r="SOR83" i="30" s="1"/>
  <c r="SOT83" i="30" s="1"/>
  <c r="SOV83" i="30" s="1"/>
  <c r="SOX83" i="30" s="1"/>
  <c r="SOZ83" i="30" s="1"/>
  <c r="SPB83" i="30" s="1"/>
  <c r="SPD83" i="30" s="1"/>
  <c r="SPF83" i="30" s="1"/>
  <c r="SPH83" i="30" s="1"/>
  <c r="SPJ83" i="30" s="1"/>
  <c r="SPL83" i="30" s="1"/>
  <c r="SPN83" i="30" s="1"/>
  <c r="SPP83" i="30" s="1"/>
  <c r="SPR83" i="30" s="1"/>
  <c r="SPT83" i="30" s="1"/>
  <c r="SPV83" i="30" s="1"/>
  <c r="SPX83" i="30" s="1"/>
  <c r="SPZ83" i="30" s="1"/>
  <c r="SQB83" i="30" s="1"/>
  <c r="SQD83" i="30" s="1"/>
  <c r="SQF83" i="30" s="1"/>
  <c r="SQH83" i="30" s="1"/>
  <c r="SQJ83" i="30" s="1"/>
  <c r="SQL83" i="30" s="1"/>
  <c r="SQN83" i="30" s="1"/>
  <c r="SQP83" i="30" s="1"/>
  <c r="SQR83" i="30" s="1"/>
  <c r="SQT83" i="30" s="1"/>
  <c r="SQV83" i="30" s="1"/>
  <c r="SQX83" i="30" s="1"/>
  <c r="SQZ83" i="30" s="1"/>
  <c r="SRB83" i="30" s="1"/>
  <c r="SRD83" i="30" s="1"/>
  <c r="SRF83" i="30" s="1"/>
  <c r="SRH83" i="30" s="1"/>
  <c r="SRJ83" i="30" s="1"/>
  <c r="SRL83" i="30" s="1"/>
  <c r="SRN83" i="30" s="1"/>
  <c r="SRP83" i="30" s="1"/>
  <c r="SRR83" i="30" s="1"/>
  <c r="SRT83" i="30" s="1"/>
  <c r="SRV83" i="30" s="1"/>
  <c r="SRX83" i="30" s="1"/>
  <c r="SRZ83" i="30" s="1"/>
  <c r="SSB83" i="30" s="1"/>
  <c r="SSD83" i="30" s="1"/>
  <c r="SSF83" i="30" s="1"/>
  <c r="SSH83" i="30" s="1"/>
  <c r="SSJ83" i="30" s="1"/>
  <c r="SSL83" i="30" s="1"/>
  <c r="SSN83" i="30" s="1"/>
  <c r="SSP83" i="30" s="1"/>
  <c r="SSR83" i="30" s="1"/>
  <c r="SST83" i="30" s="1"/>
  <c r="SSV83" i="30" s="1"/>
  <c r="SSX83" i="30" s="1"/>
  <c r="SSZ83" i="30" s="1"/>
  <c r="STB83" i="30" s="1"/>
  <c r="STD83" i="30" s="1"/>
  <c r="STF83" i="30" s="1"/>
  <c r="STH83" i="30" s="1"/>
  <c r="STJ83" i="30" s="1"/>
  <c r="STL83" i="30" s="1"/>
  <c r="STN83" i="30" s="1"/>
  <c r="STP83" i="30" s="1"/>
  <c r="STR83" i="30" s="1"/>
  <c r="STT83" i="30" s="1"/>
  <c r="STV83" i="30" s="1"/>
  <c r="STX83" i="30" s="1"/>
  <c r="STZ83" i="30" s="1"/>
  <c r="SUB83" i="30" s="1"/>
  <c r="SUD83" i="30" s="1"/>
  <c r="SUF83" i="30" s="1"/>
  <c r="SUH83" i="30" s="1"/>
  <c r="SUJ83" i="30" s="1"/>
  <c r="SUL83" i="30" s="1"/>
  <c r="SUN83" i="30" s="1"/>
  <c r="SUP83" i="30" s="1"/>
  <c r="SUR83" i="30" s="1"/>
  <c r="SUT83" i="30" s="1"/>
  <c r="SUV83" i="30" s="1"/>
  <c r="SUX83" i="30" s="1"/>
  <c r="SUZ83" i="30" s="1"/>
  <c r="SVB83" i="30" s="1"/>
  <c r="SVD83" i="30" s="1"/>
  <c r="SVF83" i="30" s="1"/>
  <c r="SVH83" i="30" s="1"/>
  <c r="SVJ83" i="30" s="1"/>
  <c r="SVL83" i="30" s="1"/>
  <c r="SVN83" i="30" s="1"/>
  <c r="SVP83" i="30" s="1"/>
  <c r="SVR83" i="30" s="1"/>
  <c r="SVT83" i="30" s="1"/>
  <c r="SVV83" i="30" s="1"/>
  <c r="SVX83" i="30" s="1"/>
  <c r="SVZ83" i="30" s="1"/>
  <c r="SWB83" i="30" s="1"/>
  <c r="SWD83" i="30" s="1"/>
  <c r="SWF83" i="30" s="1"/>
  <c r="SWH83" i="30" s="1"/>
  <c r="SWJ83" i="30" s="1"/>
  <c r="SWL83" i="30" s="1"/>
  <c r="SWN83" i="30" s="1"/>
  <c r="SWP83" i="30" s="1"/>
  <c r="SWR83" i="30" s="1"/>
  <c r="SWT83" i="30" s="1"/>
  <c r="SWV83" i="30" s="1"/>
  <c r="SWX83" i="30" s="1"/>
  <c r="SWZ83" i="30" s="1"/>
  <c r="SXB83" i="30" s="1"/>
  <c r="SXD83" i="30" s="1"/>
  <c r="SXF83" i="30" s="1"/>
  <c r="SXH83" i="30" s="1"/>
  <c r="SXJ83" i="30" s="1"/>
  <c r="SXL83" i="30" s="1"/>
  <c r="SXN83" i="30" s="1"/>
  <c r="SXP83" i="30" s="1"/>
  <c r="SXR83" i="30" s="1"/>
  <c r="SXT83" i="30" s="1"/>
  <c r="SXV83" i="30" s="1"/>
  <c r="SXX83" i="30" s="1"/>
  <c r="SXZ83" i="30" s="1"/>
  <c r="SYB83" i="30" s="1"/>
  <c r="SYD83" i="30" s="1"/>
  <c r="SYF83" i="30" s="1"/>
  <c r="SYH83" i="30" s="1"/>
  <c r="SYJ83" i="30" s="1"/>
  <c r="SYL83" i="30" s="1"/>
  <c r="SYN83" i="30" s="1"/>
  <c r="SYP83" i="30" s="1"/>
  <c r="SYR83" i="30" s="1"/>
  <c r="SYT83" i="30" s="1"/>
  <c r="SYV83" i="30" s="1"/>
  <c r="SYX83" i="30" s="1"/>
  <c r="SYZ83" i="30" s="1"/>
  <c r="SZB83" i="30" s="1"/>
  <c r="SZD83" i="30" s="1"/>
  <c r="SZF83" i="30" s="1"/>
  <c r="SZH83" i="30" s="1"/>
  <c r="SZJ83" i="30" s="1"/>
  <c r="SZL83" i="30" s="1"/>
  <c r="SZN83" i="30" s="1"/>
  <c r="SZP83" i="30" s="1"/>
  <c r="SZR83" i="30" s="1"/>
  <c r="SZT83" i="30" s="1"/>
  <c r="SZV83" i="30" s="1"/>
  <c r="SZX83" i="30" s="1"/>
  <c r="SZZ83" i="30" s="1"/>
  <c r="TAB83" i="30" s="1"/>
  <c r="TAD83" i="30" s="1"/>
  <c r="TAF83" i="30" s="1"/>
  <c r="TAH83" i="30" s="1"/>
  <c r="TAJ83" i="30" s="1"/>
  <c r="TAL83" i="30" s="1"/>
  <c r="TAN83" i="30" s="1"/>
  <c r="TAP83" i="30" s="1"/>
  <c r="TAR83" i="30" s="1"/>
  <c r="TAT83" i="30" s="1"/>
  <c r="TAV83" i="30" s="1"/>
  <c r="TAX83" i="30" s="1"/>
  <c r="TAZ83" i="30" s="1"/>
  <c r="TBB83" i="30" s="1"/>
  <c r="TBD83" i="30" s="1"/>
  <c r="TBF83" i="30" s="1"/>
  <c r="TBH83" i="30" s="1"/>
  <c r="TBJ83" i="30" s="1"/>
  <c r="TBL83" i="30" s="1"/>
  <c r="TBN83" i="30" s="1"/>
  <c r="TBP83" i="30" s="1"/>
  <c r="TBR83" i="30" s="1"/>
  <c r="TBT83" i="30" s="1"/>
  <c r="TBV83" i="30" s="1"/>
  <c r="TBX83" i="30" s="1"/>
  <c r="TBZ83" i="30" s="1"/>
  <c r="TCB83" i="30" s="1"/>
  <c r="TCD83" i="30" s="1"/>
  <c r="TCF83" i="30" s="1"/>
  <c r="TCH83" i="30" s="1"/>
  <c r="TCJ83" i="30" s="1"/>
  <c r="TCL83" i="30" s="1"/>
  <c r="TCN83" i="30" s="1"/>
  <c r="TCP83" i="30" s="1"/>
  <c r="TCR83" i="30" s="1"/>
  <c r="TCT83" i="30" s="1"/>
  <c r="TCV83" i="30" s="1"/>
  <c r="TCX83" i="30" s="1"/>
  <c r="TCZ83" i="30" s="1"/>
  <c r="TDB83" i="30" s="1"/>
  <c r="TDD83" i="30" s="1"/>
  <c r="TDF83" i="30" s="1"/>
  <c r="TDH83" i="30" s="1"/>
  <c r="TDJ83" i="30" s="1"/>
  <c r="TDL83" i="30" s="1"/>
  <c r="TDN83" i="30" s="1"/>
  <c r="TDP83" i="30" s="1"/>
  <c r="TDR83" i="30" s="1"/>
  <c r="TDT83" i="30" s="1"/>
  <c r="TDV83" i="30" s="1"/>
  <c r="TDX83" i="30" s="1"/>
  <c r="TDZ83" i="30" s="1"/>
  <c r="TEB83" i="30" s="1"/>
  <c r="TED83" i="30" s="1"/>
  <c r="TEF83" i="30" s="1"/>
  <c r="TEH83" i="30" s="1"/>
  <c r="TEJ83" i="30" s="1"/>
  <c r="TEL83" i="30" s="1"/>
  <c r="TEN83" i="30" s="1"/>
  <c r="TEP83" i="30" s="1"/>
  <c r="TER83" i="30" s="1"/>
  <c r="TET83" i="30" s="1"/>
  <c r="TEV83" i="30" s="1"/>
  <c r="TEX83" i="30" s="1"/>
  <c r="TEZ83" i="30" s="1"/>
  <c r="TFB83" i="30" s="1"/>
  <c r="TFD83" i="30" s="1"/>
  <c r="TFF83" i="30" s="1"/>
  <c r="TFH83" i="30" s="1"/>
  <c r="TFJ83" i="30" s="1"/>
  <c r="TFL83" i="30" s="1"/>
  <c r="TFN83" i="30" s="1"/>
  <c r="TFP83" i="30" s="1"/>
  <c r="TFR83" i="30" s="1"/>
  <c r="TFT83" i="30" s="1"/>
  <c r="TFV83" i="30" s="1"/>
  <c r="TFX83" i="30" s="1"/>
  <c r="TFZ83" i="30" s="1"/>
  <c r="TGB83" i="30" s="1"/>
  <c r="TGD83" i="30" s="1"/>
  <c r="TGF83" i="30" s="1"/>
  <c r="TGH83" i="30" s="1"/>
  <c r="TGJ83" i="30" s="1"/>
  <c r="TGL83" i="30" s="1"/>
  <c r="TGN83" i="30" s="1"/>
  <c r="TGP83" i="30" s="1"/>
  <c r="TGR83" i="30" s="1"/>
  <c r="TGT83" i="30" s="1"/>
  <c r="TGV83" i="30" s="1"/>
  <c r="TGX83" i="30" s="1"/>
  <c r="TGZ83" i="30" s="1"/>
  <c r="THB83" i="30" s="1"/>
  <c r="THD83" i="30" s="1"/>
  <c r="THF83" i="30" s="1"/>
  <c r="THH83" i="30" s="1"/>
  <c r="THJ83" i="30" s="1"/>
  <c r="THL83" i="30" s="1"/>
  <c r="THN83" i="30" s="1"/>
  <c r="THP83" i="30" s="1"/>
  <c r="THR83" i="30" s="1"/>
  <c r="THT83" i="30" s="1"/>
  <c r="THV83" i="30" s="1"/>
  <c r="THX83" i="30" s="1"/>
  <c r="THZ83" i="30" s="1"/>
  <c r="TIB83" i="30" s="1"/>
  <c r="TID83" i="30" s="1"/>
  <c r="TIF83" i="30" s="1"/>
  <c r="TIH83" i="30" s="1"/>
  <c r="TIJ83" i="30" s="1"/>
  <c r="TIL83" i="30" s="1"/>
  <c r="TIN83" i="30" s="1"/>
  <c r="TIP83" i="30" s="1"/>
  <c r="TIR83" i="30" s="1"/>
  <c r="TIT83" i="30" s="1"/>
  <c r="TIV83" i="30" s="1"/>
  <c r="TIX83" i="30" s="1"/>
  <c r="TIZ83" i="30" s="1"/>
  <c r="TJB83" i="30" s="1"/>
  <c r="TJD83" i="30" s="1"/>
  <c r="TJF83" i="30" s="1"/>
  <c r="TJH83" i="30" s="1"/>
  <c r="TJJ83" i="30" s="1"/>
  <c r="TJL83" i="30" s="1"/>
  <c r="TJN83" i="30" s="1"/>
  <c r="TJP83" i="30" s="1"/>
  <c r="TJR83" i="30" s="1"/>
  <c r="TJT83" i="30" s="1"/>
  <c r="TJV83" i="30" s="1"/>
  <c r="TJX83" i="30" s="1"/>
  <c r="TJZ83" i="30" s="1"/>
  <c r="TKB83" i="30" s="1"/>
  <c r="TKD83" i="30" s="1"/>
  <c r="TKF83" i="30" s="1"/>
  <c r="TKH83" i="30" s="1"/>
  <c r="TKJ83" i="30" s="1"/>
  <c r="TKL83" i="30" s="1"/>
  <c r="TKN83" i="30" s="1"/>
  <c r="TKP83" i="30" s="1"/>
  <c r="TKR83" i="30" s="1"/>
  <c r="TKT83" i="30" s="1"/>
  <c r="TKV83" i="30" s="1"/>
  <c r="TKX83" i="30" s="1"/>
  <c r="TKZ83" i="30" s="1"/>
  <c r="TLB83" i="30" s="1"/>
  <c r="TLD83" i="30" s="1"/>
  <c r="TLF83" i="30" s="1"/>
  <c r="TLH83" i="30" s="1"/>
  <c r="TLJ83" i="30" s="1"/>
  <c r="TLL83" i="30" s="1"/>
  <c r="TLN83" i="30" s="1"/>
  <c r="TLP83" i="30" s="1"/>
  <c r="TLR83" i="30" s="1"/>
  <c r="TLT83" i="30" s="1"/>
  <c r="TLV83" i="30" s="1"/>
  <c r="TLX83" i="30" s="1"/>
  <c r="TLZ83" i="30" s="1"/>
  <c r="TMB83" i="30" s="1"/>
  <c r="TMD83" i="30" s="1"/>
  <c r="TMF83" i="30" s="1"/>
  <c r="TMH83" i="30" s="1"/>
  <c r="TMJ83" i="30" s="1"/>
  <c r="TML83" i="30" s="1"/>
  <c r="TMN83" i="30" s="1"/>
  <c r="TMP83" i="30" s="1"/>
  <c r="TMR83" i="30" s="1"/>
  <c r="TMT83" i="30" s="1"/>
  <c r="TMV83" i="30" s="1"/>
  <c r="TMX83" i="30" s="1"/>
  <c r="TMZ83" i="30" s="1"/>
  <c r="TNB83" i="30" s="1"/>
  <c r="TND83" i="30" s="1"/>
  <c r="TNF83" i="30" s="1"/>
  <c r="TNH83" i="30" s="1"/>
  <c r="TNJ83" i="30" s="1"/>
  <c r="TNL83" i="30" s="1"/>
  <c r="TNN83" i="30" s="1"/>
  <c r="TNP83" i="30" s="1"/>
  <c r="TNR83" i="30" s="1"/>
  <c r="TNT83" i="30" s="1"/>
  <c r="TNV83" i="30" s="1"/>
  <c r="TNX83" i="30" s="1"/>
  <c r="TNZ83" i="30" s="1"/>
  <c r="TOB83" i="30" s="1"/>
  <c r="TOD83" i="30" s="1"/>
  <c r="TOF83" i="30" s="1"/>
  <c r="TOH83" i="30" s="1"/>
  <c r="TOJ83" i="30" s="1"/>
  <c r="TOL83" i="30" s="1"/>
  <c r="TON83" i="30" s="1"/>
  <c r="TOP83" i="30" s="1"/>
  <c r="TOR83" i="30" s="1"/>
  <c r="TOT83" i="30" s="1"/>
  <c r="TOV83" i="30" s="1"/>
  <c r="TOX83" i="30" s="1"/>
  <c r="TOZ83" i="30" s="1"/>
  <c r="TPB83" i="30" s="1"/>
  <c r="TPD83" i="30" s="1"/>
  <c r="TPF83" i="30" s="1"/>
  <c r="TPH83" i="30" s="1"/>
  <c r="TPJ83" i="30" s="1"/>
  <c r="TPL83" i="30" s="1"/>
  <c r="TPN83" i="30" s="1"/>
  <c r="TPP83" i="30" s="1"/>
  <c r="TPR83" i="30" s="1"/>
  <c r="TPT83" i="30" s="1"/>
  <c r="TPV83" i="30" s="1"/>
  <c r="TPX83" i="30" s="1"/>
  <c r="TPZ83" i="30" s="1"/>
  <c r="TQB83" i="30" s="1"/>
  <c r="TQD83" i="30" s="1"/>
  <c r="TQF83" i="30" s="1"/>
  <c r="TQH83" i="30" s="1"/>
  <c r="TQJ83" i="30" s="1"/>
  <c r="TQL83" i="30" s="1"/>
  <c r="TQN83" i="30" s="1"/>
  <c r="TQP83" i="30" s="1"/>
  <c r="TQR83" i="30" s="1"/>
  <c r="TQT83" i="30" s="1"/>
  <c r="TQV83" i="30" s="1"/>
  <c r="TQX83" i="30" s="1"/>
  <c r="TQZ83" i="30" s="1"/>
  <c r="TRB83" i="30" s="1"/>
  <c r="TRD83" i="30" s="1"/>
  <c r="TRF83" i="30" s="1"/>
  <c r="TRH83" i="30" s="1"/>
  <c r="TRJ83" i="30" s="1"/>
  <c r="TRL83" i="30" s="1"/>
  <c r="TRN83" i="30" s="1"/>
  <c r="TRP83" i="30" s="1"/>
  <c r="TRR83" i="30" s="1"/>
  <c r="TRT83" i="30" s="1"/>
  <c r="TRV83" i="30" s="1"/>
  <c r="TRX83" i="30" s="1"/>
  <c r="TRZ83" i="30" s="1"/>
  <c r="TSB83" i="30" s="1"/>
  <c r="TSD83" i="30" s="1"/>
  <c r="TSF83" i="30" s="1"/>
  <c r="TSH83" i="30" s="1"/>
  <c r="TSJ83" i="30" s="1"/>
  <c r="TSL83" i="30" s="1"/>
  <c r="TSN83" i="30" s="1"/>
  <c r="TSP83" i="30" s="1"/>
  <c r="TSR83" i="30" s="1"/>
  <c r="TST83" i="30" s="1"/>
  <c r="TSV83" i="30" s="1"/>
  <c r="TSX83" i="30" s="1"/>
  <c r="TSZ83" i="30" s="1"/>
  <c r="TTB83" i="30" s="1"/>
  <c r="TTD83" i="30" s="1"/>
  <c r="TTF83" i="30" s="1"/>
  <c r="TTH83" i="30" s="1"/>
  <c r="TTJ83" i="30" s="1"/>
  <c r="TTL83" i="30" s="1"/>
  <c r="TTN83" i="30" s="1"/>
  <c r="TTP83" i="30" s="1"/>
  <c r="TTR83" i="30" s="1"/>
  <c r="TTT83" i="30" s="1"/>
  <c r="TTV83" i="30" s="1"/>
  <c r="TTX83" i="30" s="1"/>
  <c r="TTZ83" i="30" s="1"/>
  <c r="TUB83" i="30" s="1"/>
  <c r="TUD83" i="30" s="1"/>
  <c r="TUF83" i="30" s="1"/>
  <c r="TUH83" i="30" s="1"/>
  <c r="TUJ83" i="30" s="1"/>
  <c r="TUL83" i="30" s="1"/>
  <c r="TUN83" i="30" s="1"/>
  <c r="TUP83" i="30" s="1"/>
  <c r="TUR83" i="30" s="1"/>
  <c r="TUT83" i="30" s="1"/>
  <c r="TUV83" i="30" s="1"/>
  <c r="TUX83" i="30" s="1"/>
  <c r="TUZ83" i="30" s="1"/>
  <c r="TVB83" i="30" s="1"/>
  <c r="TVD83" i="30" s="1"/>
  <c r="TVF83" i="30" s="1"/>
  <c r="TVH83" i="30" s="1"/>
  <c r="TVJ83" i="30" s="1"/>
  <c r="TVL83" i="30" s="1"/>
  <c r="TVN83" i="30" s="1"/>
  <c r="TVP83" i="30" s="1"/>
  <c r="TVR83" i="30" s="1"/>
  <c r="TVT83" i="30" s="1"/>
  <c r="TVV83" i="30" s="1"/>
  <c r="TVX83" i="30" s="1"/>
  <c r="TVZ83" i="30" s="1"/>
  <c r="TWB83" i="30" s="1"/>
  <c r="TWD83" i="30" s="1"/>
  <c r="TWF83" i="30" s="1"/>
  <c r="TWH83" i="30" s="1"/>
  <c r="TWJ83" i="30" s="1"/>
  <c r="TWL83" i="30" s="1"/>
  <c r="TWN83" i="30" s="1"/>
  <c r="TWP83" i="30" s="1"/>
  <c r="TWR83" i="30" s="1"/>
  <c r="TWT83" i="30" s="1"/>
  <c r="TWV83" i="30" s="1"/>
  <c r="TWX83" i="30" s="1"/>
  <c r="TWZ83" i="30" s="1"/>
  <c r="TXB83" i="30" s="1"/>
  <c r="TXD83" i="30" s="1"/>
  <c r="TXF83" i="30" s="1"/>
  <c r="TXH83" i="30" s="1"/>
  <c r="TXJ83" i="30" s="1"/>
  <c r="TXL83" i="30" s="1"/>
  <c r="TXN83" i="30" s="1"/>
  <c r="TXP83" i="30" s="1"/>
  <c r="TXR83" i="30" s="1"/>
  <c r="TXT83" i="30" s="1"/>
  <c r="TXV83" i="30" s="1"/>
  <c r="TXX83" i="30" s="1"/>
  <c r="TXZ83" i="30" s="1"/>
  <c r="TYB83" i="30" s="1"/>
  <c r="TYD83" i="30" s="1"/>
  <c r="TYF83" i="30" s="1"/>
  <c r="TYH83" i="30" s="1"/>
  <c r="TYJ83" i="30" s="1"/>
  <c r="TYL83" i="30" s="1"/>
  <c r="TYN83" i="30" s="1"/>
  <c r="TYP83" i="30" s="1"/>
  <c r="TYR83" i="30" s="1"/>
  <c r="TYT83" i="30" s="1"/>
  <c r="TYV83" i="30" s="1"/>
  <c r="TYX83" i="30" s="1"/>
  <c r="TYZ83" i="30" s="1"/>
  <c r="TZB83" i="30" s="1"/>
  <c r="TZD83" i="30" s="1"/>
  <c r="TZF83" i="30" s="1"/>
  <c r="TZH83" i="30" s="1"/>
  <c r="TZJ83" i="30" s="1"/>
  <c r="TZL83" i="30" s="1"/>
  <c r="TZN83" i="30" s="1"/>
  <c r="TZP83" i="30" s="1"/>
  <c r="TZR83" i="30" s="1"/>
  <c r="TZT83" i="30" s="1"/>
  <c r="TZV83" i="30" s="1"/>
  <c r="TZX83" i="30" s="1"/>
  <c r="TZZ83" i="30" s="1"/>
  <c r="UAB83" i="30" s="1"/>
  <c r="UAD83" i="30" s="1"/>
  <c r="UAF83" i="30" s="1"/>
  <c r="UAH83" i="30" s="1"/>
  <c r="UAJ83" i="30" s="1"/>
  <c r="UAL83" i="30" s="1"/>
  <c r="UAN83" i="30" s="1"/>
  <c r="UAP83" i="30" s="1"/>
  <c r="UAR83" i="30" s="1"/>
  <c r="UAT83" i="30" s="1"/>
  <c r="UAV83" i="30" s="1"/>
  <c r="UAX83" i="30" s="1"/>
  <c r="UAZ83" i="30" s="1"/>
  <c r="UBB83" i="30" s="1"/>
  <c r="UBD83" i="30" s="1"/>
  <c r="UBF83" i="30" s="1"/>
  <c r="UBH83" i="30" s="1"/>
  <c r="UBJ83" i="30" s="1"/>
  <c r="UBL83" i="30" s="1"/>
  <c r="UBN83" i="30" s="1"/>
  <c r="UBP83" i="30" s="1"/>
  <c r="UBR83" i="30" s="1"/>
  <c r="UBT83" i="30" s="1"/>
  <c r="UBV83" i="30" s="1"/>
  <c r="UBX83" i="30" s="1"/>
  <c r="UBZ83" i="30" s="1"/>
  <c r="UCB83" i="30" s="1"/>
  <c r="UCD83" i="30" s="1"/>
  <c r="UCF83" i="30" s="1"/>
  <c r="UCH83" i="30" s="1"/>
  <c r="UCJ83" i="30" s="1"/>
  <c r="UCL83" i="30" s="1"/>
  <c r="UCN83" i="30" s="1"/>
  <c r="UCP83" i="30" s="1"/>
  <c r="UCR83" i="30" s="1"/>
  <c r="UCT83" i="30" s="1"/>
  <c r="UCV83" i="30" s="1"/>
  <c r="UCX83" i="30" s="1"/>
  <c r="UCZ83" i="30" s="1"/>
  <c r="UDB83" i="30" s="1"/>
  <c r="UDD83" i="30" s="1"/>
  <c r="UDF83" i="30" s="1"/>
  <c r="UDH83" i="30" s="1"/>
  <c r="UDJ83" i="30" s="1"/>
  <c r="UDL83" i="30" s="1"/>
  <c r="UDN83" i="30" s="1"/>
  <c r="UDP83" i="30" s="1"/>
  <c r="UDR83" i="30" s="1"/>
  <c r="UDT83" i="30" s="1"/>
  <c r="UDV83" i="30" s="1"/>
  <c r="UDX83" i="30" s="1"/>
  <c r="UDZ83" i="30" s="1"/>
  <c r="UEB83" i="30" s="1"/>
  <c r="UED83" i="30" s="1"/>
  <c r="UEF83" i="30" s="1"/>
  <c r="UEH83" i="30" s="1"/>
  <c r="UEJ83" i="30" s="1"/>
  <c r="UEL83" i="30" s="1"/>
  <c r="UEN83" i="30" s="1"/>
  <c r="UEP83" i="30" s="1"/>
  <c r="UER83" i="30" s="1"/>
  <c r="UET83" i="30" s="1"/>
  <c r="UEV83" i="30" s="1"/>
  <c r="UEX83" i="30" s="1"/>
  <c r="UEZ83" i="30" s="1"/>
  <c r="UFB83" i="30" s="1"/>
  <c r="UFD83" i="30" s="1"/>
  <c r="UFF83" i="30" s="1"/>
  <c r="UFH83" i="30" s="1"/>
  <c r="UFJ83" i="30" s="1"/>
  <c r="UFL83" i="30" s="1"/>
  <c r="UFN83" i="30" s="1"/>
  <c r="UFP83" i="30" s="1"/>
  <c r="UFR83" i="30" s="1"/>
  <c r="UFT83" i="30" s="1"/>
  <c r="UFV83" i="30" s="1"/>
  <c r="UFX83" i="30" s="1"/>
  <c r="UFZ83" i="30" s="1"/>
  <c r="UGB83" i="30" s="1"/>
  <c r="UGD83" i="30" s="1"/>
  <c r="UGF83" i="30" s="1"/>
  <c r="UGH83" i="30" s="1"/>
  <c r="UGJ83" i="30" s="1"/>
  <c r="UGL83" i="30" s="1"/>
  <c r="UGN83" i="30" s="1"/>
  <c r="UGP83" i="30" s="1"/>
  <c r="UGR83" i="30" s="1"/>
  <c r="UGT83" i="30" s="1"/>
  <c r="UGV83" i="30" s="1"/>
  <c r="UGX83" i="30" s="1"/>
  <c r="UGZ83" i="30" s="1"/>
  <c r="UHB83" i="30" s="1"/>
  <c r="UHD83" i="30" s="1"/>
  <c r="UHF83" i="30" s="1"/>
  <c r="UHH83" i="30" s="1"/>
  <c r="UHJ83" i="30" s="1"/>
  <c r="UHL83" i="30" s="1"/>
  <c r="UHN83" i="30" s="1"/>
  <c r="UHP83" i="30" s="1"/>
  <c r="UHR83" i="30" s="1"/>
  <c r="UHT83" i="30" s="1"/>
  <c r="UHV83" i="30" s="1"/>
  <c r="UHX83" i="30" s="1"/>
  <c r="UHZ83" i="30" s="1"/>
  <c r="UIB83" i="30" s="1"/>
  <c r="UID83" i="30" s="1"/>
  <c r="UIF83" i="30" s="1"/>
  <c r="UIH83" i="30" s="1"/>
  <c r="UIJ83" i="30" s="1"/>
  <c r="UIL83" i="30" s="1"/>
  <c r="UIN83" i="30" s="1"/>
  <c r="UIP83" i="30" s="1"/>
  <c r="UIR83" i="30" s="1"/>
  <c r="UIT83" i="30" s="1"/>
  <c r="UIV83" i="30" s="1"/>
  <c r="UIX83" i="30" s="1"/>
  <c r="UIZ83" i="30" s="1"/>
  <c r="UJB83" i="30" s="1"/>
  <c r="UJD83" i="30" s="1"/>
  <c r="UJF83" i="30" s="1"/>
  <c r="UJH83" i="30" s="1"/>
  <c r="UJJ83" i="30" s="1"/>
  <c r="UJL83" i="30" s="1"/>
  <c r="UJN83" i="30" s="1"/>
  <c r="UJP83" i="30" s="1"/>
  <c r="UJR83" i="30" s="1"/>
  <c r="UJT83" i="30" s="1"/>
  <c r="UJV83" i="30" s="1"/>
  <c r="UJX83" i="30" s="1"/>
  <c r="UJZ83" i="30" s="1"/>
  <c r="UKB83" i="30" s="1"/>
  <c r="UKD83" i="30" s="1"/>
  <c r="UKF83" i="30" s="1"/>
  <c r="UKH83" i="30" s="1"/>
  <c r="UKJ83" i="30" s="1"/>
  <c r="UKL83" i="30" s="1"/>
  <c r="UKN83" i="30" s="1"/>
  <c r="UKP83" i="30" s="1"/>
  <c r="UKR83" i="30" s="1"/>
  <c r="UKT83" i="30" s="1"/>
  <c r="UKV83" i="30" s="1"/>
  <c r="UKX83" i="30" s="1"/>
  <c r="UKZ83" i="30" s="1"/>
  <c r="ULB83" i="30" s="1"/>
  <c r="ULD83" i="30" s="1"/>
  <c r="ULF83" i="30" s="1"/>
  <c r="ULH83" i="30" s="1"/>
  <c r="ULJ83" i="30" s="1"/>
  <c r="ULL83" i="30" s="1"/>
  <c r="ULN83" i="30" s="1"/>
  <c r="ULP83" i="30" s="1"/>
  <c r="ULR83" i="30" s="1"/>
  <c r="ULT83" i="30" s="1"/>
  <c r="ULV83" i="30" s="1"/>
  <c r="ULX83" i="30" s="1"/>
  <c r="ULZ83" i="30" s="1"/>
  <c r="UMB83" i="30" s="1"/>
  <c r="UMD83" i="30" s="1"/>
  <c r="UMF83" i="30" s="1"/>
  <c r="UMH83" i="30" s="1"/>
  <c r="UMJ83" i="30" s="1"/>
  <c r="UML83" i="30" s="1"/>
  <c r="UMN83" i="30" s="1"/>
  <c r="UMP83" i="30" s="1"/>
  <c r="UMR83" i="30" s="1"/>
  <c r="UMT83" i="30" s="1"/>
  <c r="UMV83" i="30" s="1"/>
  <c r="UMX83" i="30" s="1"/>
  <c r="UMZ83" i="30" s="1"/>
  <c r="UNB83" i="30" s="1"/>
  <c r="UND83" i="30" s="1"/>
  <c r="UNF83" i="30" s="1"/>
  <c r="UNH83" i="30" s="1"/>
  <c r="UNJ83" i="30" s="1"/>
  <c r="UNL83" i="30" s="1"/>
  <c r="UNN83" i="30" s="1"/>
  <c r="UNP83" i="30" s="1"/>
  <c r="UNR83" i="30" s="1"/>
  <c r="UNT83" i="30" s="1"/>
  <c r="UNV83" i="30" s="1"/>
  <c r="UNX83" i="30" s="1"/>
  <c r="UNZ83" i="30" s="1"/>
  <c r="UOB83" i="30" s="1"/>
  <c r="UOD83" i="30" s="1"/>
  <c r="UOF83" i="30" s="1"/>
  <c r="UOH83" i="30" s="1"/>
  <c r="UOJ83" i="30" s="1"/>
  <c r="UOL83" i="30" s="1"/>
  <c r="UON83" i="30" s="1"/>
  <c r="UOP83" i="30" s="1"/>
  <c r="UOR83" i="30" s="1"/>
  <c r="UOT83" i="30" s="1"/>
  <c r="UOV83" i="30" s="1"/>
  <c r="UOX83" i="30" s="1"/>
  <c r="UOZ83" i="30" s="1"/>
  <c r="UPB83" i="30" s="1"/>
  <c r="UPD83" i="30" s="1"/>
  <c r="UPF83" i="30" s="1"/>
  <c r="UPH83" i="30" s="1"/>
  <c r="UPJ83" i="30" s="1"/>
  <c r="UPL83" i="30" s="1"/>
  <c r="UPN83" i="30" s="1"/>
  <c r="UPP83" i="30" s="1"/>
  <c r="UPR83" i="30" s="1"/>
  <c r="UPT83" i="30" s="1"/>
  <c r="UPV83" i="30" s="1"/>
  <c r="UPX83" i="30" s="1"/>
  <c r="UPZ83" i="30" s="1"/>
  <c r="UQB83" i="30" s="1"/>
  <c r="UQD83" i="30" s="1"/>
  <c r="UQF83" i="30" s="1"/>
  <c r="UQH83" i="30" s="1"/>
  <c r="UQJ83" i="30" s="1"/>
  <c r="UQL83" i="30" s="1"/>
  <c r="UQN83" i="30" s="1"/>
  <c r="UQP83" i="30" s="1"/>
  <c r="UQR83" i="30" s="1"/>
  <c r="UQT83" i="30" s="1"/>
  <c r="UQV83" i="30" s="1"/>
  <c r="UQX83" i="30" s="1"/>
  <c r="UQZ83" i="30" s="1"/>
  <c r="URB83" i="30" s="1"/>
  <c r="URD83" i="30" s="1"/>
  <c r="URF83" i="30" s="1"/>
  <c r="URH83" i="30" s="1"/>
  <c r="URJ83" i="30" s="1"/>
  <c r="URL83" i="30" s="1"/>
  <c r="URN83" i="30" s="1"/>
  <c r="URP83" i="30" s="1"/>
  <c r="URR83" i="30" s="1"/>
  <c r="URT83" i="30" s="1"/>
  <c r="URV83" i="30" s="1"/>
  <c r="URX83" i="30" s="1"/>
  <c r="URZ83" i="30" s="1"/>
  <c r="USB83" i="30" s="1"/>
  <c r="USD83" i="30" s="1"/>
  <c r="USF83" i="30" s="1"/>
  <c r="USH83" i="30" s="1"/>
  <c r="USJ83" i="30" s="1"/>
  <c r="USL83" i="30" s="1"/>
  <c r="USN83" i="30" s="1"/>
  <c r="USP83" i="30" s="1"/>
  <c r="USR83" i="30" s="1"/>
  <c r="UST83" i="30" s="1"/>
  <c r="USV83" i="30" s="1"/>
  <c r="USX83" i="30" s="1"/>
  <c r="USZ83" i="30" s="1"/>
  <c r="UTB83" i="30" s="1"/>
  <c r="UTD83" i="30" s="1"/>
  <c r="UTF83" i="30" s="1"/>
  <c r="UTH83" i="30" s="1"/>
  <c r="UTJ83" i="30" s="1"/>
  <c r="UTL83" i="30" s="1"/>
  <c r="UTN83" i="30" s="1"/>
  <c r="UTP83" i="30" s="1"/>
  <c r="UTR83" i="30" s="1"/>
  <c r="UTT83" i="30" s="1"/>
  <c r="UTV83" i="30" s="1"/>
  <c r="UTX83" i="30" s="1"/>
  <c r="UTZ83" i="30" s="1"/>
  <c r="UUB83" i="30" s="1"/>
  <c r="UUD83" i="30" s="1"/>
  <c r="UUF83" i="30" s="1"/>
  <c r="UUH83" i="30" s="1"/>
  <c r="UUJ83" i="30" s="1"/>
  <c r="UUL83" i="30" s="1"/>
  <c r="UUN83" i="30" s="1"/>
  <c r="UUP83" i="30" s="1"/>
  <c r="UUR83" i="30" s="1"/>
  <c r="UUT83" i="30" s="1"/>
  <c r="UUV83" i="30" s="1"/>
  <c r="UUX83" i="30" s="1"/>
  <c r="UUZ83" i="30" s="1"/>
  <c r="UVB83" i="30" s="1"/>
  <c r="UVD83" i="30" s="1"/>
  <c r="UVF83" i="30" s="1"/>
  <c r="UVH83" i="30" s="1"/>
  <c r="UVJ83" i="30" s="1"/>
  <c r="UVL83" i="30" s="1"/>
  <c r="UVN83" i="30" s="1"/>
  <c r="UVP83" i="30" s="1"/>
  <c r="UVR83" i="30" s="1"/>
  <c r="UVT83" i="30" s="1"/>
  <c r="UVV83" i="30" s="1"/>
  <c r="UVX83" i="30" s="1"/>
  <c r="UVZ83" i="30" s="1"/>
  <c r="UWB83" i="30" s="1"/>
  <c r="UWD83" i="30" s="1"/>
  <c r="UWF83" i="30" s="1"/>
  <c r="UWH83" i="30" s="1"/>
  <c r="UWJ83" i="30" s="1"/>
  <c r="UWL83" i="30" s="1"/>
  <c r="UWN83" i="30" s="1"/>
  <c r="UWP83" i="30" s="1"/>
  <c r="UWR83" i="30" s="1"/>
  <c r="UWT83" i="30" s="1"/>
  <c r="UWV83" i="30" s="1"/>
  <c r="UWX83" i="30" s="1"/>
  <c r="UWZ83" i="30" s="1"/>
  <c r="UXB83" i="30" s="1"/>
  <c r="UXD83" i="30" s="1"/>
  <c r="UXF83" i="30" s="1"/>
  <c r="UXH83" i="30" s="1"/>
  <c r="UXJ83" i="30" s="1"/>
  <c r="UXL83" i="30" s="1"/>
  <c r="UXN83" i="30" s="1"/>
  <c r="UXP83" i="30" s="1"/>
  <c r="UXR83" i="30" s="1"/>
  <c r="UXT83" i="30" s="1"/>
  <c r="UXV83" i="30" s="1"/>
  <c r="UXX83" i="30" s="1"/>
  <c r="UXZ83" i="30" s="1"/>
  <c r="UYB83" i="30" s="1"/>
  <c r="UYD83" i="30" s="1"/>
  <c r="UYF83" i="30" s="1"/>
  <c r="UYH83" i="30" s="1"/>
  <c r="UYJ83" i="30" s="1"/>
  <c r="UYL83" i="30" s="1"/>
  <c r="UYN83" i="30" s="1"/>
  <c r="UYP83" i="30" s="1"/>
  <c r="UYR83" i="30" s="1"/>
  <c r="UYT83" i="30" s="1"/>
  <c r="UYV83" i="30" s="1"/>
  <c r="UYX83" i="30" s="1"/>
  <c r="UYZ83" i="30" s="1"/>
  <c r="UZB83" i="30" s="1"/>
  <c r="UZD83" i="30" s="1"/>
  <c r="UZF83" i="30" s="1"/>
  <c r="UZH83" i="30" s="1"/>
  <c r="UZJ83" i="30" s="1"/>
  <c r="UZL83" i="30" s="1"/>
  <c r="UZN83" i="30" s="1"/>
  <c r="UZP83" i="30" s="1"/>
  <c r="UZR83" i="30" s="1"/>
  <c r="UZT83" i="30" s="1"/>
  <c r="UZV83" i="30" s="1"/>
  <c r="UZX83" i="30" s="1"/>
  <c r="UZZ83" i="30" s="1"/>
  <c r="VAB83" i="30" s="1"/>
  <c r="VAD83" i="30" s="1"/>
  <c r="VAF83" i="30" s="1"/>
  <c r="VAH83" i="30" s="1"/>
  <c r="VAJ83" i="30" s="1"/>
  <c r="VAL83" i="30" s="1"/>
  <c r="VAN83" i="30" s="1"/>
  <c r="VAP83" i="30" s="1"/>
  <c r="VAR83" i="30" s="1"/>
  <c r="VAT83" i="30" s="1"/>
  <c r="VAV83" i="30" s="1"/>
  <c r="VAX83" i="30" s="1"/>
  <c r="VAZ83" i="30" s="1"/>
  <c r="VBB83" i="30" s="1"/>
  <c r="VBD83" i="30" s="1"/>
  <c r="VBF83" i="30" s="1"/>
  <c r="VBH83" i="30" s="1"/>
  <c r="VBJ83" i="30" s="1"/>
  <c r="VBL83" i="30" s="1"/>
  <c r="VBN83" i="30" s="1"/>
  <c r="VBP83" i="30" s="1"/>
  <c r="VBR83" i="30" s="1"/>
  <c r="VBT83" i="30" s="1"/>
  <c r="VBV83" i="30" s="1"/>
  <c r="VBX83" i="30" s="1"/>
  <c r="VBZ83" i="30" s="1"/>
  <c r="VCB83" i="30" s="1"/>
  <c r="VCD83" i="30" s="1"/>
  <c r="VCF83" i="30" s="1"/>
  <c r="VCH83" i="30" s="1"/>
  <c r="VCJ83" i="30" s="1"/>
  <c r="VCL83" i="30" s="1"/>
  <c r="VCN83" i="30" s="1"/>
  <c r="VCP83" i="30" s="1"/>
  <c r="VCR83" i="30" s="1"/>
  <c r="VCT83" i="30" s="1"/>
  <c r="VCV83" i="30" s="1"/>
  <c r="VCX83" i="30" s="1"/>
  <c r="VCZ83" i="30" s="1"/>
  <c r="VDB83" i="30" s="1"/>
  <c r="VDD83" i="30" s="1"/>
  <c r="VDF83" i="30" s="1"/>
  <c r="VDH83" i="30" s="1"/>
  <c r="VDJ83" i="30" s="1"/>
  <c r="VDL83" i="30" s="1"/>
  <c r="VDN83" i="30" s="1"/>
  <c r="VDP83" i="30" s="1"/>
  <c r="VDR83" i="30" s="1"/>
  <c r="VDT83" i="30" s="1"/>
  <c r="VDV83" i="30" s="1"/>
  <c r="VDX83" i="30" s="1"/>
  <c r="VDZ83" i="30" s="1"/>
  <c r="VEB83" i="30" s="1"/>
  <c r="VED83" i="30" s="1"/>
  <c r="VEF83" i="30" s="1"/>
  <c r="VEH83" i="30" s="1"/>
  <c r="VEJ83" i="30" s="1"/>
  <c r="VEL83" i="30" s="1"/>
  <c r="VEN83" i="30" s="1"/>
  <c r="VEP83" i="30" s="1"/>
  <c r="VER83" i="30" s="1"/>
  <c r="VET83" i="30" s="1"/>
  <c r="VEV83" i="30" s="1"/>
  <c r="VEX83" i="30" s="1"/>
  <c r="VEZ83" i="30" s="1"/>
  <c r="VFB83" i="30" s="1"/>
  <c r="VFD83" i="30" s="1"/>
  <c r="VFF83" i="30" s="1"/>
  <c r="VFH83" i="30" s="1"/>
  <c r="VFJ83" i="30" s="1"/>
  <c r="VFL83" i="30" s="1"/>
  <c r="VFN83" i="30" s="1"/>
  <c r="VFP83" i="30" s="1"/>
  <c r="VFR83" i="30" s="1"/>
  <c r="VFT83" i="30" s="1"/>
  <c r="VFV83" i="30" s="1"/>
  <c r="VFX83" i="30" s="1"/>
  <c r="VFZ83" i="30" s="1"/>
  <c r="VGB83" i="30" s="1"/>
  <c r="VGD83" i="30" s="1"/>
  <c r="VGF83" i="30" s="1"/>
  <c r="VGH83" i="30" s="1"/>
  <c r="VGJ83" i="30" s="1"/>
  <c r="VGL83" i="30" s="1"/>
  <c r="VGN83" i="30" s="1"/>
  <c r="VGP83" i="30" s="1"/>
  <c r="VGR83" i="30" s="1"/>
  <c r="VGT83" i="30" s="1"/>
  <c r="VGV83" i="30" s="1"/>
  <c r="VGX83" i="30" s="1"/>
  <c r="VGZ83" i="30" s="1"/>
  <c r="VHB83" i="30" s="1"/>
  <c r="VHD83" i="30" s="1"/>
  <c r="VHF83" i="30" s="1"/>
  <c r="VHH83" i="30" s="1"/>
  <c r="VHJ83" i="30" s="1"/>
  <c r="VHL83" i="30" s="1"/>
  <c r="VHN83" i="30" s="1"/>
  <c r="VHP83" i="30" s="1"/>
  <c r="VHR83" i="30" s="1"/>
  <c r="VHT83" i="30" s="1"/>
  <c r="VHV83" i="30" s="1"/>
  <c r="VHX83" i="30" s="1"/>
  <c r="VHZ83" i="30" s="1"/>
  <c r="VIB83" i="30" s="1"/>
  <c r="VID83" i="30" s="1"/>
  <c r="VIF83" i="30" s="1"/>
  <c r="VIH83" i="30" s="1"/>
  <c r="VIJ83" i="30" s="1"/>
  <c r="VIL83" i="30" s="1"/>
  <c r="VIN83" i="30" s="1"/>
  <c r="VIP83" i="30" s="1"/>
  <c r="VIR83" i="30" s="1"/>
  <c r="VIT83" i="30" s="1"/>
  <c r="VIV83" i="30" s="1"/>
  <c r="VIX83" i="30" s="1"/>
  <c r="VIZ83" i="30" s="1"/>
  <c r="VJB83" i="30" s="1"/>
  <c r="VJD83" i="30" s="1"/>
  <c r="VJF83" i="30" s="1"/>
  <c r="VJH83" i="30" s="1"/>
  <c r="VJJ83" i="30" s="1"/>
  <c r="VJL83" i="30" s="1"/>
  <c r="VJN83" i="30" s="1"/>
  <c r="VJP83" i="30" s="1"/>
  <c r="VJR83" i="30" s="1"/>
  <c r="VJT83" i="30" s="1"/>
  <c r="VJV83" i="30" s="1"/>
  <c r="VJX83" i="30" s="1"/>
  <c r="VJZ83" i="30" s="1"/>
  <c r="VKB83" i="30" s="1"/>
  <c r="VKD83" i="30" s="1"/>
  <c r="VKF83" i="30" s="1"/>
  <c r="VKH83" i="30" s="1"/>
  <c r="VKJ83" i="30" s="1"/>
  <c r="VKL83" i="30" s="1"/>
  <c r="VKN83" i="30" s="1"/>
  <c r="VKP83" i="30" s="1"/>
  <c r="VKR83" i="30" s="1"/>
  <c r="VKT83" i="30" s="1"/>
  <c r="VKV83" i="30" s="1"/>
  <c r="VKX83" i="30" s="1"/>
  <c r="VKZ83" i="30" s="1"/>
  <c r="VLB83" i="30" s="1"/>
  <c r="VLD83" i="30" s="1"/>
  <c r="VLF83" i="30" s="1"/>
  <c r="VLH83" i="30" s="1"/>
  <c r="VLJ83" i="30" s="1"/>
  <c r="VLL83" i="30" s="1"/>
  <c r="VLN83" i="30" s="1"/>
  <c r="VLP83" i="30" s="1"/>
  <c r="VLR83" i="30" s="1"/>
  <c r="VLT83" i="30" s="1"/>
  <c r="VLV83" i="30" s="1"/>
  <c r="VLX83" i="30" s="1"/>
  <c r="VLZ83" i="30" s="1"/>
  <c r="VMB83" i="30" s="1"/>
  <c r="VMD83" i="30" s="1"/>
  <c r="VMF83" i="30" s="1"/>
  <c r="VMH83" i="30" s="1"/>
  <c r="VMJ83" i="30" s="1"/>
  <c r="VML83" i="30" s="1"/>
  <c r="VMN83" i="30" s="1"/>
  <c r="VMP83" i="30" s="1"/>
  <c r="VMR83" i="30" s="1"/>
  <c r="VMT83" i="30" s="1"/>
  <c r="VMV83" i="30" s="1"/>
  <c r="VMX83" i="30" s="1"/>
  <c r="VMZ83" i="30" s="1"/>
  <c r="VNB83" i="30" s="1"/>
  <c r="VND83" i="30" s="1"/>
  <c r="VNF83" i="30" s="1"/>
  <c r="VNH83" i="30" s="1"/>
  <c r="VNJ83" i="30" s="1"/>
  <c r="VNL83" i="30" s="1"/>
  <c r="VNN83" i="30" s="1"/>
  <c r="VNP83" i="30" s="1"/>
  <c r="VNR83" i="30" s="1"/>
  <c r="VNT83" i="30" s="1"/>
  <c r="VNV83" i="30" s="1"/>
  <c r="VNX83" i="30" s="1"/>
  <c r="VNZ83" i="30" s="1"/>
  <c r="VOB83" i="30" s="1"/>
  <c r="VOD83" i="30" s="1"/>
  <c r="VOF83" i="30" s="1"/>
  <c r="VOH83" i="30" s="1"/>
  <c r="VOJ83" i="30" s="1"/>
  <c r="VOL83" i="30" s="1"/>
  <c r="VON83" i="30" s="1"/>
  <c r="VOP83" i="30" s="1"/>
  <c r="VOR83" i="30" s="1"/>
  <c r="VOT83" i="30" s="1"/>
  <c r="VOV83" i="30" s="1"/>
  <c r="VOX83" i="30" s="1"/>
  <c r="VOZ83" i="30" s="1"/>
  <c r="VPB83" i="30" s="1"/>
  <c r="VPD83" i="30" s="1"/>
  <c r="VPF83" i="30" s="1"/>
  <c r="VPH83" i="30" s="1"/>
  <c r="VPJ83" i="30" s="1"/>
  <c r="VPL83" i="30" s="1"/>
  <c r="VPN83" i="30" s="1"/>
  <c r="VPP83" i="30" s="1"/>
  <c r="VPR83" i="30" s="1"/>
  <c r="VPT83" i="30" s="1"/>
  <c r="VPV83" i="30" s="1"/>
  <c r="VPX83" i="30" s="1"/>
  <c r="VPZ83" i="30" s="1"/>
  <c r="VQB83" i="30" s="1"/>
  <c r="VQD83" i="30" s="1"/>
  <c r="VQF83" i="30" s="1"/>
  <c r="VQH83" i="30" s="1"/>
  <c r="VQJ83" i="30" s="1"/>
  <c r="VQL83" i="30" s="1"/>
  <c r="VQN83" i="30" s="1"/>
  <c r="VQP83" i="30" s="1"/>
  <c r="VQR83" i="30" s="1"/>
  <c r="VQT83" i="30" s="1"/>
  <c r="VQV83" i="30" s="1"/>
  <c r="VQX83" i="30" s="1"/>
  <c r="VQZ83" i="30" s="1"/>
  <c r="VRB83" i="30" s="1"/>
  <c r="VRD83" i="30" s="1"/>
  <c r="VRF83" i="30" s="1"/>
  <c r="VRH83" i="30" s="1"/>
  <c r="VRJ83" i="30" s="1"/>
  <c r="VRL83" i="30" s="1"/>
  <c r="VRN83" i="30" s="1"/>
  <c r="VRP83" i="30" s="1"/>
  <c r="VRR83" i="30" s="1"/>
  <c r="VRT83" i="30" s="1"/>
  <c r="VRV83" i="30" s="1"/>
  <c r="VRX83" i="30" s="1"/>
  <c r="VRZ83" i="30" s="1"/>
  <c r="VSB83" i="30" s="1"/>
  <c r="VSD83" i="30" s="1"/>
  <c r="VSF83" i="30" s="1"/>
  <c r="VSH83" i="30" s="1"/>
  <c r="VSJ83" i="30" s="1"/>
  <c r="VSL83" i="30" s="1"/>
  <c r="VSN83" i="30" s="1"/>
  <c r="VSP83" i="30" s="1"/>
  <c r="VSR83" i="30" s="1"/>
  <c r="VST83" i="30" s="1"/>
  <c r="VSV83" i="30" s="1"/>
  <c r="VSX83" i="30" s="1"/>
  <c r="VSZ83" i="30" s="1"/>
  <c r="VTB83" i="30" s="1"/>
  <c r="VTD83" i="30" s="1"/>
  <c r="VTF83" i="30" s="1"/>
  <c r="VTH83" i="30" s="1"/>
  <c r="VTJ83" i="30" s="1"/>
  <c r="VTL83" i="30" s="1"/>
  <c r="VTN83" i="30" s="1"/>
  <c r="VTP83" i="30" s="1"/>
  <c r="VTR83" i="30" s="1"/>
  <c r="VTT83" i="30" s="1"/>
  <c r="VTV83" i="30" s="1"/>
  <c r="VTX83" i="30" s="1"/>
  <c r="VTZ83" i="30" s="1"/>
  <c r="VUB83" i="30" s="1"/>
  <c r="VUD83" i="30" s="1"/>
  <c r="VUF83" i="30" s="1"/>
  <c r="VUH83" i="30" s="1"/>
  <c r="VUJ83" i="30" s="1"/>
  <c r="VUL83" i="30" s="1"/>
  <c r="VUN83" i="30" s="1"/>
  <c r="VUP83" i="30" s="1"/>
  <c r="VUR83" i="30" s="1"/>
  <c r="VUT83" i="30" s="1"/>
  <c r="VUV83" i="30" s="1"/>
  <c r="VUX83" i="30" s="1"/>
  <c r="VUZ83" i="30" s="1"/>
  <c r="VVB83" i="30" s="1"/>
  <c r="VVD83" i="30" s="1"/>
  <c r="VVF83" i="30" s="1"/>
  <c r="VVH83" i="30" s="1"/>
  <c r="VVJ83" i="30" s="1"/>
  <c r="VVL83" i="30" s="1"/>
  <c r="VVN83" i="30" s="1"/>
  <c r="VVP83" i="30" s="1"/>
  <c r="VVR83" i="30" s="1"/>
  <c r="VVT83" i="30" s="1"/>
  <c r="VVV83" i="30" s="1"/>
  <c r="VVX83" i="30" s="1"/>
  <c r="VVZ83" i="30" s="1"/>
  <c r="VWB83" i="30" s="1"/>
  <c r="VWD83" i="30" s="1"/>
  <c r="VWF83" i="30" s="1"/>
  <c r="VWH83" i="30" s="1"/>
  <c r="VWJ83" i="30" s="1"/>
  <c r="VWL83" i="30" s="1"/>
  <c r="VWN83" i="30" s="1"/>
  <c r="VWP83" i="30" s="1"/>
  <c r="VWR83" i="30" s="1"/>
  <c r="VWT83" i="30" s="1"/>
  <c r="VWV83" i="30" s="1"/>
  <c r="VWX83" i="30" s="1"/>
  <c r="VWZ83" i="30" s="1"/>
  <c r="VXB83" i="30" s="1"/>
  <c r="VXD83" i="30" s="1"/>
  <c r="VXF83" i="30" s="1"/>
  <c r="VXH83" i="30" s="1"/>
  <c r="VXJ83" i="30" s="1"/>
  <c r="VXL83" i="30" s="1"/>
  <c r="VXN83" i="30" s="1"/>
  <c r="VXP83" i="30" s="1"/>
  <c r="VXR83" i="30" s="1"/>
  <c r="VXT83" i="30" s="1"/>
  <c r="VXV83" i="30" s="1"/>
  <c r="VXX83" i="30" s="1"/>
  <c r="VXZ83" i="30" s="1"/>
  <c r="VYB83" i="30" s="1"/>
  <c r="VYD83" i="30" s="1"/>
  <c r="VYF83" i="30" s="1"/>
  <c r="VYH83" i="30" s="1"/>
  <c r="VYJ83" i="30" s="1"/>
  <c r="VYL83" i="30" s="1"/>
  <c r="VYN83" i="30" s="1"/>
  <c r="VYP83" i="30" s="1"/>
  <c r="VYR83" i="30" s="1"/>
  <c r="VYT83" i="30" s="1"/>
  <c r="VYV83" i="30" s="1"/>
  <c r="VYX83" i="30" s="1"/>
  <c r="VYZ83" i="30" s="1"/>
  <c r="VZB83" i="30" s="1"/>
  <c r="VZD83" i="30" s="1"/>
  <c r="VZF83" i="30" s="1"/>
  <c r="VZH83" i="30" s="1"/>
  <c r="VZJ83" i="30" s="1"/>
  <c r="VZL83" i="30" s="1"/>
  <c r="VZN83" i="30" s="1"/>
  <c r="VZP83" i="30" s="1"/>
  <c r="VZR83" i="30" s="1"/>
  <c r="VZT83" i="30" s="1"/>
  <c r="VZV83" i="30" s="1"/>
  <c r="VZX83" i="30" s="1"/>
  <c r="VZZ83" i="30" s="1"/>
  <c r="WAB83" i="30" s="1"/>
  <c r="WAD83" i="30" s="1"/>
  <c r="WAF83" i="30" s="1"/>
  <c r="WAH83" i="30" s="1"/>
  <c r="WAJ83" i="30" s="1"/>
  <c r="WAL83" i="30" s="1"/>
  <c r="WAN83" i="30" s="1"/>
  <c r="WAP83" i="30" s="1"/>
  <c r="WAR83" i="30" s="1"/>
  <c r="WAT83" i="30" s="1"/>
  <c r="WAV83" i="30" s="1"/>
  <c r="WAX83" i="30" s="1"/>
  <c r="WAZ83" i="30" s="1"/>
  <c r="WBB83" i="30" s="1"/>
  <c r="WBD83" i="30" s="1"/>
  <c r="WBF83" i="30" s="1"/>
  <c r="WBH83" i="30" s="1"/>
  <c r="WBJ83" i="30" s="1"/>
  <c r="WBL83" i="30" s="1"/>
  <c r="WBN83" i="30" s="1"/>
  <c r="WBP83" i="30" s="1"/>
  <c r="WBR83" i="30" s="1"/>
  <c r="WBT83" i="30" s="1"/>
  <c r="WBV83" i="30" s="1"/>
  <c r="WBX83" i="30" s="1"/>
  <c r="WBZ83" i="30" s="1"/>
  <c r="WCB83" i="30" s="1"/>
  <c r="WCD83" i="30" s="1"/>
  <c r="WCF83" i="30" s="1"/>
  <c r="WCH83" i="30" s="1"/>
  <c r="WCJ83" i="30" s="1"/>
  <c r="WCL83" i="30" s="1"/>
  <c r="WCN83" i="30" s="1"/>
  <c r="WCP83" i="30" s="1"/>
  <c r="WCR83" i="30" s="1"/>
  <c r="WCT83" i="30" s="1"/>
  <c r="WCV83" i="30" s="1"/>
  <c r="WCX83" i="30" s="1"/>
  <c r="WCZ83" i="30" s="1"/>
  <c r="WDB83" i="30" s="1"/>
  <c r="WDD83" i="30" s="1"/>
  <c r="WDF83" i="30" s="1"/>
  <c r="WDH83" i="30" s="1"/>
  <c r="WDJ83" i="30" s="1"/>
  <c r="WDL83" i="30" s="1"/>
  <c r="WDN83" i="30" s="1"/>
  <c r="WDP83" i="30" s="1"/>
  <c r="WDR83" i="30" s="1"/>
  <c r="WDT83" i="30" s="1"/>
  <c r="WDV83" i="30" s="1"/>
  <c r="WDX83" i="30" s="1"/>
  <c r="WDZ83" i="30" s="1"/>
  <c r="WEB83" i="30" s="1"/>
  <c r="WED83" i="30" s="1"/>
  <c r="WEF83" i="30" s="1"/>
  <c r="WEH83" i="30" s="1"/>
  <c r="WEJ83" i="30" s="1"/>
  <c r="WEL83" i="30" s="1"/>
  <c r="WEN83" i="30" s="1"/>
  <c r="WEP83" i="30" s="1"/>
  <c r="WER83" i="30" s="1"/>
  <c r="WET83" i="30" s="1"/>
  <c r="WEV83" i="30" s="1"/>
  <c r="WEX83" i="30" s="1"/>
  <c r="WEZ83" i="30" s="1"/>
  <c r="WFB83" i="30" s="1"/>
  <c r="WFD83" i="30" s="1"/>
  <c r="WFF83" i="30" s="1"/>
  <c r="WFH83" i="30" s="1"/>
  <c r="WFJ83" i="30" s="1"/>
  <c r="WFL83" i="30" s="1"/>
  <c r="WFN83" i="30" s="1"/>
  <c r="WFP83" i="30" s="1"/>
  <c r="WFR83" i="30" s="1"/>
  <c r="WFT83" i="30" s="1"/>
  <c r="WFV83" i="30" s="1"/>
  <c r="WFX83" i="30" s="1"/>
  <c r="WFZ83" i="30" s="1"/>
  <c r="WGB83" i="30" s="1"/>
  <c r="WGD83" i="30" s="1"/>
  <c r="WGF83" i="30" s="1"/>
  <c r="WGH83" i="30" s="1"/>
  <c r="WGJ83" i="30" s="1"/>
  <c r="WGL83" i="30" s="1"/>
  <c r="WGN83" i="30" s="1"/>
  <c r="WGP83" i="30" s="1"/>
  <c r="WGR83" i="30" s="1"/>
  <c r="WGT83" i="30" s="1"/>
  <c r="WGV83" i="30" s="1"/>
  <c r="WGX83" i="30" s="1"/>
  <c r="WGZ83" i="30" s="1"/>
  <c r="WHB83" i="30" s="1"/>
  <c r="WHD83" i="30" s="1"/>
  <c r="WHF83" i="30" s="1"/>
  <c r="WHH83" i="30" s="1"/>
  <c r="WHJ83" i="30" s="1"/>
  <c r="WHL83" i="30" s="1"/>
  <c r="WHN83" i="30" s="1"/>
  <c r="WHP83" i="30" s="1"/>
  <c r="WHR83" i="30" s="1"/>
  <c r="WHT83" i="30" s="1"/>
  <c r="WHV83" i="30" s="1"/>
  <c r="WHX83" i="30" s="1"/>
  <c r="WHZ83" i="30" s="1"/>
  <c r="WIB83" i="30" s="1"/>
  <c r="WID83" i="30" s="1"/>
  <c r="WIF83" i="30" s="1"/>
  <c r="WIH83" i="30" s="1"/>
  <c r="WIJ83" i="30" s="1"/>
  <c r="WIL83" i="30" s="1"/>
  <c r="WIN83" i="30" s="1"/>
  <c r="WIP83" i="30" s="1"/>
  <c r="WIR83" i="30" s="1"/>
  <c r="WIT83" i="30" s="1"/>
  <c r="WIV83" i="30" s="1"/>
  <c r="WIX83" i="30" s="1"/>
  <c r="WIZ83" i="30" s="1"/>
  <c r="WJB83" i="30" s="1"/>
  <c r="WJD83" i="30" s="1"/>
  <c r="WJF83" i="30" s="1"/>
  <c r="WJH83" i="30" s="1"/>
  <c r="WJJ83" i="30" s="1"/>
  <c r="WJL83" i="30" s="1"/>
  <c r="WJN83" i="30" s="1"/>
  <c r="WJP83" i="30" s="1"/>
  <c r="WJR83" i="30" s="1"/>
  <c r="WJT83" i="30" s="1"/>
  <c r="WJV83" i="30" s="1"/>
  <c r="WJX83" i="30" s="1"/>
  <c r="WJZ83" i="30" s="1"/>
  <c r="WKB83" i="30" s="1"/>
  <c r="WKD83" i="30" s="1"/>
  <c r="WKF83" i="30" s="1"/>
  <c r="WKH83" i="30" s="1"/>
  <c r="WKJ83" i="30" s="1"/>
  <c r="WKL83" i="30" s="1"/>
  <c r="WKN83" i="30" s="1"/>
  <c r="WKP83" i="30" s="1"/>
  <c r="WKR83" i="30" s="1"/>
  <c r="WKT83" i="30" s="1"/>
  <c r="WKV83" i="30" s="1"/>
  <c r="WKX83" i="30" s="1"/>
  <c r="WKZ83" i="30" s="1"/>
  <c r="WLB83" i="30" s="1"/>
  <c r="WLD83" i="30" s="1"/>
  <c r="WLF83" i="30" s="1"/>
  <c r="WLH83" i="30" s="1"/>
  <c r="WLJ83" i="30" s="1"/>
  <c r="WLL83" i="30" s="1"/>
  <c r="WLN83" i="30" s="1"/>
  <c r="WLP83" i="30" s="1"/>
  <c r="WLR83" i="30" s="1"/>
  <c r="WLT83" i="30" s="1"/>
  <c r="WLV83" i="30" s="1"/>
  <c r="WLX83" i="30" s="1"/>
  <c r="WLZ83" i="30" s="1"/>
  <c r="WMB83" i="30" s="1"/>
  <c r="WMD83" i="30" s="1"/>
  <c r="WMF83" i="30" s="1"/>
  <c r="WMH83" i="30" s="1"/>
  <c r="WMJ83" i="30" s="1"/>
  <c r="WML83" i="30" s="1"/>
  <c r="WMN83" i="30" s="1"/>
  <c r="WMP83" i="30" s="1"/>
  <c r="WMR83" i="30" s="1"/>
  <c r="WMT83" i="30" s="1"/>
  <c r="WMV83" i="30" s="1"/>
  <c r="WMX83" i="30" s="1"/>
  <c r="WMZ83" i="30" s="1"/>
  <c r="WNB83" i="30" s="1"/>
  <c r="WND83" i="30" s="1"/>
  <c r="WNF83" i="30" s="1"/>
  <c r="WNH83" i="30" s="1"/>
  <c r="WNJ83" i="30" s="1"/>
  <c r="WNL83" i="30" s="1"/>
  <c r="WNN83" i="30" s="1"/>
  <c r="WNP83" i="30" s="1"/>
  <c r="WNR83" i="30" s="1"/>
  <c r="WNT83" i="30" s="1"/>
  <c r="WNV83" i="30" s="1"/>
  <c r="WNX83" i="30" s="1"/>
  <c r="WNZ83" i="30" s="1"/>
  <c r="WOB83" i="30" s="1"/>
  <c r="WOD83" i="30" s="1"/>
  <c r="WOF83" i="30" s="1"/>
  <c r="WOH83" i="30" s="1"/>
  <c r="WOJ83" i="30" s="1"/>
  <c r="WOL83" i="30" s="1"/>
  <c r="WON83" i="30" s="1"/>
  <c r="WOP83" i="30" s="1"/>
  <c r="WOR83" i="30" s="1"/>
  <c r="WOT83" i="30" s="1"/>
  <c r="WOV83" i="30" s="1"/>
  <c r="WOX83" i="30" s="1"/>
  <c r="WOZ83" i="30" s="1"/>
  <c r="WPB83" i="30" s="1"/>
  <c r="WPD83" i="30" s="1"/>
  <c r="WPF83" i="30" s="1"/>
  <c r="WPH83" i="30" s="1"/>
  <c r="WPJ83" i="30" s="1"/>
  <c r="WPL83" i="30" s="1"/>
  <c r="WPN83" i="30" s="1"/>
  <c r="WPP83" i="30" s="1"/>
  <c r="WPR83" i="30" s="1"/>
  <c r="WPT83" i="30" s="1"/>
  <c r="WPV83" i="30" s="1"/>
  <c r="WPX83" i="30" s="1"/>
  <c r="WPZ83" i="30" s="1"/>
  <c r="WQB83" i="30" s="1"/>
  <c r="WQD83" i="30" s="1"/>
  <c r="WQF83" i="30" s="1"/>
  <c r="WQH83" i="30" s="1"/>
  <c r="WQJ83" i="30" s="1"/>
  <c r="WQL83" i="30" s="1"/>
  <c r="WQN83" i="30" s="1"/>
  <c r="WQP83" i="30" s="1"/>
  <c r="WQR83" i="30" s="1"/>
  <c r="WQT83" i="30" s="1"/>
  <c r="WQV83" i="30" s="1"/>
  <c r="WQX83" i="30" s="1"/>
  <c r="WQZ83" i="30" s="1"/>
  <c r="WRB83" i="30" s="1"/>
  <c r="WRD83" i="30" s="1"/>
  <c r="WRF83" i="30" s="1"/>
  <c r="WRH83" i="30" s="1"/>
  <c r="WRJ83" i="30" s="1"/>
  <c r="WRL83" i="30" s="1"/>
  <c r="WRN83" i="30" s="1"/>
  <c r="WRP83" i="30" s="1"/>
  <c r="WRR83" i="30" s="1"/>
  <c r="WRT83" i="30" s="1"/>
  <c r="WRV83" i="30" s="1"/>
  <c r="WRX83" i="30" s="1"/>
  <c r="WRZ83" i="30" s="1"/>
  <c r="WSB83" i="30" s="1"/>
  <c r="WSD83" i="30" s="1"/>
  <c r="WSF83" i="30" s="1"/>
  <c r="WSH83" i="30" s="1"/>
  <c r="WSJ83" i="30" s="1"/>
  <c r="WSL83" i="30" s="1"/>
  <c r="WSN83" i="30" s="1"/>
  <c r="WSP83" i="30" s="1"/>
  <c r="WSR83" i="30" s="1"/>
  <c r="WST83" i="30" s="1"/>
  <c r="WSV83" i="30" s="1"/>
  <c r="WSX83" i="30" s="1"/>
  <c r="WSZ83" i="30" s="1"/>
  <c r="WTB83" i="30" s="1"/>
  <c r="WTD83" i="30" s="1"/>
  <c r="WTF83" i="30" s="1"/>
  <c r="WTH83" i="30" s="1"/>
  <c r="WTJ83" i="30" s="1"/>
  <c r="WTL83" i="30" s="1"/>
  <c r="WTN83" i="30" s="1"/>
  <c r="WTP83" i="30" s="1"/>
  <c r="WTR83" i="30" s="1"/>
  <c r="WTT83" i="30" s="1"/>
  <c r="WTV83" i="30" s="1"/>
  <c r="WTX83" i="30" s="1"/>
  <c r="WTZ83" i="30" s="1"/>
  <c r="WUB83" i="30" s="1"/>
  <c r="WUD83" i="30" s="1"/>
  <c r="WUF83" i="30" s="1"/>
  <c r="WUH83" i="30" s="1"/>
  <c r="WUJ83" i="30" s="1"/>
  <c r="WUL83" i="30" s="1"/>
  <c r="WUN83" i="30" s="1"/>
  <c r="WUP83" i="30" s="1"/>
  <c r="WUR83" i="30" s="1"/>
  <c r="WUT83" i="30" s="1"/>
  <c r="WUV83" i="30" s="1"/>
  <c r="WUX83" i="30" s="1"/>
  <c r="WUZ83" i="30" s="1"/>
  <c r="WVB83" i="30" s="1"/>
  <c r="WVD83" i="30" s="1"/>
  <c r="WVF83" i="30" s="1"/>
  <c r="WVH83" i="30" s="1"/>
  <c r="WVJ83" i="30" s="1"/>
  <c r="WVL83" i="30" s="1"/>
  <c r="WVN83" i="30" s="1"/>
  <c r="WVP83" i="30" s="1"/>
  <c r="WVR83" i="30" s="1"/>
  <c r="WVT83" i="30" s="1"/>
  <c r="WVV83" i="30" s="1"/>
  <c r="WVX83" i="30" s="1"/>
  <c r="WVZ83" i="30" s="1"/>
  <c r="WWB83" i="30" s="1"/>
  <c r="WWD83" i="30" s="1"/>
  <c r="WWF83" i="30" s="1"/>
  <c r="WWH83" i="30" s="1"/>
  <c r="WWJ83" i="30" s="1"/>
  <c r="WWL83" i="30" s="1"/>
  <c r="WWN83" i="30" s="1"/>
  <c r="WWP83" i="30" s="1"/>
  <c r="WWR83" i="30" s="1"/>
  <c r="WWT83" i="30" s="1"/>
  <c r="WWV83" i="30" s="1"/>
  <c r="WWX83" i="30" s="1"/>
  <c r="WWZ83" i="30" s="1"/>
  <c r="WXB83" i="30" s="1"/>
  <c r="WXD83" i="30" s="1"/>
  <c r="WXF83" i="30" s="1"/>
  <c r="WXH83" i="30" s="1"/>
  <c r="WXJ83" i="30" s="1"/>
  <c r="WXL83" i="30" s="1"/>
  <c r="WXN83" i="30" s="1"/>
  <c r="WXP83" i="30" s="1"/>
  <c r="WXR83" i="30" s="1"/>
  <c r="WXT83" i="30" s="1"/>
  <c r="WXV83" i="30" s="1"/>
  <c r="WXX83" i="30" s="1"/>
  <c r="WXZ83" i="30" s="1"/>
  <c r="WYB83" i="30" s="1"/>
  <c r="WYD83" i="30" s="1"/>
  <c r="WYF83" i="30" s="1"/>
  <c r="WYH83" i="30" s="1"/>
  <c r="WYJ83" i="30" s="1"/>
  <c r="WYL83" i="30" s="1"/>
  <c r="WYN83" i="30" s="1"/>
  <c r="WYP83" i="30" s="1"/>
  <c r="WYR83" i="30" s="1"/>
  <c r="WYT83" i="30" s="1"/>
  <c r="WYV83" i="30" s="1"/>
  <c r="WYX83" i="30" s="1"/>
  <c r="WYZ83" i="30" s="1"/>
  <c r="WZB83" i="30" s="1"/>
  <c r="WZD83" i="30" s="1"/>
  <c r="WZF83" i="30" s="1"/>
  <c r="WZH83" i="30" s="1"/>
  <c r="WZJ83" i="30" s="1"/>
  <c r="WZL83" i="30" s="1"/>
  <c r="WZN83" i="30" s="1"/>
  <c r="WZP83" i="30" s="1"/>
  <c r="WZR83" i="30" s="1"/>
  <c r="WZT83" i="30" s="1"/>
  <c r="WZV83" i="30" s="1"/>
  <c r="WZX83" i="30" s="1"/>
  <c r="WZZ83" i="30" s="1"/>
  <c r="XAB83" i="30" s="1"/>
  <c r="XAD83" i="30" s="1"/>
  <c r="XAF83" i="30" s="1"/>
  <c r="XAH83" i="30" s="1"/>
  <c r="XAJ83" i="30" s="1"/>
  <c r="XAL83" i="30" s="1"/>
  <c r="XAN83" i="30" s="1"/>
  <c r="XAP83" i="30" s="1"/>
  <c r="XAR83" i="30" s="1"/>
  <c r="XAT83" i="30" s="1"/>
  <c r="XAV83" i="30" s="1"/>
  <c r="XAX83" i="30" s="1"/>
  <c r="XAZ83" i="30" s="1"/>
  <c r="XBB83" i="30" s="1"/>
  <c r="XBD83" i="30" s="1"/>
  <c r="XBF83" i="30" s="1"/>
  <c r="XBH83" i="30" s="1"/>
  <c r="XBJ83" i="30" s="1"/>
  <c r="XBL83" i="30" s="1"/>
  <c r="XBN83" i="30" s="1"/>
  <c r="XBP83" i="30" s="1"/>
  <c r="XBR83" i="30" s="1"/>
  <c r="XBT83" i="30" s="1"/>
  <c r="XBV83" i="30" s="1"/>
  <c r="XBX83" i="30" s="1"/>
  <c r="XBZ83" i="30" s="1"/>
  <c r="XCB83" i="30" s="1"/>
  <c r="XCD83" i="30" s="1"/>
  <c r="XCF83" i="30" s="1"/>
  <c r="XCH83" i="30" s="1"/>
  <c r="XCJ83" i="30" s="1"/>
  <c r="XCL83" i="30" s="1"/>
  <c r="XCN83" i="30" s="1"/>
  <c r="XCP83" i="30" s="1"/>
  <c r="XCR83" i="30" s="1"/>
  <c r="XCT83" i="30" s="1"/>
  <c r="XCV83" i="30" s="1"/>
  <c r="XCX83" i="30" s="1"/>
  <c r="XCZ83" i="30" s="1"/>
  <c r="XDB83" i="30" s="1"/>
  <c r="XDD83" i="30" s="1"/>
  <c r="XDF83" i="30" s="1"/>
  <c r="XDH83" i="30" s="1"/>
  <c r="XDJ83" i="30" s="1"/>
  <c r="XDL83" i="30" s="1"/>
  <c r="XDN83" i="30" s="1"/>
  <c r="XDP83" i="30" s="1"/>
  <c r="XDR83" i="30" s="1"/>
  <c r="XDT83" i="30" s="1"/>
  <c r="XDV83" i="30" s="1"/>
  <c r="XDX83" i="30" s="1"/>
  <c r="XDZ83" i="30" s="1"/>
  <c r="XEB83" i="30" s="1"/>
  <c r="XED83" i="30" s="1"/>
  <c r="XEF83" i="30" s="1"/>
  <c r="XEH83" i="30" s="1"/>
  <c r="XEJ83" i="30" s="1"/>
  <c r="XEL83" i="30" s="1"/>
  <c r="XEN83" i="30" s="1"/>
  <c r="XEP83" i="30" s="1"/>
  <c r="AK83" i="30"/>
  <c r="AM83" i="30" s="1"/>
  <c r="AO83" i="30" s="1"/>
  <c r="AQ83" i="30" s="1"/>
  <c r="AS83" i="30" s="1"/>
  <c r="AU83" i="30" s="1"/>
  <c r="AW83" i="30" s="1"/>
  <c r="AY83" i="30" s="1"/>
  <c r="BA83" i="30" s="1"/>
  <c r="BC83" i="30" s="1"/>
  <c r="BE83" i="30" s="1"/>
  <c r="BG83" i="30" s="1"/>
  <c r="BI83" i="30" s="1"/>
  <c r="BK83" i="30" s="1"/>
  <c r="BM83" i="30" s="1"/>
  <c r="BO83" i="30" s="1"/>
  <c r="BQ83" i="30" s="1"/>
  <c r="BS83" i="30" s="1"/>
  <c r="BU83" i="30" s="1"/>
  <c r="BW83" i="30" s="1"/>
  <c r="BY83" i="30" s="1"/>
  <c r="CA83" i="30" s="1"/>
  <c r="CC83" i="30" s="1"/>
  <c r="CE83" i="30" s="1"/>
  <c r="CG83" i="30" s="1"/>
  <c r="CI83" i="30" s="1"/>
  <c r="CK83" i="30" s="1"/>
  <c r="CM83" i="30" s="1"/>
  <c r="CO83" i="30" s="1"/>
  <c r="CQ83" i="30" s="1"/>
  <c r="CS83" i="30" s="1"/>
  <c r="CU83" i="30" s="1"/>
  <c r="CW83" i="30" s="1"/>
  <c r="CY83" i="30" s="1"/>
  <c r="DA83" i="30" s="1"/>
  <c r="DC83" i="30" s="1"/>
  <c r="DE83" i="30" s="1"/>
  <c r="DG83" i="30" s="1"/>
  <c r="DI83" i="30" s="1"/>
  <c r="DK83" i="30" s="1"/>
  <c r="DM83" i="30" s="1"/>
  <c r="DO83" i="30" s="1"/>
  <c r="DQ83" i="30" s="1"/>
  <c r="DS83" i="30" s="1"/>
  <c r="DU83" i="30" s="1"/>
  <c r="DW83" i="30" s="1"/>
  <c r="DY83" i="30" s="1"/>
  <c r="EA83" i="30" s="1"/>
  <c r="EC83" i="30" s="1"/>
  <c r="EE83" i="30" s="1"/>
  <c r="EG83" i="30" s="1"/>
  <c r="EI83" i="30" s="1"/>
  <c r="EK83" i="30" s="1"/>
  <c r="EM83" i="30" s="1"/>
  <c r="EO83" i="30" s="1"/>
  <c r="EQ83" i="30" s="1"/>
  <c r="ES83" i="30" s="1"/>
  <c r="EU83" i="30" s="1"/>
  <c r="EW83" i="30" s="1"/>
  <c r="EY83" i="30" s="1"/>
  <c r="FA83" i="30" s="1"/>
  <c r="FC83" i="30" s="1"/>
  <c r="FE83" i="30" s="1"/>
  <c r="FG83" i="30" s="1"/>
  <c r="FI83" i="30" s="1"/>
  <c r="FK83" i="30" s="1"/>
  <c r="FM83" i="30" s="1"/>
  <c r="FO83" i="30" s="1"/>
  <c r="FQ83" i="30" s="1"/>
  <c r="FS83" i="30" s="1"/>
  <c r="FU83" i="30" s="1"/>
  <c r="FW83" i="30" s="1"/>
  <c r="FY83" i="30" s="1"/>
  <c r="GA83" i="30" s="1"/>
  <c r="GC83" i="30" s="1"/>
  <c r="GE83" i="30" s="1"/>
  <c r="GG83" i="30" s="1"/>
  <c r="GI83" i="30" s="1"/>
  <c r="GK83" i="30" s="1"/>
  <c r="GM83" i="30" s="1"/>
  <c r="GO83" i="30" s="1"/>
  <c r="GQ83" i="30" s="1"/>
  <c r="GS83" i="30" s="1"/>
  <c r="GU83" i="30" s="1"/>
  <c r="GW83" i="30" s="1"/>
  <c r="GY83" i="30" s="1"/>
  <c r="HA83" i="30" s="1"/>
  <c r="HC83" i="30" s="1"/>
  <c r="HE83" i="30" s="1"/>
  <c r="HG83" i="30" s="1"/>
  <c r="HI83" i="30" s="1"/>
  <c r="HK83" i="30" s="1"/>
  <c r="HM83" i="30" s="1"/>
  <c r="HO83" i="30" s="1"/>
  <c r="HQ83" i="30" s="1"/>
  <c r="HS83" i="30" s="1"/>
  <c r="HU83" i="30" s="1"/>
  <c r="HW83" i="30" s="1"/>
  <c r="HY83" i="30" s="1"/>
  <c r="IA83" i="30" s="1"/>
  <c r="IC83" i="30" s="1"/>
  <c r="IE83" i="30" s="1"/>
  <c r="IG83" i="30" s="1"/>
  <c r="II83" i="30" s="1"/>
  <c r="IK83" i="30" s="1"/>
  <c r="IM83" i="30" s="1"/>
  <c r="IO83" i="30" s="1"/>
  <c r="IQ83" i="30" s="1"/>
  <c r="IS83" i="30" s="1"/>
  <c r="IU83" i="30" s="1"/>
  <c r="IW83" i="30" s="1"/>
  <c r="IY83" i="30" s="1"/>
  <c r="JA83" i="30" s="1"/>
  <c r="JC83" i="30" s="1"/>
  <c r="JE83" i="30" s="1"/>
  <c r="JG83" i="30" s="1"/>
  <c r="JI83" i="30" s="1"/>
  <c r="JK83" i="30" s="1"/>
  <c r="JM83" i="30" s="1"/>
  <c r="JO83" i="30" s="1"/>
  <c r="JQ83" i="30" s="1"/>
  <c r="JS83" i="30" s="1"/>
  <c r="JU83" i="30" s="1"/>
  <c r="JW83" i="30" s="1"/>
  <c r="JY83" i="30" s="1"/>
  <c r="KA83" i="30" s="1"/>
  <c r="KC83" i="30" s="1"/>
  <c r="KE83" i="30" s="1"/>
  <c r="KG83" i="30" s="1"/>
  <c r="KI83" i="30" s="1"/>
  <c r="KK83" i="30" s="1"/>
  <c r="KM83" i="30" s="1"/>
  <c r="KO83" i="30" s="1"/>
  <c r="KQ83" i="30" s="1"/>
  <c r="KS83" i="30" s="1"/>
  <c r="KU83" i="30" s="1"/>
  <c r="KW83" i="30" s="1"/>
  <c r="KY83" i="30" s="1"/>
  <c r="LA83" i="30" s="1"/>
  <c r="LC83" i="30" s="1"/>
  <c r="LE83" i="30" s="1"/>
  <c r="LG83" i="30" s="1"/>
  <c r="LI83" i="30" s="1"/>
  <c r="LK83" i="30" s="1"/>
  <c r="LM83" i="30" s="1"/>
  <c r="LO83" i="30" s="1"/>
  <c r="LQ83" i="30" s="1"/>
  <c r="LS83" i="30" s="1"/>
  <c r="LU83" i="30" s="1"/>
  <c r="LW83" i="30" s="1"/>
  <c r="LY83" i="30" s="1"/>
  <c r="MA83" i="30" s="1"/>
  <c r="MC83" i="30" s="1"/>
  <c r="ME83" i="30" s="1"/>
  <c r="MG83" i="30" s="1"/>
  <c r="MI83" i="30" s="1"/>
  <c r="MK83" i="30" s="1"/>
  <c r="MM83" i="30" s="1"/>
  <c r="MO83" i="30" s="1"/>
  <c r="MQ83" i="30" s="1"/>
  <c r="MS83" i="30" s="1"/>
  <c r="MU83" i="30" s="1"/>
  <c r="MW83" i="30" s="1"/>
  <c r="MY83" i="30" s="1"/>
  <c r="NA83" i="30" s="1"/>
  <c r="NC83" i="30" s="1"/>
  <c r="NE83" i="30" s="1"/>
  <c r="NG83" i="30" s="1"/>
  <c r="NI83" i="30" s="1"/>
  <c r="NK83" i="30" s="1"/>
  <c r="NM83" i="30" s="1"/>
  <c r="NO83" i="30" s="1"/>
  <c r="NQ83" i="30" s="1"/>
  <c r="NS83" i="30" s="1"/>
  <c r="NU83" i="30" s="1"/>
  <c r="NW83" i="30" s="1"/>
  <c r="NY83" i="30" s="1"/>
  <c r="OA83" i="30" s="1"/>
  <c r="OC83" i="30" s="1"/>
  <c r="OE83" i="30" s="1"/>
  <c r="OG83" i="30" s="1"/>
  <c r="OI83" i="30" s="1"/>
  <c r="OK83" i="30" s="1"/>
  <c r="OM83" i="30" s="1"/>
  <c r="OO83" i="30" s="1"/>
  <c r="OQ83" i="30" s="1"/>
  <c r="OS83" i="30" s="1"/>
  <c r="OU83" i="30" s="1"/>
  <c r="OW83" i="30" s="1"/>
  <c r="OY83" i="30" s="1"/>
  <c r="PA83" i="30" s="1"/>
  <c r="PC83" i="30" s="1"/>
  <c r="PE83" i="30" s="1"/>
  <c r="PG83" i="30" s="1"/>
  <c r="PI83" i="30" s="1"/>
  <c r="PK83" i="30" s="1"/>
  <c r="PM83" i="30" s="1"/>
  <c r="PO83" i="30" s="1"/>
  <c r="PQ83" i="30" s="1"/>
  <c r="PS83" i="30" s="1"/>
  <c r="PU83" i="30" s="1"/>
  <c r="PW83" i="30" s="1"/>
  <c r="PY83" i="30" s="1"/>
  <c r="QA83" i="30" s="1"/>
  <c r="QC83" i="30" s="1"/>
  <c r="QE83" i="30" s="1"/>
  <c r="QG83" i="30" s="1"/>
  <c r="QI83" i="30" s="1"/>
  <c r="QK83" i="30" s="1"/>
  <c r="QM83" i="30" s="1"/>
  <c r="QO83" i="30" s="1"/>
  <c r="QQ83" i="30" s="1"/>
  <c r="QS83" i="30" s="1"/>
  <c r="QU83" i="30" s="1"/>
  <c r="QW83" i="30" s="1"/>
  <c r="QY83" i="30" s="1"/>
  <c r="RA83" i="30" s="1"/>
  <c r="RC83" i="30" s="1"/>
  <c r="RE83" i="30" s="1"/>
  <c r="RG83" i="30" s="1"/>
  <c r="RI83" i="30" s="1"/>
  <c r="RK83" i="30" s="1"/>
  <c r="RM83" i="30" s="1"/>
  <c r="RO83" i="30" s="1"/>
  <c r="RQ83" i="30" s="1"/>
  <c r="RS83" i="30" s="1"/>
  <c r="RU83" i="30" s="1"/>
  <c r="RW83" i="30" s="1"/>
  <c r="RY83" i="30" s="1"/>
  <c r="SA83" i="30" s="1"/>
  <c r="SC83" i="30" s="1"/>
  <c r="SE83" i="30" s="1"/>
  <c r="SG83" i="30" s="1"/>
  <c r="SI83" i="30" s="1"/>
  <c r="SK83" i="30" s="1"/>
  <c r="SM83" i="30" s="1"/>
  <c r="SO83" i="30" s="1"/>
  <c r="SQ83" i="30" s="1"/>
  <c r="SS83" i="30" s="1"/>
  <c r="SU83" i="30" s="1"/>
  <c r="SW83" i="30" s="1"/>
  <c r="SY83" i="30" s="1"/>
  <c r="TA83" i="30" s="1"/>
  <c r="TC83" i="30" s="1"/>
  <c r="TE83" i="30" s="1"/>
  <c r="TG83" i="30" s="1"/>
  <c r="TI83" i="30" s="1"/>
  <c r="TK83" i="30" s="1"/>
  <c r="TM83" i="30" s="1"/>
  <c r="TO83" i="30" s="1"/>
  <c r="TQ83" i="30" s="1"/>
  <c r="TS83" i="30" s="1"/>
  <c r="TU83" i="30" s="1"/>
  <c r="TW83" i="30" s="1"/>
  <c r="TY83" i="30" s="1"/>
  <c r="UA83" i="30" s="1"/>
  <c r="UC83" i="30" s="1"/>
  <c r="UE83" i="30" s="1"/>
  <c r="UG83" i="30" s="1"/>
  <c r="UI83" i="30" s="1"/>
  <c r="UK83" i="30" s="1"/>
  <c r="UM83" i="30" s="1"/>
  <c r="UO83" i="30" s="1"/>
  <c r="UQ83" i="30" s="1"/>
  <c r="US83" i="30" s="1"/>
  <c r="UU83" i="30" s="1"/>
  <c r="UW83" i="30" s="1"/>
  <c r="UY83" i="30" s="1"/>
  <c r="VA83" i="30" s="1"/>
  <c r="VC83" i="30" s="1"/>
  <c r="VE83" i="30" s="1"/>
  <c r="VG83" i="30" s="1"/>
  <c r="VI83" i="30" s="1"/>
  <c r="VK83" i="30" s="1"/>
  <c r="VM83" i="30" s="1"/>
  <c r="VO83" i="30" s="1"/>
  <c r="VQ83" i="30" s="1"/>
  <c r="VS83" i="30" s="1"/>
  <c r="VU83" i="30" s="1"/>
  <c r="VW83" i="30" s="1"/>
  <c r="VY83" i="30" s="1"/>
  <c r="WA83" i="30" s="1"/>
  <c r="WC83" i="30" s="1"/>
  <c r="WE83" i="30" s="1"/>
  <c r="WG83" i="30" s="1"/>
  <c r="WI83" i="30" s="1"/>
  <c r="WK83" i="30" s="1"/>
  <c r="WM83" i="30" s="1"/>
  <c r="WO83" i="30" s="1"/>
  <c r="WQ83" i="30" s="1"/>
  <c r="WS83" i="30" s="1"/>
  <c r="WU83" i="30" s="1"/>
  <c r="WW83" i="30" s="1"/>
  <c r="WY83" i="30" s="1"/>
  <c r="XA83" i="30" s="1"/>
  <c r="XC83" i="30" s="1"/>
  <c r="XE83" i="30" s="1"/>
  <c r="XG83" i="30" s="1"/>
  <c r="XI83" i="30" s="1"/>
  <c r="XK83" i="30" s="1"/>
  <c r="XM83" i="30" s="1"/>
  <c r="XO83" i="30" s="1"/>
  <c r="XQ83" i="30" s="1"/>
  <c r="XS83" i="30" s="1"/>
  <c r="XU83" i="30" s="1"/>
  <c r="XW83" i="30" s="1"/>
  <c r="XY83" i="30" s="1"/>
  <c r="YA83" i="30" s="1"/>
  <c r="YC83" i="30" s="1"/>
  <c r="YE83" i="30" s="1"/>
  <c r="YG83" i="30" s="1"/>
  <c r="YI83" i="30" s="1"/>
  <c r="YK83" i="30" s="1"/>
  <c r="YM83" i="30" s="1"/>
  <c r="YO83" i="30" s="1"/>
  <c r="YQ83" i="30" s="1"/>
  <c r="YS83" i="30" s="1"/>
  <c r="YU83" i="30" s="1"/>
  <c r="YW83" i="30" s="1"/>
  <c r="YY83" i="30" s="1"/>
  <c r="ZA83" i="30" s="1"/>
  <c r="ZC83" i="30" s="1"/>
  <c r="ZE83" i="30" s="1"/>
  <c r="ZG83" i="30" s="1"/>
  <c r="ZI83" i="30" s="1"/>
  <c r="ZK83" i="30" s="1"/>
  <c r="ZM83" i="30" s="1"/>
  <c r="ZO83" i="30" s="1"/>
  <c r="ZQ83" i="30" s="1"/>
  <c r="ZS83" i="30" s="1"/>
  <c r="ZU83" i="30" s="1"/>
  <c r="ZW83" i="30" s="1"/>
  <c r="ZY83" i="30" s="1"/>
  <c r="AAA83" i="30" s="1"/>
  <c r="AAC83" i="30" s="1"/>
  <c r="AAE83" i="30" s="1"/>
  <c r="AAG83" i="30" s="1"/>
  <c r="AAI83" i="30" s="1"/>
  <c r="AAK83" i="30" s="1"/>
  <c r="AAM83" i="30" s="1"/>
  <c r="AAO83" i="30" s="1"/>
  <c r="AAQ83" i="30" s="1"/>
  <c r="AAS83" i="30" s="1"/>
  <c r="AAU83" i="30" s="1"/>
  <c r="AAW83" i="30" s="1"/>
  <c r="AAY83" i="30" s="1"/>
  <c r="ABA83" i="30" s="1"/>
  <c r="ABC83" i="30" s="1"/>
  <c r="ABE83" i="30" s="1"/>
  <c r="ABG83" i="30" s="1"/>
  <c r="ABI83" i="30" s="1"/>
  <c r="ABK83" i="30" s="1"/>
  <c r="ABM83" i="30" s="1"/>
  <c r="ABO83" i="30" s="1"/>
  <c r="ABQ83" i="30" s="1"/>
  <c r="ABS83" i="30" s="1"/>
  <c r="ABU83" i="30" s="1"/>
  <c r="ABW83" i="30" s="1"/>
  <c r="ABY83" i="30" s="1"/>
  <c r="ACA83" i="30" s="1"/>
  <c r="ACC83" i="30" s="1"/>
  <c r="ACE83" i="30" s="1"/>
  <c r="ACG83" i="30" s="1"/>
  <c r="ACI83" i="30" s="1"/>
  <c r="ACK83" i="30" s="1"/>
  <c r="ACM83" i="30" s="1"/>
  <c r="ACO83" i="30" s="1"/>
  <c r="ACQ83" i="30" s="1"/>
  <c r="ACS83" i="30" s="1"/>
  <c r="ACU83" i="30" s="1"/>
  <c r="ACW83" i="30" s="1"/>
  <c r="ACY83" i="30" s="1"/>
  <c r="ADA83" i="30" s="1"/>
  <c r="ADC83" i="30" s="1"/>
  <c r="ADE83" i="30" s="1"/>
  <c r="ADG83" i="30" s="1"/>
  <c r="ADI83" i="30" s="1"/>
  <c r="ADK83" i="30" s="1"/>
  <c r="ADM83" i="30" s="1"/>
  <c r="ADO83" i="30" s="1"/>
  <c r="ADQ83" i="30" s="1"/>
  <c r="ADS83" i="30" s="1"/>
  <c r="ADU83" i="30" s="1"/>
  <c r="ADW83" i="30" s="1"/>
  <c r="ADY83" i="30" s="1"/>
  <c r="AEA83" i="30" s="1"/>
  <c r="AEC83" i="30" s="1"/>
  <c r="AEE83" i="30" s="1"/>
  <c r="AEG83" i="30" s="1"/>
  <c r="AEI83" i="30" s="1"/>
  <c r="AEK83" i="30" s="1"/>
  <c r="AEM83" i="30" s="1"/>
  <c r="AEO83" i="30" s="1"/>
  <c r="AEQ83" i="30" s="1"/>
  <c r="AES83" i="30" s="1"/>
  <c r="AEU83" i="30" s="1"/>
  <c r="AEW83" i="30" s="1"/>
  <c r="AEY83" i="30" s="1"/>
  <c r="AFA83" i="30" s="1"/>
  <c r="AFC83" i="30" s="1"/>
  <c r="AFE83" i="30" s="1"/>
  <c r="AFG83" i="30" s="1"/>
  <c r="AFI83" i="30" s="1"/>
  <c r="AFK83" i="30" s="1"/>
  <c r="AFM83" i="30" s="1"/>
  <c r="AFO83" i="30" s="1"/>
  <c r="AFQ83" i="30" s="1"/>
  <c r="AFS83" i="30" s="1"/>
  <c r="AFU83" i="30" s="1"/>
  <c r="AFW83" i="30" s="1"/>
  <c r="AFY83" i="30" s="1"/>
  <c r="AGA83" i="30" s="1"/>
  <c r="AGC83" i="30" s="1"/>
  <c r="AGE83" i="30" s="1"/>
  <c r="AGG83" i="30" s="1"/>
  <c r="AGI83" i="30" s="1"/>
  <c r="AGK83" i="30" s="1"/>
  <c r="AGM83" i="30" s="1"/>
  <c r="AGO83" i="30" s="1"/>
  <c r="AGQ83" i="30" s="1"/>
  <c r="AGS83" i="30" s="1"/>
  <c r="AGU83" i="30" s="1"/>
  <c r="AGW83" i="30" s="1"/>
  <c r="AGY83" i="30" s="1"/>
  <c r="AHA83" i="30" s="1"/>
  <c r="AHC83" i="30" s="1"/>
  <c r="AHE83" i="30" s="1"/>
  <c r="AHG83" i="30" s="1"/>
  <c r="AHI83" i="30" s="1"/>
  <c r="AHK83" i="30" s="1"/>
  <c r="AHM83" i="30" s="1"/>
  <c r="AHO83" i="30" s="1"/>
  <c r="AHQ83" i="30" s="1"/>
  <c r="AHS83" i="30" s="1"/>
  <c r="AHU83" i="30" s="1"/>
  <c r="AHW83" i="30" s="1"/>
  <c r="AHY83" i="30" s="1"/>
  <c r="AIA83" i="30" s="1"/>
  <c r="AIC83" i="30" s="1"/>
  <c r="AIE83" i="30" s="1"/>
  <c r="AIG83" i="30" s="1"/>
  <c r="AII83" i="30" s="1"/>
  <c r="AIK83" i="30" s="1"/>
  <c r="AIM83" i="30" s="1"/>
  <c r="AIO83" i="30" s="1"/>
  <c r="AIQ83" i="30" s="1"/>
  <c r="AIS83" i="30" s="1"/>
  <c r="AIU83" i="30" s="1"/>
  <c r="AIW83" i="30" s="1"/>
  <c r="AIY83" i="30" s="1"/>
  <c r="AJA83" i="30" s="1"/>
  <c r="AJC83" i="30" s="1"/>
  <c r="AJE83" i="30" s="1"/>
  <c r="AJG83" i="30" s="1"/>
  <c r="AJI83" i="30" s="1"/>
  <c r="AJK83" i="30" s="1"/>
  <c r="AJM83" i="30" s="1"/>
  <c r="AJO83" i="30" s="1"/>
  <c r="AJQ83" i="30" s="1"/>
  <c r="AJS83" i="30" s="1"/>
  <c r="AJU83" i="30" s="1"/>
  <c r="AJW83" i="30" s="1"/>
  <c r="AJY83" i="30" s="1"/>
  <c r="AKA83" i="30" s="1"/>
  <c r="AKC83" i="30" s="1"/>
  <c r="AKE83" i="30" s="1"/>
  <c r="AKG83" i="30" s="1"/>
  <c r="AKI83" i="30" s="1"/>
  <c r="AKK83" i="30" s="1"/>
  <c r="AKM83" i="30" s="1"/>
  <c r="AKO83" i="30" s="1"/>
  <c r="AKQ83" i="30" s="1"/>
  <c r="AKS83" i="30" s="1"/>
  <c r="AKU83" i="30" s="1"/>
  <c r="AKW83" i="30" s="1"/>
  <c r="AKY83" i="30" s="1"/>
  <c r="ALA83" i="30" s="1"/>
  <c r="ALC83" i="30" s="1"/>
  <c r="ALE83" i="30" s="1"/>
  <c r="ALG83" i="30" s="1"/>
  <c r="ALI83" i="30" s="1"/>
  <c r="ALK83" i="30" s="1"/>
  <c r="ALM83" i="30" s="1"/>
  <c r="ALO83" i="30" s="1"/>
  <c r="ALQ83" i="30" s="1"/>
  <c r="ALS83" i="30" s="1"/>
  <c r="ALU83" i="30" s="1"/>
  <c r="ALW83" i="30" s="1"/>
  <c r="ALY83" i="30" s="1"/>
  <c r="AMA83" i="30" s="1"/>
  <c r="AMC83" i="30" s="1"/>
  <c r="AME83" i="30" s="1"/>
  <c r="AMG83" i="30" s="1"/>
  <c r="AMI83" i="30" s="1"/>
  <c r="AMK83" i="30" s="1"/>
  <c r="AMM83" i="30" s="1"/>
  <c r="AMO83" i="30" s="1"/>
  <c r="AMQ83" i="30" s="1"/>
  <c r="AMS83" i="30" s="1"/>
  <c r="AMU83" i="30" s="1"/>
  <c r="AMW83" i="30" s="1"/>
  <c r="AMY83" i="30" s="1"/>
  <c r="ANA83" i="30" s="1"/>
  <c r="ANC83" i="30" s="1"/>
  <c r="ANE83" i="30" s="1"/>
  <c r="ANG83" i="30" s="1"/>
  <c r="ANI83" i="30" s="1"/>
  <c r="ANK83" i="30" s="1"/>
  <c r="ANM83" i="30" s="1"/>
  <c r="ANO83" i="30" s="1"/>
  <c r="ANQ83" i="30" s="1"/>
  <c r="ANS83" i="30" s="1"/>
  <c r="ANU83" i="30" s="1"/>
  <c r="ANW83" i="30" s="1"/>
  <c r="ANY83" i="30" s="1"/>
  <c r="AOA83" i="30" s="1"/>
  <c r="AOC83" i="30" s="1"/>
  <c r="AOE83" i="30" s="1"/>
  <c r="AOG83" i="30" s="1"/>
  <c r="AOI83" i="30" s="1"/>
  <c r="AOK83" i="30" s="1"/>
  <c r="AOM83" i="30" s="1"/>
  <c r="AOO83" i="30" s="1"/>
  <c r="AOQ83" i="30" s="1"/>
  <c r="AOS83" i="30" s="1"/>
  <c r="AOU83" i="30" s="1"/>
  <c r="AOW83" i="30" s="1"/>
  <c r="AOY83" i="30" s="1"/>
  <c r="APA83" i="30" s="1"/>
  <c r="APC83" i="30" s="1"/>
  <c r="APE83" i="30" s="1"/>
  <c r="APG83" i="30" s="1"/>
  <c r="API83" i="30" s="1"/>
  <c r="APK83" i="30" s="1"/>
  <c r="APM83" i="30" s="1"/>
  <c r="APO83" i="30" s="1"/>
  <c r="APQ83" i="30" s="1"/>
  <c r="APS83" i="30" s="1"/>
  <c r="APU83" i="30" s="1"/>
  <c r="APW83" i="30" s="1"/>
  <c r="APY83" i="30" s="1"/>
  <c r="AQA83" i="30" s="1"/>
  <c r="AQC83" i="30" s="1"/>
  <c r="AQE83" i="30" s="1"/>
  <c r="AQG83" i="30" s="1"/>
  <c r="AQI83" i="30" s="1"/>
  <c r="AQK83" i="30" s="1"/>
  <c r="AQM83" i="30" s="1"/>
  <c r="AQO83" i="30" s="1"/>
  <c r="AQQ83" i="30" s="1"/>
  <c r="AQS83" i="30" s="1"/>
  <c r="AQU83" i="30" s="1"/>
  <c r="AQW83" i="30" s="1"/>
  <c r="AQY83" i="30" s="1"/>
  <c r="ARA83" i="30" s="1"/>
  <c r="ARC83" i="30" s="1"/>
  <c r="ARE83" i="30" s="1"/>
  <c r="ARG83" i="30" s="1"/>
  <c r="ARI83" i="30" s="1"/>
  <c r="ARK83" i="30" s="1"/>
  <c r="ARM83" i="30" s="1"/>
  <c r="ARO83" i="30" s="1"/>
  <c r="ARQ83" i="30" s="1"/>
  <c r="ARS83" i="30" s="1"/>
  <c r="ARU83" i="30" s="1"/>
  <c r="ARW83" i="30" s="1"/>
  <c r="ARY83" i="30" s="1"/>
  <c r="ASA83" i="30" s="1"/>
  <c r="ASC83" i="30" s="1"/>
  <c r="ASE83" i="30" s="1"/>
  <c r="ASG83" i="30" s="1"/>
  <c r="ASI83" i="30" s="1"/>
  <c r="ASK83" i="30" s="1"/>
  <c r="ASM83" i="30" s="1"/>
  <c r="ASO83" i="30" s="1"/>
  <c r="ASQ83" i="30" s="1"/>
  <c r="ASS83" i="30" s="1"/>
  <c r="ASU83" i="30" s="1"/>
  <c r="ASW83" i="30" s="1"/>
  <c r="ASY83" i="30" s="1"/>
  <c r="ATA83" i="30" s="1"/>
  <c r="ATC83" i="30" s="1"/>
  <c r="ATE83" i="30" s="1"/>
  <c r="ATG83" i="30" s="1"/>
  <c r="ATI83" i="30" s="1"/>
  <c r="ATK83" i="30" s="1"/>
  <c r="ATM83" i="30" s="1"/>
  <c r="ATO83" i="30" s="1"/>
  <c r="ATQ83" i="30" s="1"/>
  <c r="ATS83" i="30" s="1"/>
  <c r="ATU83" i="30" s="1"/>
  <c r="ATW83" i="30" s="1"/>
  <c r="ATY83" i="30" s="1"/>
  <c r="AUA83" i="30" s="1"/>
  <c r="AUC83" i="30" s="1"/>
  <c r="AUE83" i="30" s="1"/>
  <c r="AUG83" i="30" s="1"/>
  <c r="AUI83" i="30" s="1"/>
  <c r="AUK83" i="30" s="1"/>
  <c r="AUM83" i="30" s="1"/>
  <c r="AUO83" i="30" s="1"/>
  <c r="AUQ83" i="30" s="1"/>
  <c r="AUS83" i="30" s="1"/>
  <c r="AUU83" i="30" s="1"/>
  <c r="AUW83" i="30" s="1"/>
  <c r="AUY83" i="30" s="1"/>
  <c r="AVA83" i="30" s="1"/>
  <c r="AVC83" i="30" s="1"/>
  <c r="AVE83" i="30" s="1"/>
  <c r="AVG83" i="30" s="1"/>
  <c r="AVI83" i="30" s="1"/>
  <c r="AVK83" i="30" s="1"/>
  <c r="AVM83" i="30" s="1"/>
  <c r="AVO83" i="30" s="1"/>
  <c r="AVQ83" i="30" s="1"/>
  <c r="AVS83" i="30" s="1"/>
  <c r="AVU83" i="30" s="1"/>
  <c r="AVW83" i="30" s="1"/>
  <c r="AVY83" i="30" s="1"/>
  <c r="AWA83" i="30" s="1"/>
  <c r="AWC83" i="30" s="1"/>
  <c r="AWE83" i="30" s="1"/>
  <c r="AWG83" i="30" s="1"/>
  <c r="AWI83" i="30" s="1"/>
  <c r="AWK83" i="30" s="1"/>
  <c r="AWM83" i="30" s="1"/>
  <c r="AWO83" i="30" s="1"/>
  <c r="AWQ83" i="30" s="1"/>
  <c r="AWS83" i="30" s="1"/>
  <c r="AWU83" i="30" s="1"/>
  <c r="AWW83" i="30" s="1"/>
  <c r="AWY83" i="30" s="1"/>
  <c r="AXA83" i="30" s="1"/>
  <c r="AXC83" i="30" s="1"/>
  <c r="AXE83" i="30" s="1"/>
  <c r="AXG83" i="30" s="1"/>
  <c r="AXI83" i="30" s="1"/>
  <c r="AXK83" i="30" s="1"/>
  <c r="AXM83" i="30" s="1"/>
  <c r="AXO83" i="30" s="1"/>
  <c r="AXQ83" i="30" s="1"/>
  <c r="AXS83" i="30" s="1"/>
  <c r="AXU83" i="30" s="1"/>
  <c r="AXW83" i="30" s="1"/>
  <c r="AXY83" i="30" s="1"/>
  <c r="AYA83" i="30" s="1"/>
  <c r="AYC83" i="30" s="1"/>
  <c r="AYE83" i="30" s="1"/>
  <c r="AYG83" i="30" s="1"/>
  <c r="AYI83" i="30" s="1"/>
  <c r="AYK83" i="30" s="1"/>
  <c r="AYM83" i="30" s="1"/>
  <c r="AYO83" i="30" s="1"/>
  <c r="AYQ83" i="30" s="1"/>
  <c r="AYS83" i="30" s="1"/>
  <c r="AYU83" i="30" s="1"/>
  <c r="AYW83" i="30" s="1"/>
  <c r="AYY83" i="30" s="1"/>
  <c r="AZA83" i="30" s="1"/>
  <c r="AZC83" i="30" s="1"/>
  <c r="AZE83" i="30" s="1"/>
  <c r="AZG83" i="30" s="1"/>
  <c r="AZI83" i="30" s="1"/>
  <c r="AZK83" i="30" s="1"/>
  <c r="AZM83" i="30" s="1"/>
  <c r="AZO83" i="30" s="1"/>
  <c r="AZQ83" i="30" s="1"/>
  <c r="AZS83" i="30" s="1"/>
  <c r="AZU83" i="30" s="1"/>
  <c r="AZW83" i="30" s="1"/>
  <c r="AZY83" i="30" s="1"/>
  <c r="BAA83" i="30" s="1"/>
  <c r="BAC83" i="30" s="1"/>
  <c r="BAE83" i="30" s="1"/>
  <c r="BAG83" i="30" s="1"/>
  <c r="BAI83" i="30" s="1"/>
  <c r="BAK83" i="30" s="1"/>
  <c r="BAM83" i="30" s="1"/>
  <c r="BAO83" i="30" s="1"/>
  <c r="BAQ83" i="30" s="1"/>
  <c r="BAS83" i="30" s="1"/>
  <c r="BAU83" i="30" s="1"/>
  <c r="BAW83" i="30" s="1"/>
  <c r="BAY83" i="30" s="1"/>
  <c r="BBA83" i="30" s="1"/>
  <c r="BBC83" i="30" s="1"/>
  <c r="BBE83" i="30" s="1"/>
  <c r="BBG83" i="30" s="1"/>
  <c r="BBI83" i="30" s="1"/>
  <c r="BBK83" i="30" s="1"/>
  <c r="BBM83" i="30" s="1"/>
  <c r="BBO83" i="30" s="1"/>
  <c r="BBQ83" i="30" s="1"/>
  <c r="BBS83" i="30" s="1"/>
  <c r="BBU83" i="30" s="1"/>
  <c r="BBW83" i="30" s="1"/>
  <c r="BBY83" i="30" s="1"/>
  <c r="BCA83" i="30" s="1"/>
  <c r="BCC83" i="30" s="1"/>
  <c r="BCE83" i="30" s="1"/>
  <c r="BCG83" i="30" s="1"/>
  <c r="BCI83" i="30" s="1"/>
  <c r="BCK83" i="30" s="1"/>
  <c r="BCM83" i="30" s="1"/>
  <c r="BCO83" i="30" s="1"/>
  <c r="BCQ83" i="30" s="1"/>
  <c r="BCS83" i="30" s="1"/>
  <c r="BCU83" i="30" s="1"/>
  <c r="BCW83" i="30" s="1"/>
  <c r="BCY83" i="30" s="1"/>
  <c r="BDA83" i="30" s="1"/>
  <c r="BDC83" i="30" s="1"/>
  <c r="BDE83" i="30" s="1"/>
  <c r="BDG83" i="30" s="1"/>
  <c r="BDI83" i="30" s="1"/>
  <c r="BDK83" i="30" s="1"/>
  <c r="BDM83" i="30" s="1"/>
  <c r="BDO83" i="30" s="1"/>
  <c r="BDQ83" i="30" s="1"/>
  <c r="BDS83" i="30" s="1"/>
  <c r="BDU83" i="30" s="1"/>
  <c r="BDW83" i="30" s="1"/>
  <c r="BDY83" i="30" s="1"/>
  <c r="BEA83" i="30" s="1"/>
  <c r="BEC83" i="30" s="1"/>
  <c r="BEE83" i="30" s="1"/>
  <c r="BEG83" i="30" s="1"/>
  <c r="BEI83" i="30" s="1"/>
  <c r="BEK83" i="30" s="1"/>
  <c r="BEM83" i="30" s="1"/>
  <c r="BEO83" i="30" s="1"/>
  <c r="BEQ83" i="30" s="1"/>
  <c r="BES83" i="30" s="1"/>
  <c r="BEU83" i="30" s="1"/>
  <c r="BEW83" i="30" s="1"/>
  <c r="BEY83" i="30" s="1"/>
  <c r="BFA83" i="30" s="1"/>
  <c r="BFC83" i="30" s="1"/>
  <c r="BFE83" i="30" s="1"/>
  <c r="BFG83" i="30" s="1"/>
  <c r="BFI83" i="30" s="1"/>
  <c r="BFK83" i="30" s="1"/>
  <c r="BFM83" i="30" s="1"/>
  <c r="BFO83" i="30" s="1"/>
  <c r="BFQ83" i="30" s="1"/>
  <c r="BFS83" i="30" s="1"/>
  <c r="BFU83" i="30" s="1"/>
  <c r="BFW83" i="30" s="1"/>
  <c r="BFY83" i="30" s="1"/>
  <c r="BGA83" i="30" s="1"/>
  <c r="BGC83" i="30" s="1"/>
  <c r="BGE83" i="30" s="1"/>
  <c r="BGG83" i="30" s="1"/>
  <c r="BGI83" i="30" s="1"/>
  <c r="BGK83" i="30" s="1"/>
  <c r="BGM83" i="30" s="1"/>
  <c r="BGO83" i="30" s="1"/>
  <c r="BGQ83" i="30" s="1"/>
  <c r="BGS83" i="30" s="1"/>
  <c r="BGU83" i="30" s="1"/>
  <c r="BGW83" i="30" s="1"/>
  <c r="BGY83" i="30" s="1"/>
  <c r="BHA83" i="30" s="1"/>
  <c r="BHC83" i="30" s="1"/>
  <c r="BHE83" i="30" s="1"/>
  <c r="BHG83" i="30" s="1"/>
  <c r="BHI83" i="30" s="1"/>
  <c r="BHK83" i="30" s="1"/>
  <c r="BHM83" i="30" s="1"/>
  <c r="BHO83" i="30" s="1"/>
  <c r="BHQ83" i="30" s="1"/>
  <c r="BHS83" i="30" s="1"/>
  <c r="BHU83" i="30" s="1"/>
  <c r="BHW83" i="30" s="1"/>
  <c r="BHY83" i="30" s="1"/>
  <c r="BIA83" i="30" s="1"/>
  <c r="BIC83" i="30" s="1"/>
  <c r="BIE83" i="30" s="1"/>
  <c r="BIG83" i="30" s="1"/>
  <c r="BII83" i="30" s="1"/>
  <c r="BIK83" i="30" s="1"/>
  <c r="BIM83" i="30" s="1"/>
  <c r="BIO83" i="30" s="1"/>
  <c r="BIQ83" i="30" s="1"/>
  <c r="BIS83" i="30" s="1"/>
  <c r="BIU83" i="30" s="1"/>
  <c r="BIW83" i="30" s="1"/>
  <c r="BIY83" i="30" s="1"/>
  <c r="BJA83" i="30" s="1"/>
  <c r="BJC83" i="30" s="1"/>
  <c r="BJE83" i="30" s="1"/>
  <c r="BJG83" i="30" s="1"/>
  <c r="BJI83" i="30" s="1"/>
  <c r="BJK83" i="30" s="1"/>
  <c r="BJM83" i="30" s="1"/>
  <c r="BJO83" i="30" s="1"/>
  <c r="BJQ83" i="30" s="1"/>
  <c r="BJS83" i="30" s="1"/>
  <c r="BJU83" i="30" s="1"/>
  <c r="BJW83" i="30" s="1"/>
  <c r="BJY83" i="30" s="1"/>
  <c r="BKA83" i="30" s="1"/>
  <c r="BKC83" i="30" s="1"/>
  <c r="BKE83" i="30" s="1"/>
  <c r="BKG83" i="30" s="1"/>
  <c r="BKI83" i="30" s="1"/>
  <c r="BKK83" i="30" s="1"/>
  <c r="BKM83" i="30" s="1"/>
  <c r="BKO83" i="30" s="1"/>
  <c r="BKQ83" i="30" s="1"/>
  <c r="BKS83" i="30" s="1"/>
  <c r="BKU83" i="30" s="1"/>
  <c r="BKW83" i="30" s="1"/>
  <c r="BKY83" i="30" s="1"/>
  <c r="BLA83" i="30" s="1"/>
  <c r="BLC83" i="30" s="1"/>
  <c r="BLE83" i="30" s="1"/>
  <c r="BLG83" i="30" s="1"/>
  <c r="BLI83" i="30" s="1"/>
  <c r="BLK83" i="30" s="1"/>
  <c r="BLM83" i="30" s="1"/>
  <c r="BLO83" i="30" s="1"/>
  <c r="BLQ83" i="30" s="1"/>
  <c r="BLS83" i="30" s="1"/>
  <c r="BLU83" i="30" s="1"/>
  <c r="BLW83" i="30" s="1"/>
  <c r="BLY83" i="30" s="1"/>
  <c r="BMA83" i="30" s="1"/>
  <c r="BMC83" i="30" s="1"/>
  <c r="BME83" i="30" s="1"/>
  <c r="BMG83" i="30" s="1"/>
  <c r="BMI83" i="30" s="1"/>
  <c r="BMK83" i="30" s="1"/>
  <c r="BMM83" i="30" s="1"/>
  <c r="BMO83" i="30" s="1"/>
  <c r="BMQ83" i="30" s="1"/>
  <c r="BMS83" i="30" s="1"/>
  <c r="BMU83" i="30" s="1"/>
  <c r="BMW83" i="30" s="1"/>
  <c r="BMY83" i="30" s="1"/>
  <c r="BNA83" i="30" s="1"/>
  <c r="BNC83" i="30" s="1"/>
  <c r="BNE83" i="30" s="1"/>
  <c r="BNG83" i="30" s="1"/>
  <c r="BNI83" i="30" s="1"/>
  <c r="BNK83" i="30" s="1"/>
  <c r="BNM83" i="30" s="1"/>
  <c r="BNO83" i="30" s="1"/>
  <c r="BNQ83" i="30" s="1"/>
  <c r="BNS83" i="30" s="1"/>
  <c r="BNU83" i="30" s="1"/>
  <c r="BNW83" i="30" s="1"/>
  <c r="BNY83" i="30" s="1"/>
  <c r="BOA83" i="30" s="1"/>
  <c r="BOC83" i="30" s="1"/>
  <c r="BOE83" i="30" s="1"/>
  <c r="BOG83" i="30" s="1"/>
  <c r="BOI83" i="30" s="1"/>
  <c r="BOK83" i="30" s="1"/>
  <c r="BOM83" i="30" s="1"/>
  <c r="BOO83" i="30" s="1"/>
  <c r="BOQ83" i="30" s="1"/>
  <c r="BOS83" i="30" s="1"/>
  <c r="BOU83" i="30" s="1"/>
  <c r="BOW83" i="30" s="1"/>
  <c r="BOY83" i="30" s="1"/>
  <c r="BPA83" i="30" s="1"/>
  <c r="BPC83" i="30" s="1"/>
  <c r="BPE83" i="30" s="1"/>
  <c r="BPG83" i="30" s="1"/>
  <c r="BPI83" i="30" s="1"/>
  <c r="BPK83" i="30" s="1"/>
  <c r="BPM83" i="30" s="1"/>
  <c r="BPO83" i="30" s="1"/>
  <c r="BPQ83" i="30" s="1"/>
  <c r="BPS83" i="30" s="1"/>
  <c r="BPU83" i="30" s="1"/>
  <c r="BPW83" i="30" s="1"/>
  <c r="BPY83" i="30" s="1"/>
  <c r="BQA83" i="30" s="1"/>
  <c r="BQC83" i="30" s="1"/>
  <c r="BQE83" i="30" s="1"/>
  <c r="BQG83" i="30" s="1"/>
  <c r="BQI83" i="30" s="1"/>
  <c r="BQK83" i="30" s="1"/>
  <c r="BQM83" i="30" s="1"/>
  <c r="BQO83" i="30" s="1"/>
  <c r="BQQ83" i="30" s="1"/>
  <c r="BQS83" i="30" s="1"/>
  <c r="BQU83" i="30" s="1"/>
  <c r="BQW83" i="30" s="1"/>
  <c r="BQY83" i="30" s="1"/>
  <c r="BRA83" i="30" s="1"/>
  <c r="BRC83" i="30" s="1"/>
  <c r="BRE83" i="30" s="1"/>
  <c r="BRG83" i="30" s="1"/>
  <c r="BRI83" i="30" s="1"/>
  <c r="BRK83" i="30" s="1"/>
  <c r="BRM83" i="30" s="1"/>
  <c r="BRO83" i="30" s="1"/>
  <c r="BRQ83" i="30" s="1"/>
  <c r="BRS83" i="30" s="1"/>
  <c r="BRU83" i="30" s="1"/>
  <c r="BRW83" i="30" s="1"/>
  <c r="BRY83" i="30" s="1"/>
  <c r="BSA83" i="30" s="1"/>
  <c r="BSC83" i="30" s="1"/>
  <c r="BSE83" i="30" s="1"/>
  <c r="BSG83" i="30" s="1"/>
  <c r="BSI83" i="30" s="1"/>
  <c r="BSK83" i="30" s="1"/>
  <c r="BSM83" i="30" s="1"/>
  <c r="BSO83" i="30" s="1"/>
  <c r="BSQ83" i="30" s="1"/>
  <c r="BSS83" i="30" s="1"/>
  <c r="BSU83" i="30" s="1"/>
  <c r="BSW83" i="30" s="1"/>
  <c r="BSY83" i="30" s="1"/>
  <c r="BTA83" i="30" s="1"/>
  <c r="BTC83" i="30" s="1"/>
  <c r="BTE83" i="30" s="1"/>
  <c r="BTG83" i="30" s="1"/>
  <c r="BTI83" i="30" s="1"/>
  <c r="BTK83" i="30" s="1"/>
  <c r="BTM83" i="30" s="1"/>
  <c r="BTO83" i="30" s="1"/>
  <c r="BTQ83" i="30" s="1"/>
  <c r="BTS83" i="30" s="1"/>
  <c r="BTU83" i="30" s="1"/>
  <c r="BTW83" i="30" s="1"/>
  <c r="BTY83" i="30" s="1"/>
  <c r="BUA83" i="30" s="1"/>
  <c r="BUC83" i="30" s="1"/>
  <c r="BUE83" i="30" s="1"/>
  <c r="BUG83" i="30" s="1"/>
  <c r="BUI83" i="30" s="1"/>
  <c r="BUK83" i="30" s="1"/>
  <c r="BUM83" i="30" s="1"/>
  <c r="BUO83" i="30" s="1"/>
  <c r="BUQ83" i="30" s="1"/>
  <c r="BUS83" i="30" s="1"/>
  <c r="BUU83" i="30" s="1"/>
  <c r="BUW83" i="30" s="1"/>
  <c r="BUY83" i="30" s="1"/>
  <c r="BVA83" i="30" s="1"/>
  <c r="BVC83" i="30" s="1"/>
  <c r="BVE83" i="30" s="1"/>
  <c r="BVG83" i="30" s="1"/>
  <c r="BVI83" i="30" s="1"/>
  <c r="BVK83" i="30" s="1"/>
  <c r="BVM83" i="30" s="1"/>
  <c r="BVO83" i="30" s="1"/>
  <c r="BVQ83" i="30" s="1"/>
  <c r="BVS83" i="30" s="1"/>
  <c r="BVU83" i="30" s="1"/>
  <c r="BVW83" i="30" s="1"/>
  <c r="BVY83" i="30" s="1"/>
  <c r="BWA83" i="30" s="1"/>
  <c r="BWC83" i="30" s="1"/>
  <c r="BWE83" i="30" s="1"/>
  <c r="BWG83" i="30" s="1"/>
  <c r="BWI83" i="30" s="1"/>
  <c r="BWK83" i="30" s="1"/>
  <c r="BWM83" i="30" s="1"/>
  <c r="BWO83" i="30" s="1"/>
  <c r="BWQ83" i="30" s="1"/>
  <c r="BWS83" i="30" s="1"/>
  <c r="BWU83" i="30" s="1"/>
  <c r="BWW83" i="30" s="1"/>
  <c r="BWY83" i="30" s="1"/>
  <c r="BXA83" i="30" s="1"/>
  <c r="BXC83" i="30" s="1"/>
  <c r="BXE83" i="30" s="1"/>
  <c r="BXG83" i="30" s="1"/>
  <c r="BXI83" i="30" s="1"/>
  <c r="BXK83" i="30" s="1"/>
  <c r="BXM83" i="30" s="1"/>
  <c r="BXO83" i="30" s="1"/>
  <c r="BXQ83" i="30" s="1"/>
  <c r="BXS83" i="30" s="1"/>
  <c r="BXU83" i="30" s="1"/>
  <c r="BXW83" i="30" s="1"/>
  <c r="BXY83" i="30" s="1"/>
  <c r="BYA83" i="30" s="1"/>
  <c r="BYC83" i="30" s="1"/>
  <c r="BYE83" i="30" s="1"/>
  <c r="BYG83" i="30" s="1"/>
  <c r="BYI83" i="30" s="1"/>
  <c r="BYK83" i="30" s="1"/>
  <c r="BYM83" i="30" s="1"/>
  <c r="BYO83" i="30" s="1"/>
  <c r="BYQ83" i="30" s="1"/>
  <c r="BYS83" i="30" s="1"/>
  <c r="BYU83" i="30" s="1"/>
  <c r="BYW83" i="30" s="1"/>
  <c r="BYY83" i="30" s="1"/>
  <c r="BZA83" i="30" s="1"/>
  <c r="BZC83" i="30" s="1"/>
  <c r="BZE83" i="30" s="1"/>
  <c r="BZG83" i="30" s="1"/>
  <c r="BZI83" i="30" s="1"/>
  <c r="BZK83" i="30" s="1"/>
  <c r="BZM83" i="30" s="1"/>
  <c r="BZO83" i="30" s="1"/>
  <c r="BZQ83" i="30" s="1"/>
  <c r="BZS83" i="30" s="1"/>
  <c r="BZU83" i="30" s="1"/>
  <c r="BZW83" i="30" s="1"/>
  <c r="BZY83" i="30" s="1"/>
  <c r="CAA83" i="30" s="1"/>
  <c r="CAC83" i="30" s="1"/>
  <c r="CAE83" i="30" s="1"/>
  <c r="CAG83" i="30" s="1"/>
  <c r="CAI83" i="30" s="1"/>
  <c r="CAK83" i="30" s="1"/>
  <c r="CAM83" i="30" s="1"/>
  <c r="CAO83" i="30" s="1"/>
  <c r="CAQ83" i="30" s="1"/>
  <c r="CAS83" i="30" s="1"/>
  <c r="CAU83" i="30" s="1"/>
  <c r="CAW83" i="30" s="1"/>
  <c r="CAY83" i="30" s="1"/>
  <c r="CBA83" i="30" s="1"/>
  <c r="CBC83" i="30" s="1"/>
  <c r="CBE83" i="30" s="1"/>
  <c r="CBG83" i="30" s="1"/>
  <c r="CBI83" i="30" s="1"/>
  <c r="CBK83" i="30" s="1"/>
  <c r="CBM83" i="30" s="1"/>
  <c r="CBO83" i="30" s="1"/>
  <c r="CBQ83" i="30" s="1"/>
  <c r="CBS83" i="30" s="1"/>
  <c r="CBU83" i="30" s="1"/>
  <c r="CBW83" i="30" s="1"/>
  <c r="CBY83" i="30" s="1"/>
  <c r="CCA83" i="30" s="1"/>
  <c r="CCC83" i="30" s="1"/>
  <c r="CCE83" i="30" s="1"/>
  <c r="CCG83" i="30" s="1"/>
  <c r="CCI83" i="30" s="1"/>
  <c r="CCK83" i="30" s="1"/>
  <c r="CCM83" i="30" s="1"/>
  <c r="CCO83" i="30" s="1"/>
  <c r="CCQ83" i="30" s="1"/>
  <c r="CCS83" i="30" s="1"/>
  <c r="CCU83" i="30" s="1"/>
  <c r="CCW83" i="30" s="1"/>
  <c r="CCY83" i="30" s="1"/>
  <c r="CDA83" i="30" s="1"/>
  <c r="CDC83" i="30" s="1"/>
  <c r="CDE83" i="30" s="1"/>
  <c r="CDG83" i="30" s="1"/>
  <c r="CDI83" i="30" s="1"/>
  <c r="CDK83" i="30" s="1"/>
  <c r="CDM83" i="30" s="1"/>
  <c r="CDO83" i="30" s="1"/>
  <c r="CDQ83" i="30" s="1"/>
  <c r="CDS83" i="30" s="1"/>
  <c r="CDU83" i="30" s="1"/>
  <c r="CDW83" i="30" s="1"/>
  <c r="CDY83" i="30" s="1"/>
  <c r="CEA83" i="30" s="1"/>
  <c r="CEC83" i="30" s="1"/>
  <c r="CEE83" i="30" s="1"/>
  <c r="CEG83" i="30" s="1"/>
  <c r="CEI83" i="30" s="1"/>
  <c r="CEK83" i="30" s="1"/>
  <c r="CEM83" i="30" s="1"/>
  <c r="CEO83" i="30" s="1"/>
  <c r="CEQ83" i="30" s="1"/>
  <c r="CES83" i="30" s="1"/>
  <c r="CEU83" i="30" s="1"/>
  <c r="CEW83" i="30" s="1"/>
  <c r="CEY83" i="30" s="1"/>
  <c r="CFA83" i="30" s="1"/>
  <c r="CFC83" i="30" s="1"/>
  <c r="CFE83" i="30" s="1"/>
  <c r="CFG83" i="30" s="1"/>
  <c r="CFI83" i="30" s="1"/>
  <c r="CFK83" i="30" s="1"/>
  <c r="CFM83" i="30" s="1"/>
  <c r="CFO83" i="30" s="1"/>
  <c r="CFQ83" i="30" s="1"/>
  <c r="CFS83" i="30" s="1"/>
  <c r="CFU83" i="30" s="1"/>
  <c r="CFW83" i="30" s="1"/>
  <c r="CFY83" i="30" s="1"/>
  <c r="CGA83" i="30" s="1"/>
  <c r="CGC83" i="30" s="1"/>
  <c r="CGE83" i="30" s="1"/>
  <c r="CGG83" i="30" s="1"/>
  <c r="CGI83" i="30" s="1"/>
  <c r="CGK83" i="30" s="1"/>
  <c r="CGM83" i="30" s="1"/>
  <c r="CGO83" i="30" s="1"/>
  <c r="CGQ83" i="30" s="1"/>
  <c r="CGS83" i="30" s="1"/>
  <c r="CGU83" i="30" s="1"/>
  <c r="CGW83" i="30" s="1"/>
  <c r="CGY83" i="30" s="1"/>
  <c r="CHA83" i="30" s="1"/>
  <c r="CHC83" i="30" s="1"/>
  <c r="CHE83" i="30" s="1"/>
  <c r="CHG83" i="30" s="1"/>
  <c r="CHI83" i="30" s="1"/>
  <c r="CHK83" i="30" s="1"/>
  <c r="CHM83" i="30" s="1"/>
  <c r="CHO83" i="30" s="1"/>
  <c r="CHQ83" i="30" s="1"/>
  <c r="CHS83" i="30" s="1"/>
  <c r="CHU83" i="30" s="1"/>
  <c r="CHW83" i="30" s="1"/>
  <c r="CHY83" i="30" s="1"/>
  <c r="CIA83" i="30" s="1"/>
  <c r="CIC83" i="30" s="1"/>
  <c r="CIE83" i="30" s="1"/>
  <c r="CIG83" i="30" s="1"/>
  <c r="CII83" i="30" s="1"/>
  <c r="CIK83" i="30" s="1"/>
  <c r="CIM83" i="30" s="1"/>
  <c r="CIO83" i="30" s="1"/>
  <c r="CIQ83" i="30" s="1"/>
  <c r="CIS83" i="30" s="1"/>
  <c r="CIU83" i="30" s="1"/>
  <c r="CIW83" i="30" s="1"/>
  <c r="CIY83" i="30" s="1"/>
  <c r="CJA83" i="30" s="1"/>
  <c r="CJC83" i="30" s="1"/>
  <c r="CJE83" i="30" s="1"/>
  <c r="CJG83" i="30" s="1"/>
  <c r="CJI83" i="30" s="1"/>
  <c r="CJK83" i="30" s="1"/>
  <c r="CJM83" i="30" s="1"/>
  <c r="CJO83" i="30" s="1"/>
  <c r="CJQ83" i="30" s="1"/>
  <c r="CJS83" i="30" s="1"/>
  <c r="CJU83" i="30" s="1"/>
  <c r="CJW83" i="30" s="1"/>
  <c r="CJY83" i="30" s="1"/>
  <c r="CKA83" i="30" s="1"/>
  <c r="CKC83" i="30" s="1"/>
  <c r="CKE83" i="30" s="1"/>
  <c r="CKG83" i="30" s="1"/>
  <c r="CKI83" i="30" s="1"/>
  <c r="CKK83" i="30" s="1"/>
  <c r="CKM83" i="30" s="1"/>
  <c r="CKO83" i="30" s="1"/>
  <c r="CKQ83" i="30" s="1"/>
  <c r="CKS83" i="30" s="1"/>
  <c r="CKU83" i="30" s="1"/>
  <c r="CKW83" i="30" s="1"/>
  <c r="CKY83" i="30" s="1"/>
  <c r="CLA83" i="30" s="1"/>
  <c r="CLC83" i="30" s="1"/>
  <c r="CLE83" i="30" s="1"/>
  <c r="CLG83" i="30" s="1"/>
  <c r="CLI83" i="30" s="1"/>
  <c r="CLK83" i="30" s="1"/>
  <c r="CLM83" i="30" s="1"/>
  <c r="CLO83" i="30" s="1"/>
  <c r="CLQ83" i="30" s="1"/>
  <c r="CLS83" i="30" s="1"/>
  <c r="CLU83" i="30" s="1"/>
  <c r="CLW83" i="30" s="1"/>
  <c r="CLY83" i="30" s="1"/>
  <c r="CMA83" i="30" s="1"/>
  <c r="CMC83" i="30" s="1"/>
  <c r="CME83" i="30" s="1"/>
  <c r="CMG83" i="30" s="1"/>
  <c r="CMI83" i="30" s="1"/>
  <c r="CMK83" i="30" s="1"/>
  <c r="CMM83" i="30" s="1"/>
  <c r="CMO83" i="30" s="1"/>
  <c r="CMQ83" i="30" s="1"/>
  <c r="CMS83" i="30" s="1"/>
  <c r="CMU83" i="30" s="1"/>
  <c r="CMW83" i="30" s="1"/>
  <c r="CMY83" i="30" s="1"/>
  <c r="CNA83" i="30" s="1"/>
  <c r="CNC83" i="30" s="1"/>
  <c r="CNE83" i="30" s="1"/>
  <c r="CNG83" i="30" s="1"/>
  <c r="CNI83" i="30" s="1"/>
  <c r="CNK83" i="30" s="1"/>
  <c r="CNM83" i="30" s="1"/>
  <c r="CNO83" i="30" s="1"/>
  <c r="CNQ83" i="30" s="1"/>
  <c r="CNS83" i="30" s="1"/>
  <c r="CNU83" i="30" s="1"/>
  <c r="CNW83" i="30" s="1"/>
  <c r="CNY83" i="30" s="1"/>
  <c r="COA83" i="30" s="1"/>
  <c r="COC83" i="30" s="1"/>
  <c r="COE83" i="30" s="1"/>
  <c r="COG83" i="30" s="1"/>
  <c r="COI83" i="30" s="1"/>
  <c r="COK83" i="30" s="1"/>
  <c r="COM83" i="30" s="1"/>
  <c r="COO83" i="30" s="1"/>
  <c r="COQ83" i="30" s="1"/>
  <c r="COS83" i="30" s="1"/>
  <c r="COU83" i="30" s="1"/>
  <c r="COW83" i="30" s="1"/>
  <c r="COY83" i="30" s="1"/>
  <c r="CPA83" i="30" s="1"/>
  <c r="CPC83" i="30" s="1"/>
  <c r="CPE83" i="30" s="1"/>
  <c r="CPG83" i="30" s="1"/>
  <c r="CPI83" i="30" s="1"/>
  <c r="CPK83" i="30" s="1"/>
  <c r="CPM83" i="30" s="1"/>
  <c r="CPO83" i="30" s="1"/>
  <c r="CPQ83" i="30" s="1"/>
  <c r="CPS83" i="30" s="1"/>
  <c r="CPU83" i="30" s="1"/>
  <c r="CPW83" i="30" s="1"/>
  <c r="CPY83" i="30" s="1"/>
  <c r="CQA83" i="30" s="1"/>
  <c r="CQC83" i="30" s="1"/>
  <c r="CQE83" i="30" s="1"/>
  <c r="CQG83" i="30" s="1"/>
  <c r="CQI83" i="30" s="1"/>
  <c r="CQK83" i="30" s="1"/>
  <c r="CQM83" i="30" s="1"/>
  <c r="CQO83" i="30" s="1"/>
  <c r="CQQ83" i="30" s="1"/>
  <c r="CQS83" i="30" s="1"/>
  <c r="CQU83" i="30" s="1"/>
  <c r="CQW83" i="30" s="1"/>
  <c r="CQY83" i="30" s="1"/>
  <c r="CRA83" i="30" s="1"/>
  <c r="CRC83" i="30" s="1"/>
  <c r="CRE83" i="30" s="1"/>
  <c r="CRG83" i="30" s="1"/>
  <c r="CRI83" i="30" s="1"/>
  <c r="CRK83" i="30" s="1"/>
  <c r="CRM83" i="30" s="1"/>
  <c r="CRO83" i="30" s="1"/>
  <c r="CRQ83" i="30" s="1"/>
  <c r="CRS83" i="30" s="1"/>
  <c r="CRU83" i="30" s="1"/>
  <c r="CRW83" i="30" s="1"/>
  <c r="CRY83" i="30" s="1"/>
  <c r="CSA83" i="30" s="1"/>
  <c r="CSC83" i="30" s="1"/>
  <c r="CSE83" i="30" s="1"/>
  <c r="CSG83" i="30" s="1"/>
  <c r="CSI83" i="30" s="1"/>
  <c r="CSK83" i="30" s="1"/>
  <c r="CSM83" i="30" s="1"/>
  <c r="CSO83" i="30" s="1"/>
  <c r="CSQ83" i="30" s="1"/>
  <c r="CSS83" i="30" s="1"/>
  <c r="CSU83" i="30" s="1"/>
  <c r="CSW83" i="30" s="1"/>
  <c r="CSY83" i="30" s="1"/>
  <c r="CTA83" i="30" s="1"/>
  <c r="CTC83" i="30" s="1"/>
  <c r="CTE83" i="30" s="1"/>
  <c r="CTG83" i="30" s="1"/>
  <c r="CTI83" i="30" s="1"/>
  <c r="CTK83" i="30" s="1"/>
  <c r="CTM83" i="30" s="1"/>
  <c r="CTO83" i="30" s="1"/>
  <c r="CTQ83" i="30" s="1"/>
  <c r="CTS83" i="30" s="1"/>
  <c r="CTU83" i="30" s="1"/>
  <c r="CTW83" i="30" s="1"/>
  <c r="CTY83" i="30" s="1"/>
  <c r="CUA83" i="30" s="1"/>
  <c r="CUC83" i="30" s="1"/>
  <c r="CUE83" i="30" s="1"/>
  <c r="CUG83" i="30" s="1"/>
  <c r="CUI83" i="30" s="1"/>
  <c r="CUK83" i="30" s="1"/>
  <c r="CUM83" i="30" s="1"/>
  <c r="CUO83" i="30" s="1"/>
  <c r="CUQ83" i="30" s="1"/>
  <c r="CUS83" i="30" s="1"/>
  <c r="CUU83" i="30" s="1"/>
  <c r="CUW83" i="30" s="1"/>
  <c r="CUY83" i="30" s="1"/>
  <c r="CVA83" i="30" s="1"/>
  <c r="CVC83" i="30" s="1"/>
  <c r="CVE83" i="30" s="1"/>
  <c r="CVG83" i="30" s="1"/>
  <c r="CVI83" i="30" s="1"/>
  <c r="CVK83" i="30" s="1"/>
  <c r="CVM83" i="30" s="1"/>
  <c r="CVO83" i="30" s="1"/>
  <c r="CVQ83" i="30" s="1"/>
  <c r="CVS83" i="30" s="1"/>
  <c r="CVU83" i="30" s="1"/>
  <c r="CVW83" i="30" s="1"/>
  <c r="CVY83" i="30" s="1"/>
  <c r="CWA83" i="30" s="1"/>
  <c r="CWC83" i="30" s="1"/>
  <c r="CWE83" i="30" s="1"/>
  <c r="CWG83" i="30" s="1"/>
  <c r="CWI83" i="30" s="1"/>
  <c r="CWK83" i="30" s="1"/>
  <c r="CWM83" i="30" s="1"/>
  <c r="CWO83" i="30" s="1"/>
  <c r="CWQ83" i="30" s="1"/>
  <c r="CWS83" i="30" s="1"/>
  <c r="CWU83" i="30" s="1"/>
  <c r="CWW83" i="30" s="1"/>
  <c r="CWY83" i="30" s="1"/>
  <c r="CXA83" i="30" s="1"/>
  <c r="CXC83" i="30" s="1"/>
  <c r="CXE83" i="30" s="1"/>
  <c r="CXG83" i="30" s="1"/>
  <c r="CXI83" i="30" s="1"/>
  <c r="CXK83" i="30" s="1"/>
  <c r="CXM83" i="30" s="1"/>
  <c r="CXO83" i="30" s="1"/>
  <c r="CXQ83" i="30" s="1"/>
  <c r="CXS83" i="30" s="1"/>
  <c r="CXU83" i="30" s="1"/>
  <c r="CXW83" i="30" s="1"/>
  <c r="CXY83" i="30" s="1"/>
  <c r="CYA83" i="30" s="1"/>
  <c r="CYC83" i="30" s="1"/>
  <c r="CYE83" i="30" s="1"/>
  <c r="CYG83" i="30" s="1"/>
  <c r="CYI83" i="30" s="1"/>
  <c r="CYK83" i="30" s="1"/>
  <c r="CYM83" i="30" s="1"/>
  <c r="CYO83" i="30" s="1"/>
  <c r="CYQ83" i="30" s="1"/>
  <c r="CYS83" i="30" s="1"/>
  <c r="CYU83" i="30" s="1"/>
  <c r="CYW83" i="30" s="1"/>
  <c r="CYY83" i="30" s="1"/>
  <c r="CZA83" i="30" s="1"/>
  <c r="CZC83" i="30" s="1"/>
  <c r="CZE83" i="30" s="1"/>
  <c r="CZG83" i="30" s="1"/>
  <c r="CZI83" i="30" s="1"/>
  <c r="CZK83" i="30" s="1"/>
  <c r="CZM83" i="30" s="1"/>
  <c r="CZO83" i="30" s="1"/>
  <c r="CZQ83" i="30" s="1"/>
  <c r="CZS83" i="30" s="1"/>
  <c r="CZU83" i="30" s="1"/>
  <c r="CZW83" i="30" s="1"/>
  <c r="CZY83" i="30" s="1"/>
  <c r="DAA83" i="30" s="1"/>
  <c r="DAC83" i="30" s="1"/>
  <c r="DAE83" i="30" s="1"/>
  <c r="DAG83" i="30" s="1"/>
  <c r="DAI83" i="30" s="1"/>
  <c r="DAK83" i="30" s="1"/>
  <c r="DAM83" i="30" s="1"/>
  <c r="DAO83" i="30" s="1"/>
  <c r="DAQ83" i="30" s="1"/>
  <c r="DAS83" i="30" s="1"/>
  <c r="DAU83" i="30" s="1"/>
  <c r="DAW83" i="30" s="1"/>
  <c r="DAY83" i="30" s="1"/>
  <c r="DBA83" i="30" s="1"/>
  <c r="DBC83" i="30" s="1"/>
  <c r="DBE83" i="30" s="1"/>
  <c r="DBG83" i="30" s="1"/>
  <c r="DBI83" i="30" s="1"/>
  <c r="DBK83" i="30" s="1"/>
  <c r="DBM83" i="30" s="1"/>
  <c r="DBO83" i="30" s="1"/>
  <c r="DBQ83" i="30" s="1"/>
  <c r="DBS83" i="30" s="1"/>
  <c r="DBU83" i="30" s="1"/>
  <c r="DBW83" i="30" s="1"/>
  <c r="DBY83" i="30" s="1"/>
  <c r="DCA83" i="30" s="1"/>
  <c r="DCC83" i="30" s="1"/>
  <c r="DCE83" i="30" s="1"/>
  <c r="DCG83" i="30" s="1"/>
  <c r="DCI83" i="30" s="1"/>
  <c r="DCK83" i="30" s="1"/>
  <c r="DCM83" i="30" s="1"/>
  <c r="DCO83" i="30" s="1"/>
  <c r="DCQ83" i="30" s="1"/>
  <c r="DCS83" i="30" s="1"/>
  <c r="DCU83" i="30" s="1"/>
  <c r="DCW83" i="30" s="1"/>
  <c r="DCY83" i="30" s="1"/>
  <c r="DDA83" i="30" s="1"/>
  <c r="DDC83" i="30" s="1"/>
  <c r="DDE83" i="30" s="1"/>
  <c r="DDG83" i="30" s="1"/>
  <c r="DDI83" i="30" s="1"/>
  <c r="DDK83" i="30" s="1"/>
  <c r="DDM83" i="30" s="1"/>
  <c r="DDO83" i="30" s="1"/>
  <c r="DDQ83" i="30" s="1"/>
  <c r="DDS83" i="30" s="1"/>
  <c r="DDU83" i="30" s="1"/>
  <c r="DDW83" i="30" s="1"/>
  <c r="DDY83" i="30" s="1"/>
  <c r="DEA83" i="30" s="1"/>
  <c r="DEC83" i="30" s="1"/>
  <c r="DEE83" i="30" s="1"/>
  <c r="DEG83" i="30" s="1"/>
  <c r="DEI83" i="30" s="1"/>
  <c r="DEK83" i="30" s="1"/>
  <c r="DEM83" i="30" s="1"/>
  <c r="DEO83" i="30" s="1"/>
  <c r="DEQ83" i="30" s="1"/>
  <c r="DES83" i="30" s="1"/>
  <c r="DEU83" i="30" s="1"/>
  <c r="DEW83" i="30" s="1"/>
  <c r="DEY83" i="30" s="1"/>
  <c r="DFA83" i="30" s="1"/>
  <c r="DFC83" i="30" s="1"/>
  <c r="DFE83" i="30" s="1"/>
  <c r="DFG83" i="30" s="1"/>
  <c r="DFI83" i="30" s="1"/>
  <c r="DFK83" i="30" s="1"/>
  <c r="DFM83" i="30" s="1"/>
  <c r="DFO83" i="30" s="1"/>
  <c r="DFQ83" i="30" s="1"/>
  <c r="DFS83" i="30" s="1"/>
  <c r="DFU83" i="30" s="1"/>
  <c r="DFW83" i="30" s="1"/>
  <c r="DFY83" i="30" s="1"/>
  <c r="DGA83" i="30" s="1"/>
  <c r="DGC83" i="30" s="1"/>
  <c r="DGE83" i="30" s="1"/>
  <c r="DGG83" i="30" s="1"/>
  <c r="DGI83" i="30" s="1"/>
  <c r="DGK83" i="30" s="1"/>
  <c r="DGM83" i="30" s="1"/>
  <c r="DGO83" i="30" s="1"/>
  <c r="DGQ83" i="30" s="1"/>
  <c r="DGS83" i="30" s="1"/>
  <c r="DGU83" i="30" s="1"/>
  <c r="DGW83" i="30" s="1"/>
  <c r="DGY83" i="30" s="1"/>
  <c r="DHA83" i="30" s="1"/>
  <c r="DHC83" i="30" s="1"/>
  <c r="DHE83" i="30" s="1"/>
  <c r="DHG83" i="30" s="1"/>
  <c r="DHI83" i="30" s="1"/>
  <c r="DHK83" i="30" s="1"/>
  <c r="DHM83" i="30" s="1"/>
  <c r="DHO83" i="30" s="1"/>
  <c r="DHQ83" i="30" s="1"/>
  <c r="DHS83" i="30" s="1"/>
  <c r="DHU83" i="30" s="1"/>
  <c r="DHW83" i="30" s="1"/>
  <c r="DHY83" i="30" s="1"/>
  <c r="DIA83" i="30" s="1"/>
  <c r="DIC83" i="30" s="1"/>
  <c r="DIE83" i="30" s="1"/>
  <c r="DIG83" i="30" s="1"/>
  <c r="DII83" i="30" s="1"/>
  <c r="DIK83" i="30" s="1"/>
  <c r="DIM83" i="30" s="1"/>
  <c r="DIO83" i="30" s="1"/>
  <c r="DIQ83" i="30" s="1"/>
  <c r="DIS83" i="30" s="1"/>
  <c r="DIU83" i="30" s="1"/>
  <c r="DIW83" i="30" s="1"/>
  <c r="DIY83" i="30" s="1"/>
  <c r="DJA83" i="30" s="1"/>
  <c r="DJC83" i="30" s="1"/>
  <c r="DJE83" i="30" s="1"/>
  <c r="DJG83" i="30" s="1"/>
  <c r="DJI83" i="30" s="1"/>
  <c r="DJK83" i="30" s="1"/>
  <c r="DJM83" i="30" s="1"/>
  <c r="DJO83" i="30" s="1"/>
  <c r="DJQ83" i="30" s="1"/>
  <c r="DJS83" i="30" s="1"/>
  <c r="DJU83" i="30" s="1"/>
  <c r="DJW83" i="30" s="1"/>
  <c r="DJY83" i="30" s="1"/>
  <c r="DKA83" i="30" s="1"/>
  <c r="DKC83" i="30" s="1"/>
  <c r="DKE83" i="30" s="1"/>
  <c r="DKG83" i="30" s="1"/>
  <c r="DKI83" i="30" s="1"/>
  <c r="DKK83" i="30" s="1"/>
  <c r="DKM83" i="30" s="1"/>
  <c r="DKO83" i="30" s="1"/>
  <c r="DKQ83" i="30" s="1"/>
  <c r="DKS83" i="30" s="1"/>
  <c r="DKU83" i="30" s="1"/>
  <c r="DKW83" i="30" s="1"/>
  <c r="DKY83" i="30" s="1"/>
  <c r="DLA83" i="30" s="1"/>
  <c r="DLC83" i="30" s="1"/>
  <c r="DLE83" i="30" s="1"/>
  <c r="DLG83" i="30" s="1"/>
  <c r="DLI83" i="30" s="1"/>
  <c r="DLK83" i="30" s="1"/>
  <c r="DLM83" i="30" s="1"/>
  <c r="DLO83" i="30" s="1"/>
  <c r="DLQ83" i="30" s="1"/>
  <c r="DLS83" i="30" s="1"/>
  <c r="DLU83" i="30" s="1"/>
  <c r="DLW83" i="30" s="1"/>
  <c r="DLY83" i="30" s="1"/>
  <c r="DMA83" i="30" s="1"/>
  <c r="DMC83" i="30" s="1"/>
  <c r="DME83" i="30" s="1"/>
  <c r="DMG83" i="30" s="1"/>
  <c r="DMI83" i="30" s="1"/>
  <c r="DMK83" i="30" s="1"/>
  <c r="DMM83" i="30" s="1"/>
  <c r="DMO83" i="30" s="1"/>
  <c r="DMQ83" i="30" s="1"/>
  <c r="DMS83" i="30" s="1"/>
  <c r="DMU83" i="30" s="1"/>
  <c r="DMW83" i="30" s="1"/>
  <c r="DMY83" i="30" s="1"/>
  <c r="DNA83" i="30" s="1"/>
  <c r="DNC83" i="30" s="1"/>
  <c r="DNE83" i="30" s="1"/>
  <c r="DNG83" i="30" s="1"/>
  <c r="DNI83" i="30" s="1"/>
  <c r="DNK83" i="30" s="1"/>
  <c r="DNM83" i="30" s="1"/>
  <c r="DNO83" i="30" s="1"/>
  <c r="DNQ83" i="30" s="1"/>
  <c r="DNS83" i="30" s="1"/>
  <c r="DNU83" i="30" s="1"/>
  <c r="DNW83" i="30" s="1"/>
  <c r="DNY83" i="30" s="1"/>
  <c r="DOA83" i="30" s="1"/>
  <c r="DOC83" i="30" s="1"/>
  <c r="DOE83" i="30" s="1"/>
  <c r="DOG83" i="30" s="1"/>
  <c r="DOI83" i="30" s="1"/>
  <c r="DOK83" i="30" s="1"/>
  <c r="DOM83" i="30" s="1"/>
  <c r="DOO83" i="30" s="1"/>
  <c r="DOQ83" i="30" s="1"/>
  <c r="DOS83" i="30" s="1"/>
  <c r="DOU83" i="30" s="1"/>
  <c r="DOW83" i="30" s="1"/>
  <c r="DOY83" i="30" s="1"/>
  <c r="DPA83" i="30" s="1"/>
  <c r="DPC83" i="30" s="1"/>
  <c r="DPE83" i="30" s="1"/>
  <c r="DPG83" i="30" s="1"/>
  <c r="DPI83" i="30" s="1"/>
  <c r="DPK83" i="30" s="1"/>
  <c r="DPM83" i="30" s="1"/>
  <c r="DPO83" i="30" s="1"/>
  <c r="DPQ83" i="30" s="1"/>
  <c r="DPS83" i="30" s="1"/>
  <c r="DPU83" i="30" s="1"/>
  <c r="DPW83" i="30" s="1"/>
  <c r="DPY83" i="30" s="1"/>
  <c r="DQA83" i="30" s="1"/>
  <c r="DQC83" i="30" s="1"/>
  <c r="DQE83" i="30" s="1"/>
  <c r="DQG83" i="30" s="1"/>
  <c r="DQI83" i="30" s="1"/>
  <c r="DQK83" i="30" s="1"/>
  <c r="DQM83" i="30" s="1"/>
  <c r="DQO83" i="30" s="1"/>
  <c r="DQQ83" i="30" s="1"/>
  <c r="DQS83" i="30" s="1"/>
  <c r="DQU83" i="30" s="1"/>
  <c r="DQW83" i="30" s="1"/>
  <c r="DQY83" i="30" s="1"/>
  <c r="DRA83" i="30" s="1"/>
  <c r="DRC83" i="30" s="1"/>
  <c r="DRE83" i="30" s="1"/>
  <c r="DRG83" i="30" s="1"/>
  <c r="DRI83" i="30" s="1"/>
  <c r="DRK83" i="30" s="1"/>
  <c r="DRM83" i="30" s="1"/>
  <c r="DRO83" i="30" s="1"/>
  <c r="DRQ83" i="30" s="1"/>
  <c r="DRS83" i="30" s="1"/>
  <c r="DRU83" i="30" s="1"/>
  <c r="DRW83" i="30" s="1"/>
  <c r="DRY83" i="30" s="1"/>
  <c r="DSA83" i="30" s="1"/>
  <c r="DSC83" i="30" s="1"/>
  <c r="DSE83" i="30" s="1"/>
  <c r="DSG83" i="30" s="1"/>
  <c r="DSI83" i="30" s="1"/>
  <c r="DSK83" i="30" s="1"/>
  <c r="DSM83" i="30" s="1"/>
  <c r="DSO83" i="30" s="1"/>
  <c r="DSQ83" i="30" s="1"/>
  <c r="DSS83" i="30" s="1"/>
  <c r="DSU83" i="30" s="1"/>
  <c r="DSW83" i="30" s="1"/>
  <c r="DSY83" i="30" s="1"/>
  <c r="DTA83" i="30" s="1"/>
  <c r="DTC83" i="30" s="1"/>
  <c r="DTE83" i="30" s="1"/>
  <c r="DTG83" i="30" s="1"/>
  <c r="DTI83" i="30" s="1"/>
  <c r="DTK83" i="30" s="1"/>
  <c r="DTM83" i="30" s="1"/>
  <c r="DTO83" i="30" s="1"/>
  <c r="DTQ83" i="30" s="1"/>
  <c r="DTS83" i="30" s="1"/>
  <c r="DTU83" i="30" s="1"/>
  <c r="DTW83" i="30" s="1"/>
  <c r="DTY83" i="30" s="1"/>
  <c r="DUA83" i="30" s="1"/>
  <c r="DUC83" i="30" s="1"/>
  <c r="DUE83" i="30" s="1"/>
  <c r="DUG83" i="30" s="1"/>
  <c r="DUI83" i="30" s="1"/>
  <c r="DUK83" i="30" s="1"/>
  <c r="DUM83" i="30" s="1"/>
  <c r="DUO83" i="30" s="1"/>
  <c r="DUQ83" i="30" s="1"/>
  <c r="DUS83" i="30" s="1"/>
  <c r="DUU83" i="30" s="1"/>
  <c r="DUW83" i="30" s="1"/>
  <c r="DUY83" i="30" s="1"/>
  <c r="DVA83" i="30" s="1"/>
  <c r="DVC83" i="30" s="1"/>
  <c r="DVE83" i="30" s="1"/>
  <c r="DVG83" i="30" s="1"/>
  <c r="DVI83" i="30" s="1"/>
  <c r="DVK83" i="30" s="1"/>
  <c r="DVM83" i="30" s="1"/>
  <c r="DVO83" i="30" s="1"/>
  <c r="DVQ83" i="30" s="1"/>
  <c r="DVS83" i="30" s="1"/>
  <c r="DVU83" i="30" s="1"/>
  <c r="DVW83" i="30" s="1"/>
  <c r="DVY83" i="30" s="1"/>
  <c r="DWA83" i="30" s="1"/>
  <c r="DWC83" i="30" s="1"/>
  <c r="DWE83" i="30" s="1"/>
  <c r="DWG83" i="30" s="1"/>
  <c r="DWI83" i="30" s="1"/>
  <c r="DWK83" i="30" s="1"/>
  <c r="DWM83" i="30" s="1"/>
  <c r="DWO83" i="30" s="1"/>
  <c r="DWQ83" i="30" s="1"/>
  <c r="DWS83" i="30" s="1"/>
  <c r="DWU83" i="30" s="1"/>
  <c r="DWW83" i="30" s="1"/>
  <c r="DWY83" i="30" s="1"/>
  <c r="DXA83" i="30" s="1"/>
  <c r="DXC83" i="30" s="1"/>
  <c r="DXE83" i="30" s="1"/>
  <c r="DXG83" i="30" s="1"/>
  <c r="DXI83" i="30" s="1"/>
  <c r="DXK83" i="30" s="1"/>
  <c r="DXM83" i="30" s="1"/>
  <c r="DXO83" i="30" s="1"/>
  <c r="DXQ83" i="30" s="1"/>
  <c r="DXS83" i="30" s="1"/>
  <c r="DXU83" i="30" s="1"/>
  <c r="DXW83" i="30" s="1"/>
  <c r="DXY83" i="30" s="1"/>
  <c r="DYA83" i="30" s="1"/>
  <c r="DYC83" i="30" s="1"/>
  <c r="DYE83" i="30" s="1"/>
  <c r="DYG83" i="30" s="1"/>
  <c r="DYI83" i="30" s="1"/>
  <c r="DYK83" i="30" s="1"/>
  <c r="DYM83" i="30" s="1"/>
  <c r="DYO83" i="30" s="1"/>
  <c r="DYQ83" i="30" s="1"/>
  <c r="DYS83" i="30" s="1"/>
  <c r="DYU83" i="30" s="1"/>
  <c r="DYW83" i="30" s="1"/>
  <c r="DYY83" i="30" s="1"/>
  <c r="DZA83" i="30" s="1"/>
  <c r="DZC83" i="30" s="1"/>
  <c r="DZE83" i="30" s="1"/>
  <c r="DZG83" i="30" s="1"/>
  <c r="DZI83" i="30" s="1"/>
  <c r="DZK83" i="30" s="1"/>
  <c r="DZM83" i="30" s="1"/>
  <c r="DZO83" i="30" s="1"/>
  <c r="DZQ83" i="30" s="1"/>
  <c r="DZS83" i="30" s="1"/>
  <c r="DZU83" i="30" s="1"/>
  <c r="DZW83" i="30" s="1"/>
  <c r="DZY83" i="30" s="1"/>
  <c r="EAA83" i="30" s="1"/>
  <c r="EAC83" i="30" s="1"/>
  <c r="EAE83" i="30" s="1"/>
  <c r="EAG83" i="30" s="1"/>
  <c r="EAI83" i="30" s="1"/>
  <c r="EAK83" i="30" s="1"/>
  <c r="EAM83" i="30" s="1"/>
  <c r="EAO83" i="30" s="1"/>
  <c r="EAQ83" i="30" s="1"/>
  <c r="EAS83" i="30" s="1"/>
  <c r="EAU83" i="30" s="1"/>
  <c r="EAW83" i="30" s="1"/>
  <c r="EAY83" i="30" s="1"/>
  <c r="EBA83" i="30" s="1"/>
  <c r="EBC83" i="30" s="1"/>
  <c r="EBE83" i="30" s="1"/>
  <c r="EBG83" i="30" s="1"/>
  <c r="EBI83" i="30" s="1"/>
  <c r="EBK83" i="30" s="1"/>
  <c r="EBM83" i="30" s="1"/>
  <c r="EBO83" i="30" s="1"/>
  <c r="EBQ83" i="30" s="1"/>
  <c r="EBS83" i="30" s="1"/>
  <c r="EBU83" i="30" s="1"/>
  <c r="EBW83" i="30" s="1"/>
  <c r="EBY83" i="30" s="1"/>
  <c r="ECA83" i="30" s="1"/>
  <c r="ECC83" i="30" s="1"/>
  <c r="ECE83" i="30" s="1"/>
  <c r="ECG83" i="30" s="1"/>
  <c r="ECI83" i="30" s="1"/>
  <c r="ECK83" i="30" s="1"/>
  <c r="ECM83" i="30" s="1"/>
  <c r="ECO83" i="30" s="1"/>
  <c r="ECQ83" i="30" s="1"/>
  <c r="ECS83" i="30" s="1"/>
  <c r="ECU83" i="30" s="1"/>
  <c r="ECW83" i="30" s="1"/>
  <c r="ECY83" i="30" s="1"/>
  <c r="EDA83" i="30" s="1"/>
  <c r="EDC83" i="30" s="1"/>
  <c r="EDE83" i="30" s="1"/>
  <c r="EDG83" i="30" s="1"/>
  <c r="EDI83" i="30" s="1"/>
  <c r="EDK83" i="30" s="1"/>
  <c r="EDM83" i="30" s="1"/>
  <c r="EDO83" i="30" s="1"/>
  <c r="EDQ83" i="30" s="1"/>
  <c r="EDS83" i="30" s="1"/>
  <c r="EDU83" i="30" s="1"/>
  <c r="EDW83" i="30" s="1"/>
  <c r="EDY83" i="30" s="1"/>
  <c r="EEA83" i="30" s="1"/>
  <c r="EEC83" i="30" s="1"/>
  <c r="EEE83" i="30" s="1"/>
  <c r="EEG83" i="30" s="1"/>
  <c r="EEI83" i="30" s="1"/>
  <c r="EEK83" i="30" s="1"/>
  <c r="EEM83" i="30" s="1"/>
  <c r="EEO83" i="30" s="1"/>
  <c r="EEQ83" i="30" s="1"/>
  <c r="EES83" i="30" s="1"/>
  <c r="EEU83" i="30" s="1"/>
  <c r="EEW83" i="30" s="1"/>
  <c r="EEY83" i="30" s="1"/>
  <c r="EFA83" i="30" s="1"/>
  <c r="EFC83" i="30" s="1"/>
  <c r="EFE83" i="30" s="1"/>
  <c r="EFG83" i="30" s="1"/>
  <c r="EFI83" i="30" s="1"/>
  <c r="EFK83" i="30" s="1"/>
  <c r="EFM83" i="30" s="1"/>
  <c r="EFO83" i="30" s="1"/>
  <c r="EFQ83" i="30" s="1"/>
  <c r="EFS83" i="30" s="1"/>
  <c r="EFU83" i="30" s="1"/>
  <c r="EFW83" i="30" s="1"/>
  <c r="EFY83" i="30" s="1"/>
  <c r="EGA83" i="30" s="1"/>
  <c r="EGC83" i="30" s="1"/>
  <c r="EGE83" i="30" s="1"/>
  <c r="EGG83" i="30" s="1"/>
  <c r="EGI83" i="30" s="1"/>
  <c r="EGK83" i="30" s="1"/>
  <c r="EGM83" i="30" s="1"/>
  <c r="EGO83" i="30" s="1"/>
  <c r="EGQ83" i="30" s="1"/>
  <c r="EGS83" i="30" s="1"/>
  <c r="EGU83" i="30" s="1"/>
  <c r="EGW83" i="30" s="1"/>
  <c r="EGY83" i="30" s="1"/>
  <c r="EHA83" i="30" s="1"/>
  <c r="EHC83" i="30" s="1"/>
  <c r="EHE83" i="30" s="1"/>
  <c r="EHG83" i="30" s="1"/>
  <c r="EHI83" i="30" s="1"/>
  <c r="EHK83" i="30" s="1"/>
  <c r="EHM83" i="30" s="1"/>
  <c r="EHO83" i="30" s="1"/>
  <c r="EHQ83" i="30" s="1"/>
  <c r="EHS83" i="30" s="1"/>
  <c r="EHU83" i="30" s="1"/>
  <c r="EHW83" i="30" s="1"/>
  <c r="EHY83" i="30" s="1"/>
  <c r="EIA83" i="30" s="1"/>
  <c r="EIC83" i="30" s="1"/>
  <c r="EIE83" i="30" s="1"/>
  <c r="EIG83" i="30" s="1"/>
  <c r="EII83" i="30" s="1"/>
  <c r="EIK83" i="30" s="1"/>
  <c r="EIM83" i="30" s="1"/>
  <c r="EIO83" i="30" s="1"/>
  <c r="EIQ83" i="30" s="1"/>
  <c r="EIS83" i="30" s="1"/>
  <c r="EIU83" i="30" s="1"/>
  <c r="EIW83" i="30" s="1"/>
  <c r="EIY83" i="30" s="1"/>
  <c r="EJA83" i="30" s="1"/>
  <c r="EJC83" i="30" s="1"/>
  <c r="EJE83" i="30" s="1"/>
  <c r="EJG83" i="30" s="1"/>
  <c r="EJI83" i="30" s="1"/>
  <c r="EJK83" i="30" s="1"/>
  <c r="EJM83" i="30" s="1"/>
  <c r="EJO83" i="30" s="1"/>
  <c r="EJQ83" i="30" s="1"/>
  <c r="EJS83" i="30" s="1"/>
  <c r="EJU83" i="30" s="1"/>
  <c r="EJW83" i="30" s="1"/>
  <c r="EJY83" i="30" s="1"/>
  <c r="EKA83" i="30" s="1"/>
  <c r="EKC83" i="30" s="1"/>
  <c r="EKE83" i="30" s="1"/>
  <c r="EKG83" i="30" s="1"/>
  <c r="EKI83" i="30" s="1"/>
  <c r="EKK83" i="30" s="1"/>
  <c r="EKM83" i="30" s="1"/>
  <c r="EKO83" i="30" s="1"/>
  <c r="EKQ83" i="30" s="1"/>
  <c r="EKS83" i="30" s="1"/>
  <c r="EKU83" i="30" s="1"/>
  <c r="EKW83" i="30" s="1"/>
  <c r="EKY83" i="30" s="1"/>
  <c r="ELA83" i="30" s="1"/>
  <c r="ELC83" i="30" s="1"/>
  <c r="ELE83" i="30" s="1"/>
  <c r="ELG83" i="30" s="1"/>
  <c r="ELI83" i="30" s="1"/>
  <c r="ELK83" i="30" s="1"/>
  <c r="ELM83" i="30" s="1"/>
  <c r="ELO83" i="30" s="1"/>
  <c r="ELQ83" i="30" s="1"/>
  <c r="ELS83" i="30" s="1"/>
  <c r="ELU83" i="30" s="1"/>
  <c r="ELW83" i="30" s="1"/>
  <c r="ELY83" i="30" s="1"/>
  <c r="EMA83" i="30" s="1"/>
  <c r="EMC83" i="30" s="1"/>
  <c r="EME83" i="30" s="1"/>
  <c r="EMG83" i="30" s="1"/>
  <c r="EMI83" i="30" s="1"/>
  <c r="EMK83" i="30" s="1"/>
  <c r="EMM83" i="30" s="1"/>
  <c r="EMO83" i="30" s="1"/>
  <c r="EMQ83" i="30" s="1"/>
  <c r="EMS83" i="30" s="1"/>
  <c r="EMU83" i="30" s="1"/>
  <c r="EMW83" i="30" s="1"/>
  <c r="EMY83" i="30" s="1"/>
  <c r="ENA83" i="30" s="1"/>
  <c r="ENC83" i="30" s="1"/>
  <c r="ENE83" i="30" s="1"/>
  <c r="ENG83" i="30" s="1"/>
  <c r="ENI83" i="30" s="1"/>
  <c r="ENK83" i="30" s="1"/>
  <c r="ENM83" i="30" s="1"/>
  <c r="ENO83" i="30" s="1"/>
  <c r="ENQ83" i="30" s="1"/>
  <c r="ENS83" i="30" s="1"/>
  <c r="ENU83" i="30" s="1"/>
  <c r="ENW83" i="30" s="1"/>
  <c r="ENY83" i="30" s="1"/>
  <c r="EOA83" i="30" s="1"/>
  <c r="EOC83" i="30" s="1"/>
  <c r="EOE83" i="30" s="1"/>
  <c r="EOG83" i="30" s="1"/>
  <c r="EOI83" i="30" s="1"/>
  <c r="EOK83" i="30" s="1"/>
  <c r="EOM83" i="30" s="1"/>
  <c r="EOO83" i="30" s="1"/>
  <c r="EOQ83" i="30" s="1"/>
  <c r="EOS83" i="30" s="1"/>
  <c r="EOU83" i="30" s="1"/>
  <c r="EOW83" i="30" s="1"/>
  <c r="EOY83" i="30" s="1"/>
  <c r="EPA83" i="30" s="1"/>
  <c r="EPC83" i="30" s="1"/>
  <c r="EPE83" i="30" s="1"/>
  <c r="EPG83" i="30" s="1"/>
  <c r="EPI83" i="30" s="1"/>
  <c r="EPK83" i="30" s="1"/>
  <c r="EPM83" i="30" s="1"/>
  <c r="EPO83" i="30" s="1"/>
  <c r="EPQ83" i="30" s="1"/>
  <c r="EPS83" i="30" s="1"/>
  <c r="EPU83" i="30" s="1"/>
  <c r="EPW83" i="30" s="1"/>
  <c r="EPY83" i="30" s="1"/>
  <c r="EQA83" i="30" s="1"/>
  <c r="EQC83" i="30" s="1"/>
  <c r="EQE83" i="30" s="1"/>
  <c r="EQG83" i="30" s="1"/>
  <c r="EQI83" i="30" s="1"/>
  <c r="EQK83" i="30" s="1"/>
  <c r="EQM83" i="30" s="1"/>
  <c r="EQO83" i="30" s="1"/>
  <c r="EQQ83" i="30" s="1"/>
  <c r="EQS83" i="30" s="1"/>
  <c r="EQU83" i="30" s="1"/>
  <c r="EQW83" i="30" s="1"/>
  <c r="EQY83" i="30" s="1"/>
  <c r="ERA83" i="30" s="1"/>
  <c r="ERC83" i="30" s="1"/>
  <c r="ERE83" i="30" s="1"/>
  <c r="ERG83" i="30" s="1"/>
  <c r="ERI83" i="30" s="1"/>
  <c r="ERK83" i="30" s="1"/>
  <c r="ERM83" i="30" s="1"/>
  <c r="ERO83" i="30" s="1"/>
  <c r="ERQ83" i="30" s="1"/>
  <c r="ERS83" i="30" s="1"/>
  <c r="ERU83" i="30" s="1"/>
  <c r="ERW83" i="30" s="1"/>
  <c r="ERY83" i="30" s="1"/>
  <c r="ESA83" i="30" s="1"/>
  <c r="ESC83" i="30" s="1"/>
  <c r="ESE83" i="30" s="1"/>
  <c r="ESG83" i="30" s="1"/>
  <c r="ESI83" i="30" s="1"/>
  <c r="ESK83" i="30" s="1"/>
  <c r="ESM83" i="30" s="1"/>
  <c r="ESO83" i="30" s="1"/>
  <c r="ESQ83" i="30" s="1"/>
  <c r="ESS83" i="30" s="1"/>
  <c r="ESU83" i="30" s="1"/>
  <c r="ESW83" i="30" s="1"/>
  <c r="ESY83" i="30" s="1"/>
  <c r="ETA83" i="30" s="1"/>
  <c r="ETC83" i="30" s="1"/>
  <c r="ETE83" i="30" s="1"/>
  <c r="ETG83" i="30" s="1"/>
  <c r="ETI83" i="30" s="1"/>
  <c r="ETK83" i="30" s="1"/>
  <c r="ETM83" i="30" s="1"/>
  <c r="ETO83" i="30" s="1"/>
  <c r="ETQ83" i="30" s="1"/>
  <c r="ETS83" i="30" s="1"/>
  <c r="ETU83" i="30" s="1"/>
  <c r="ETW83" i="30" s="1"/>
  <c r="ETY83" i="30" s="1"/>
  <c r="EUA83" i="30" s="1"/>
  <c r="EUC83" i="30" s="1"/>
  <c r="EUE83" i="30" s="1"/>
  <c r="EUG83" i="30" s="1"/>
  <c r="EUI83" i="30" s="1"/>
  <c r="EUK83" i="30" s="1"/>
  <c r="EUM83" i="30" s="1"/>
  <c r="EUO83" i="30" s="1"/>
  <c r="EUQ83" i="30" s="1"/>
  <c r="EUS83" i="30" s="1"/>
  <c r="EUU83" i="30" s="1"/>
  <c r="EUW83" i="30" s="1"/>
  <c r="EUY83" i="30" s="1"/>
  <c r="EVA83" i="30" s="1"/>
  <c r="EVC83" i="30" s="1"/>
  <c r="EVE83" i="30" s="1"/>
  <c r="EVG83" i="30" s="1"/>
  <c r="EVI83" i="30" s="1"/>
  <c r="EVK83" i="30" s="1"/>
  <c r="EVM83" i="30" s="1"/>
  <c r="EVO83" i="30" s="1"/>
  <c r="EVQ83" i="30" s="1"/>
  <c r="EVS83" i="30" s="1"/>
  <c r="EVU83" i="30" s="1"/>
  <c r="EVW83" i="30" s="1"/>
  <c r="EVY83" i="30" s="1"/>
  <c r="EWA83" i="30" s="1"/>
  <c r="EWC83" i="30" s="1"/>
  <c r="EWE83" i="30" s="1"/>
  <c r="EWG83" i="30" s="1"/>
  <c r="EWI83" i="30" s="1"/>
  <c r="EWK83" i="30" s="1"/>
  <c r="EWM83" i="30" s="1"/>
  <c r="EWO83" i="30" s="1"/>
  <c r="EWQ83" i="30" s="1"/>
  <c r="EWS83" i="30" s="1"/>
  <c r="EWU83" i="30" s="1"/>
  <c r="EWW83" i="30" s="1"/>
  <c r="EWY83" i="30" s="1"/>
  <c r="EXA83" i="30" s="1"/>
  <c r="EXC83" i="30" s="1"/>
  <c r="EXE83" i="30" s="1"/>
  <c r="EXG83" i="30" s="1"/>
  <c r="EXI83" i="30" s="1"/>
  <c r="EXK83" i="30" s="1"/>
  <c r="EXM83" i="30" s="1"/>
  <c r="EXO83" i="30" s="1"/>
  <c r="EXQ83" i="30" s="1"/>
  <c r="EXS83" i="30" s="1"/>
  <c r="EXU83" i="30" s="1"/>
  <c r="EXW83" i="30" s="1"/>
  <c r="EXY83" i="30" s="1"/>
  <c r="EYA83" i="30" s="1"/>
  <c r="EYC83" i="30" s="1"/>
  <c r="EYE83" i="30" s="1"/>
  <c r="EYG83" i="30" s="1"/>
  <c r="EYI83" i="30" s="1"/>
  <c r="EYK83" i="30" s="1"/>
  <c r="EYM83" i="30" s="1"/>
  <c r="EYO83" i="30" s="1"/>
  <c r="EYQ83" i="30" s="1"/>
  <c r="EYS83" i="30" s="1"/>
  <c r="EYU83" i="30" s="1"/>
  <c r="EYW83" i="30" s="1"/>
  <c r="EYY83" i="30" s="1"/>
  <c r="EZA83" i="30" s="1"/>
  <c r="EZC83" i="30" s="1"/>
  <c r="EZE83" i="30" s="1"/>
  <c r="EZG83" i="30" s="1"/>
  <c r="EZI83" i="30" s="1"/>
  <c r="EZK83" i="30" s="1"/>
  <c r="EZM83" i="30" s="1"/>
  <c r="EZO83" i="30" s="1"/>
  <c r="EZQ83" i="30" s="1"/>
  <c r="EZS83" i="30" s="1"/>
  <c r="EZU83" i="30" s="1"/>
  <c r="EZW83" i="30" s="1"/>
  <c r="EZY83" i="30" s="1"/>
  <c r="FAA83" i="30" s="1"/>
  <c r="FAC83" i="30" s="1"/>
  <c r="FAE83" i="30" s="1"/>
  <c r="FAG83" i="30" s="1"/>
  <c r="FAI83" i="30" s="1"/>
  <c r="FAK83" i="30" s="1"/>
  <c r="FAM83" i="30" s="1"/>
  <c r="FAO83" i="30" s="1"/>
  <c r="FAQ83" i="30" s="1"/>
  <c r="FAS83" i="30" s="1"/>
  <c r="FAU83" i="30" s="1"/>
  <c r="FAW83" i="30" s="1"/>
  <c r="FAY83" i="30" s="1"/>
  <c r="FBA83" i="30" s="1"/>
  <c r="FBC83" i="30" s="1"/>
  <c r="FBE83" i="30" s="1"/>
  <c r="FBG83" i="30" s="1"/>
  <c r="FBI83" i="30" s="1"/>
  <c r="FBK83" i="30" s="1"/>
  <c r="FBM83" i="30" s="1"/>
  <c r="FBO83" i="30" s="1"/>
  <c r="FBQ83" i="30" s="1"/>
  <c r="FBS83" i="30" s="1"/>
  <c r="FBU83" i="30" s="1"/>
  <c r="FBW83" i="30" s="1"/>
  <c r="FBY83" i="30" s="1"/>
  <c r="FCA83" i="30" s="1"/>
  <c r="FCC83" i="30" s="1"/>
  <c r="FCE83" i="30" s="1"/>
  <c r="FCG83" i="30" s="1"/>
  <c r="FCI83" i="30" s="1"/>
  <c r="FCK83" i="30" s="1"/>
  <c r="FCM83" i="30" s="1"/>
  <c r="FCO83" i="30" s="1"/>
  <c r="FCQ83" i="30" s="1"/>
  <c r="FCS83" i="30" s="1"/>
  <c r="FCU83" i="30" s="1"/>
  <c r="FCW83" i="30" s="1"/>
  <c r="FCY83" i="30" s="1"/>
  <c r="FDA83" i="30" s="1"/>
  <c r="FDC83" i="30" s="1"/>
  <c r="FDE83" i="30" s="1"/>
  <c r="FDG83" i="30" s="1"/>
  <c r="FDI83" i="30" s="1"/>
  <c r="FDK83" i="30" s="1"/>
  <c r="FDM83" i="30" s="1"/>
  <c r="FDO83" i="30" s="1"/>
  <c r="FDQ83" i="30" s="1"/>
  <c r="FDS83" i="30" s="1"/>
  <c r="FDU83" i="30" s="1"/>
  <c r="FDW83" i="30" s="1"/>
  <c r="FDY83" i="30" s="1"/>
  <c r="FEA83" i="30" s="1"/>
  <c r="FEC83" i="30" s="1"/>
  <c r="FEE83" i="30" s="1"/>
  <c r="FEG83" i="30" s="1"/>
  <c r="FEI83" i="30" s="1"/>
  <c r="FEK83" i="30" s="1"/>
  <c r="FEM83" i="30" s="1"/>
  <c r="FEO83" i="30" s="1"/>
  <c r="FEQ83" i="30" s="1"/>
  <c r="FES83" i="30" s="1"/>
  <c r="FEU83" i="30" s="1"/>
  <c r="FEW83" i="30" s="1"/>
  <c r="FEY83" i="30" s="1"/>
  <c r="FFA83" i="30" s="1"/>
  <c r="FFC83" i="30" s="1"/>
  <c r="FFE83" i="30" s="1"/>
  <c r="FFG83" i="30" s="1"/>
  <c r="FFI83" i="30" s="1"/>
  <c r="FFK83" i="30" s="1"/>
  <c r="FFM83" i="30" s="1"/>
  <c r="FFO83" i="30" s="1"/>
  <c r="FFQ83" i="30" s="1"/>
  <c r="FFS83" i="30" s="1"/>
  <c r="FFU83" i="30" s="1"/>
  <c r="FFW83" i="30" s="1"/>
  <c r="FFY83" i="30" s="1"/>
  <c r="FGA83" i="30" s="1"/>
  <c r="FGC83" i="30" s="1"/>
  <c r="FGE83" i="30" s="1"/>
  <c r="FGG83" i="30" s="1"/>
  <c r="FGI83" i="30" s="1"/>
  <c r="FGK83" i="30" s="1"/>
  <c r="FGM83" i="30" s="1"/>
  <c r="FGO83" i="30" s="1"/>
  <c r="FGQ83" i="30" s="1"/>
  <c r="FGS83" i="30" s="1"/>
  <c r="FGU83" i="30" s="1"/>
  <c r="FGW83" i="30" s="1"/>
  <c r="FGY83" i="30" s="1"/>
  <c r="FHA83" i="30" s="1"/>
  <c r="FHC83" i="30" s="1"/>
  <c r="FHE83" i="30" s="1"/>
  <c r="FHG83" i="30" s="1"/>
  <c r="FHI83" i="30" s="1"/>
  <c r="FHK83" i="30" s="1"/>
  <c r="FHM83" i="30" s="1"/>
  <c r="FHO83" i="30" s="1"/>
  <c r="FHQ83" i="30" s="1"/>
  <c r="FHS83" i="30" s="1"/>
  <c r="FHU83" i="30" s="1"/>
  <c r="FHW83" i="30" s="1"/>
  <c r="FHY83" i="30" s="1"/>
  <c r="FIA83" i="30" s="1"/>
  <c r="FIC83" i="30" s="1"/>
  <c r="FIE83" i="30" s="1"/>
  <c r="FIG83" i="30" s="1"/>
  <c r="FII83" i="30" s="1"/>
  <c r="FIK83" i="30" s="1"/>
  <c r="FIM83" i="30" s="1"/>
  <c r="FIO83" i="30" s="1"/>
  <c r="FIQ83" i="30" s="1"/>
  <c r="FIS83" i="30" s="1"/>
  <c r="FIU83" i="30" s="1"/>
  <c r="FIW83" i="30" s="1"/>
  <c r="FIY83" i="30" s="1"/>
  <c r="FJA83" i="30" s="1"/>
  <c r="FJC83" i="30" s="1"/>
  <c r="FJE83" i="30" s="1"/>
  <c r="FJG83" i="30" s="1"/>
  <c r="FJI83" i="30" s="1"/>
  <c r="FJK83" i="30" s="1"/>
  <c r="FJM83" i="30" s="1"/>
  <c r="FJO83" i="30" s="1"/>
  <c r="FJQ83" i="30" s="1"/>
  <c r="FJS83" i="30" s="1"/>
  <c r="FJU83" i="30" s="1"/>
  <c r="FJW83" i="30" s="1"/>
  <c r="FJY83" i="30" s="1"/>
  <c r="FKA83" i="30" s="1"/>
  <c r="FKC83" i="30" s="1"/>
  <c r="FKE83" i="30" s="1"/>
  <c r="FKG83" i="30" s="1"/>
  <c r="FKI83" i="30" s="1"/>
  <c r="FKK83" i="30" s="1"/>
  <c r="FKM83" i="30" s="1"/>
  <c r="FKO83" i="30" s="1"/>
  <c r="FKQ83" i="30" s="1"/>
  <c r="FKS83" i="30" s="1"/>
  <c r="FKU83" i="30" s="1"/>
  <c r="FKW83" i="30" s="1"/>
  <c r="FKY83" i="30" s="1"/>
  <c r="FLA83" i="30" s="1"/>
  <c r="FLC83" i="30" s="1"/>
  <c r="FLE83" i="30" s="1"/>
  <c r="FLG83" i="30" s="1"/>
  <c r="FLI83" i="30" s="1"/>
  <c r="FLK83" i="30" s="1"/>
  <c r="FLM83" i="30" s="1"/>
  <c r="FLO83" i="30" s="1"/>
  <c r="FLQ83" i="30" s="1"/>
  <c r="FLS83" i="30" s="1"/>
  <c r="FLU83" i="30" s="1"/>
  <c r="FLW83" i="30" s="1"/>
  <c r="FLY83" i="30" s="1"/>
  <c r="FMA83" i="30" s="1"/>
  <c r="FMC83" i="30" s="1"/>
  <c r="FME83" i="30" s="1"/>
  <c r="FMG83" i="30" s="1"/>
  <c r="FMI83" i="30" s="1"/>
  <c r="FMK83" i="30" s="1"/>
  <c r="FMM83" i="30" s="1"/>
  <c r="FMO83" i="30" s="1"/>
  <c r="FMQ83" i="30" s="1"/>
  <c r="FMS83" i="30" s="1"/>
  <c r="FMU83" i="30" s="1"/>
  <c r="FMW83" i="30" s="1"/>
  <c r="FMY83" i="30" s="1"/>
  <c r="FNA83" i="30" s="1"/>
  <c r="FNC83" i="30" s="1"/>
  <c r="FNE83" i="30" s="1"/>
  <c r="FNG83" i="30" s="1"/>
  <c r="FNI83" i="30" s="1"/>
  <c r="FNK83" i="30" s="1"/>
  <c r="FNM83" i="30" s="1"/>
  <c r="FNO83" i="30" s="1"/>
  <c r="FNQ83" i="30" s="1"/>
  <c r="FNS83" i="30" s="1"/>
  <c r="FNU83" i="30" s="1"/>
  <c r="FNW83" i="30" s="1"/>
  <c r="FNY83" i="30" s="1"/>
  <c r="FOA83" i="30" s="1"/>
  <c r="FOC83" i="30" s="1"/>
  <c r="FOE83" i="30" s="1"/>
  <c r="FOG83" i="30" s="1"/>
  <c r="FOI83" i="30" s="1"/>
  <c r="FOK83" i="30" s="1"/>
  <c r="FOM83" i="30" s="1"/>
  <c r="FOO83" i="30" s="1"/>
  <c r="FOQ83" i="30" s="1"/>
  <c r="FOS83" i="30" s="1"/>
  <c r="FOU83" i="30" s="1"/>
  <c r="FOW83" i="30" s="1"/>
  <c r="FOY83" i="30" s="1"/>
  <c r="FPA83" i="30" s="1"/>
  <c r="FPC83" i="30" s="1"/>
  <c r="FPE83" i="30" s="1"/>
  <c r="FPG83" i="30" s="1"/>
  <c r="FPI83" i="30" s="1"/>
  <c r="FPK83" i="30" s="1"/>
  <c r="FPM83" i="30" s="1"/>
  <c r="FPO83" i="30" s="1"/>
  <c r="FPQ83" i="30" s="1"/>
  <c r="FPS83" i="30" s="1"/>
  <c r="FPU83" i="30" s="1"/>
  <c r="FPW83" i="30" s="1"/>
  <c r="FPY83" i="30" s="1"/>
  <c r="FQA83" i="30" s="1"/>
  <c r="FQC83" i="30" s="1"/>
  <c r="FQE83" i="30" s="1"/>
  <c r="FQG83" i="30" s="1"/>
  <c r="FQI83" i="30" s="1"/>
  <c r="FQK83" i="30" s="1"/>
  <c r="FQM83" i="30" s="1"/>
  <c r="FQO83" i="30" s="1"/>
  <c r="FQQ83" i="30" s="1"/>
  <c r="FQS83" i="30" s="1"/>
  <c r="FQU83" i="30" s="1"/>
  <c r="FQW83" i="30" s="1"/>
  <c r="FQY83" i="30" s="1"/>
  <c r="FRA83" i="30" s="1"/>
  <c r="FRC83" i="30" s="1"/>
  <c r="FRE83" i="30" s="1"/>
  <c r="FRG83" i="30" s="1"/>
  <c r="FRI83" i="30" s="1"/>
  <c r="FRK83" i="30" s="1"/>
  <c r="FRM83" i="30" s="1"/>
  <c r="FRO83" i="30" s="1"/>
  <c r="FRQ83" i="30" s="1"/>
  <c r="FRS83" i="30" s="1"/>
  <c r="FRU83" i="30" s="1"/>
  <c r="FRW83" i="30" s="1"/>
  <c r="FRY83" i="30" s="1"/>
  <c r="FSA83" i="30" s="1"/>
  <c r="FSC83" i="30" s="1"/>
  <c r="FSE83" i="30" s="1"/>
  <c r="FSG83" i="30" s="1"/>
  <c r="FSI83" i="30" s="1"/>
  <c r="FSK83" i="30" s="1"/>
  <c r="FSM83" i="30" s="1"/>
  <c r="FSO83" i="30" s="1"/>
  <c r="FSQ83" i="30" s="1"/>
  <c r="FSS83" i="30" s="1"/>
  <c r="FSU83" i="30" s="1"/>
  <c r="FSW83" i="30" s="1"/>
  <c r="FSY83" i="30" s="1"/>
  <c r="FTA83" i="30" s="1"/>
  <c r="FTC83" i="30" s="1"/>
  <c r="FTE83" i="30" s="1"/>
  <c r="FTG83" i="30" s="1"/>
  <c r="FTI83" i="30" s="1"/>
  <c r="FTK83" i="30" s="1"/>
  <c r="FTM83" i="30" s="1"/>
  <c r="FTO83" i="30" s="1"/>
  <c r="FTQ83" i="30" s="1"/>
  <c r="FTS83" i="30" s="1"/>
  <c r="FTU83" i="30" s="1"/>
  <c r="FTW83" i="30" s="1"/>
  <c r="FTY83" i="30" s="1"/>
  <c r="FUA83" i="30" s="1"/>
  <c r="FUC83" i="30" s="1"/>
  <c r="FUE83" i="30" s="1"/>
  <c r="FUG83" i="30" s="1"/>
  <c r="FUI83" i="30" s="1"/>
  <c r="FUK83" i="30" s="1"/>
  <c r="FUM83" i="30" s="1"/>
  <c r="FUO83" i="30" s="1"/>
  <c r="FUQ83" i="30" s="1"/>
  <c r="FUS83" i="30" s="1"/>
  <c r="FUU83" i="30" s="1"/>
  <c r="FUW83" i="30" s="1"/>
  <c r="FUY83" i="30" s="1"/>
  <c r="FVA83" i="30" s="1"/>
  <c r="FVC83" i="30" s="1"/>
  <c r="FVE83" i="30" s="1"/>
  <c r="FVG83" i="30" s="1"/>
  <c r="FVI83" i="30" s="1"/>
  <c r="FVK83" i="30" s="1"/>
  <c r="FVM83" i="30" s="1"/>
  <c r="FVO83" i="30" s="1"/>
  <c r="FVQ83" i="30" s="1"/>
  <c r="FVS83" i="30" s="1"/>
  <c r="FVU83" i="30" s="1"/>
  <c r="FVW83" i="30" s="1"/>
  <c r="FVY83" i="30" s="1"/>
  <c r="FWA83" i="30" s="1"/>
  <c r="FWC83" i="30" s="1"/>
  <c r="FWE83" i="30" s="1"/>
  <c r="FWG83" i="30" s="1"/>
  <c r="FWI83" i="30" s="1"/>
  <c r="FWK83" i="30" s="1"/>
  <c r="FWM83" i="30" s="1"/>
  <c r="FWO83" i="30" s="1"/>
  <c r="FWQ83" i="30" s="1"/>
  <c r="FWS83" i="30" s="1"/>
  <c r="FWU83" i="30" s="1"/>
  <c r="FWW83" i="30" s="1"/>
  <c r="FWY83" i="30" s="1"/>
  <c r="FXA83" i="30" s="1"/>
  <c r="FXC83" i="30" s="1"/>
  <c r="FXE83" i="30" s="1"/>
  <c r="FXG83" i="30" s="1"/>
  <c r="FXI83" i="30" s="1"/>
  <c r="FXK83" i="30" s="1"/>
  <c r="FXM83" i="30" s="1"/>
  <c r="FXO83" i="30" s="1"/>
  <c r="FXQ83" i="30" s="1"/>
  <c r="FXS83" i="30" s="1"/>
  <c r="FXU83" i="30" s="1"/>
  <c r="FXW83" i="30" s="1"/>
  <c r="FXY83" i="30" s="1"/>
  <c r="FYA83" i="30" s="1"/>
  <c r="FYC83" i="30" s="1"/>
  <c r="FYE83" i="30" s="1"/>
  <c r="FYG83" i="30" s="1"/>
  <c r="FYI83" i="30" s="1"/>
  <c r="FYK83" i="30" s="1"/>
  <c r="FYM83" i="30" s="1"/>
  <c r="FYO83" i="30" s="1"/>
  <c r="FYQ83" i="30" s="1"/>
  <c r="FYS83" i="30" s="1"/>
  <c r="FYU83" i="30" s="1"/>
  <c r="FYW83" i="30" s="1"/>
  <c r="FYY83" i="30" s="1"/>
  <c r="FZA83" i="30" s="1"/>
  <c r="FZC83" i="30" s="1"/>
  <c r="FZE83" i="30" s="1"/>
  <c r="FZG83" i="30" s="1"/>
  <c r="FZI83" i="30" s="1"/>
  <c r="FZK83" i="30" s="1"/>
  <c r="FZM83" i="30" s="1"/>
  <c r="FZO83" i="30" s="1"/>
  <c r="FZQ83" i="30" s="1"/>
  <c r="FZS83" i="30" s="1"/>
  <c r="FZU83" i="30" s="1"/>
  <c r="FZW83" i="30" s="1"/>
  <c r="FZY83" i="30" s="1"/>
  <c r="GAA83" i="30" s="1"/>
  <c r="GAC83" i="30" s="1"/>
  <c r="GAE83" i="30" s="1"/>
  <c r="GAG83" i="30" s="1"/>
  <c r="GAI83" i="30" s="1"/>
  <c r="GAK83" i="30" s="1"/>
  <c r="GAM83" i="30" s="1"/>
  <c r="GAO83" i="30" s="1"/>
  <c r="GAQ83" i="30" s="1"/>
  <c r="GAS83" i="30" s="1"/>
  <c r="GAU83" i="30" s="1"/>
  <c r="GAW83" i="30" s="1"/>
  <c r="GAY83" i="30" s="1"/>
  <c r="GBA83" i="30" s="1"/>
  <c r="GBC83" i="30" s="1"/>
  <c r="GBE83" i="30" s="1"/>
  <c r="GBG83" i="30" s="1"/>
  <c r="GBI83" i="30" s="1"/>
  <c r="GBK83" i="30" s="1"/>
  <c r="GBM83" i="30" s="1"/>
  <c r="GBO83" i="30" s="1"/>
  <c r="GBQ83" i="30" s="1"/>
  <c r="GBS83" i="30" s="1"/>
  <c r="GBU83" i="30" s="1"/>
  <c r="GBW83" i="30" s="1"/>
  <c r="GBY83" i="30" s="1"/>
  <c r="GCA83" i="30" s="1"/>
  <c r="GCC83" i="30" s="1"/>
  <c r="GCE83" i="30" s="1"/>
  <c r="GCG83" i="30" s="1"/>
  <c r="GCI83" i="30" s="1"/>
  <c r="GCK83" i="30" s="1"/>
  <c r="GCM83" i="30" s="1"/>
  <c r="GCO83" i="30" s="1"/>
  <c r="GCQ83" i="30" s="1"/>
  <c r="GCS83" i="30" s="1"/>
  <c r="GCU83" i="30" s="1"/>
  <c r="GCW83" i="30" s="1"/>
  <c r="GCY83" i="30" s="1"/>
  <c r="GDA83" i="30" s="1"/>
  <c r="GDC83" i="30" s="1"/>
  <c r="GDE83" i="30" s="1"/>
  <c r="GDG83" i="30" s="1"/>
  <c r="GDI83" i="30" s="1"/>
  <c r="GDK83" i="30" s="1"/>
  <c r="GDM83" i="30" s="1"/>
  <c r="GDO83" i="30" s="1"/>
  <c r="GDQ83" i="30" s="1"/>
  <c r="GDS83" i="30" s="1"/>
  <c r="GDU83" i="30" s="1"/>
  <c r="GDW83" i="30" s="1"/>
  <c r="GDY83" i="30" s="1"/>
  <c r="GEA83" i="30" s="1"/>
  <c r="GEC83" i="30" s="1"/>
  <c r="GEE83" i="30" s="1"/>
  <c r="GEG83" i="30" s="1"/>
  <c r="GEI83" i="30" s="1"/>
  <c r="GEK83" i="30" s="1"/>
  <c r="GEM83" i="30" s="1"/>
  <c r="GEO83" i="30" s="1"/>
  <c r="GEQ83" i="30" s="1"/>
  <c r="GES83" i="30" s="1"/>
  <c r="GEU83" i="30" s="1"/>
  <c r="GEW83" i="30" s="1"/>
  <c r="GEY83" i="30" s="1"/>
  <c r="GFA83" i="30" s="1"/>
  <c r="GFC83" i="30" s="1"/>
  <c r="GFE83" i="30" s="1"/>
  <c r="GFG83" i="30" s="1"/>
  <c r="GFI83" i="30" s="1"/>
  <c r="GFK83" i="30" s="1"/>
  <c r="GFM83" i="30" s="1"/>
  <c r="GFO83" i="30" s="1"/>
  <c r="GFQ83" i="30" s="1"/>
  <c r="GFS83" i="30" s="1"/>
  <c r="GFU83" i="30" s="1"/>
  <c r="GFW83" i="30" s="1"/>
  <c r="GFY83" i="30" s="1"/>
  <c r="GGA83" i="30" s="1"/>
  <c r="GGC83" i="30" s="1"/>
  <c r="GGE83" i="30" s="1"/>
  <c r="GGG83" i="30" s="1"/>
  <c r="GGI83" i="30" s="1"/>
  <c r="GGK83" i="30" s="1"/>
  <c r="GGM83" i="30" s="1"/>
  <c r="GGO83" i="30" s="1"/>
  <c r="GGQ83" i="30" s="1"/>
  <c r="GGS83" i="30" s="1"/>
  <c r="GGU83" i="30" s="1"/>
  <c r="GGW83" i="30" s="1"/>
  <c r="GGY83" i="30" s="1"/>
  <c r="GHA83" i="30" s="1"/>
  <c r="GHC83" i="30" s="1"/>
  <c r="GHE83" i="30" s="1"/>
  <c r="GHG83" i="30" s="1"/>
  <c r="GHI83" i="30" s="1"/>
  <c r="GHK83" i="30" s="1"/>
  <c r="GHM83" i="30" s="1"/>
  <c r="GHO83" i="30" s="1"/>
  <c r="GHQ83" i="30" s="1"/>
  <c r="GHS83" i="30" s="1"/>
  <c r="GHU83" i="30" s="1"/>
  <c r="GHW83" i="30" s="1"/>
  <c r="GHY83" i="30" s="1"/>
  <c r="GIA83" i="30" s="1"/>
  <c r="GIC83" i="30" s="1"/>
  <c r="GIE83" i="30" s="1"/>
  <c r="GIG83" i="30" s="1"/>
  <c r="GII83" i="30" s="1"/>
  <c r="GIK83" i="30" s="1"/>
  <c r="GIM83" i="30" s="1"/>
  <c r="GIO83" i="30" s="1"/>
  <c r="GIQ83" i="30" s="1"/>
  <c r="GIS83" i="30" s="1"/>
  <c r="GIU83" i="30" s="1"/>
  <c r="GIW83" i="30" s="1"/>
  <c r="GIY83" i="30" s="1"/>
  <c r="GJA83" i="30" s="1"/>
  <c r="GJC83" i="30" s="1"/>
  <c r="GJE83" i="30" s="1"/>
  <c r="GJG83" i="30" s="1"/>
  <c r="GJI83" i="30" s="1"/>
  <c r="GJK83" i="30" s="1"/>
  <c r="GJM83" i="30" s="1"/>
  <c r="GJO83" i="30" s="1"/>
  <c r="GJQ83" i="30" s="1"/>
  <c r="GJS83" i="30" s="1"/>
  <c r="GJU83" i="30" s="1"/>
  <c r="GJW83" i="30" s="1"/>
  <c r="GJY83" i="30" s="1"/>
  <c r="GKA83" i="30" s="1"/>
  <c r="GKC83" i="30" s="1"/>
  <c r="GKE83" i="30" s="1"/>
  <c r="GKG83" i="30" s="1"/>
  <c r="GKI83" i="30" s="1"/>
  <c r="GKK83" i="30" s="1"/>
  <c r="GKM83" i="30" s="1"/>
  <c r="GKO83" i="30" s="1"/>
  <c r="GKQ83" i="30" s="1"/>
  <c r="GKS83" i="30" s="1"/>
  <c r="GKU83" i="30" s="1"/>
  <c r="GKW83" i="30" s="1"/>
  <c r="GKY83" i="30" s="1"/>
  <c r="GLA83" i="30" s="1"/>
  <c r="GLC83" i="30" s="1"/>
  <c r="GLE83" i="30" s="1"/>
  <c r="GLG83" i="30" s="1"/>
  <c r="GLI83" i="30" s="1"/>
  <c r="GLK83" i="30" s="1"/>
  <c r="GLM83" i="30" s="1"/>
  <c r="GLO83" i="30" s="1"/>
  <c r="GLQ83" i="30" s="1"/>
  <c r="GLS83" i="30" s="1"/>
  <c r="GLU83" i="30" s="1"/>
  <c r="GLW83" i="30" s="1"/>
  <c r="GLY83" i="30" s="1"/>
  <c r="GMA83" i="30" s="1"/>
  <c r="GMC83" i="30" s="1"/>
  <c r="GME83" i="30" s="1"/>
  <c r="GMG83" i="30" s="1"/>
  <c r="GMI83" i="30" s="1"/>
  <c r="GMK83" i="30" s="1"/>
  <c r="GMM83" i="30" s="1"/>
  <c r="GMO83" i="30" s="1"/>
  <c r="GMQ83" i="30" s="1"/>
  <c r="GMS83" i="30" s="1"/>
  <c r="GMU83" i="30" s="1"/>
  <c r="GMW83" i="30" s="1"/>
  <c r="GMY83" i="30" s="1"/>
  <c r="GNA83" i="30" s="1"/>
  <c r="GNC83" i="30" s="1"/>
  <c r="GNE83" i="30" s="1"/>
  <c r="GNG83" i="30" s="1"/>
  <c r="GNI83" i="30" s="1"/>
  <c r="GNK83" i="30" s="1"/>
  <c r="GNM83" i="30" s="1"/>
  <c r="GNO83" i="30" s="1"/>
  <c r="GNQ83" i="30" s="1"/>
  <c r="GNS83" i="30" s="1"/>
  <c r="GNU83" i="30" s="1"/>
  <c r="GNW83" i="30" s="1"/>
  <c r="GNY83" i="30" s="1"/>
  <c r="GOA83" i="30" s="1"/>
  <c r="GOC83" i="30" s="1"/>
  <c r="GOE83" i="30" s="1"/>
  <c r="GOG83" i="30" s="1"/>
  <c r="GOI83" i="30" s="1"/>
  <c r="GOK83" i="30" s="1"/>
  <c r="GOM83" i="30" s="1"/>
  <c r="GOO83" i="30" s="1"/>
  <c r="GOQ83" i="30" s="1"/>
  <c r="GOS83" i="30" s="1"/>
  <c r="GOU83" i="30" s="1"/>
  <c r="GOW83" i="30" s="1"/>
  <c r="GOY83" i="30" s="1"/>
  <c r="GPA83" i="30" s="1"/>
  <c r="GPC83" i="30" s="1"/>
  <c r="GPE83" i="30" s="1"/>
  <c r="GPG83" i="30" s="1"/>
  <c r="GPI83" i="30" s="1"/>
  <c r="GPK83" i="30" s="1"/>
  <c r="GPM83" i="30" s="1"/>
  <c r="GPO83" i="30" s="1"/>
  <c r="GPQ83" i="30" s="1"/>
  <c r="GPS83" i="30" s="1"/>
  <c r="GPU83" i="30" s="1"/>
  <c r="GPW83" i="30" s="1"/>
  <c r="GPY83" i="30" s="1"/>
  <c r="GQA83" i="30" s="1"/>
  <c r="GQC83" i="30" s="1"/>
  <c r="GQE83" i="30" s="1"/>
  <c r="GQG83" i="30" s="1"/>
  <c r="GQI83" i="30" s="1"/>
  <c r="GQK83" i="30" s="1"/>
  <c r="GQM83" i="30" s="1"/>
  <c r="GQO83" i="30" s="1"/>
  <c r="GQQ83" i="30" s="1"/>
  <c r="GQS83" i="30" s="1"/>
  <c r="GQU83" i="30" s="1"/>
  <c r="GQW83" i="30" s="1"/>
  <c r="GQY83" i="30" s="1"/>
  <c r="GRA83" i="30" s="1"/>
  <c r="GRC83" i="30" s="1"/>
  <c r="GRE83" i="30" s="1"/>
  <c r="GRG83" i="30" s="1"/>
  <c r="GRI83" i="30" s="1"/>
  <c r="GRK83" i="30" s="1"/>
  <c r="GRM83" i="30" s="1"/>
  <c r="GRO83" i="30" s="1"/>
  <c r="GRQ83" i="30" s="1"/>
  <c r="GRS83" i="30" s="1"/>
  <c r="GRU83" i="30" s="1"/>
  <c r="GRW83" i="30" s="1"/>
  <c r="GRY83" i="30" s="1"/>
  <c r="GSA83" i="30" s="1"/>
  <c r="GSC83" i="30" s="1"/>
  <c r="GSE83" i="30" s="1"/>
  <c r="GSG83" i="30" s="1"/>
  <c r="GSI83" i="30" s="1"/>
  <c r="GSK83" i="30" s="1"/>
  <c r="GSM83" i="30" s="1"/>
  <c r="GSO83" i="30" s="1"/>
  <c r="GSQ83" i="30" s="1"/>
  <c r="GSS83" i="30" s="1"/>
  <c r="GSU83" i="30" s="1"/>
  <c r="GSW83" i="30" s="1"/>
  <c r="GSY83" i="30" s="1"/>
  <c r="GTA83" i="30" s="1"/>
  <c r="GTC83" i="30" s="1"/>
  <c r="GTE83" i="30" s="1"/>
  <c r="GTG83" i="30" s="1"/>
  <c r="GTI83" i="30" s="1"/>
  <c r="GTK83" i="30" s="1"/>
  <c r="GTM83" i="30" s="1"/>
  <c r="GTO83" i="30" s="1"/>
  <c r="GTQ83" i="30" s="1"/>
  <c r="GTS83" i="30" s="1"/>
  <c r="GTU83" i="30" s="1"/>
  <c r="GTW83" i="30" s="1"/>
  <c r="GTY83" i="30" s="1"/>
  <c r="GUA83" i="30" s="1"/>
  <c r="GUC83" i="30" s="1"/>
  <c r="GUE83" i="30" s="1"/>
  <c r="GUG83" i="30" s="1"/>
  <c r="GUI83" i="30" s="1"/>
  <c r="GUK83" i="30" s="1"/>
  <c r="GUM83" i="30" s="1"/>
  <c r="GUO83" i="30" s="1"/>
  <c r="GUQ83" i="30" s="1"/>
  <c r="GUS83" i="30" s="1"/>
  <c r="GUU83" i="30" s="1"/>
  <c r="GUW83" i="30" s="1"/>
  <c r="GUY83" i="30" s="1"/>
  <c r="GVA83" i="30" s="1"/>
  <c r="GVC83" i="30" s="1"/>
  <c r="GVE83" i="30" s="1"/>
  <c r="GVG83" i="30" s="1"/>
  <c r="GVI83" i="30" s="1"/>
  <c r="GVK83" i="30" s="1"/>
  <c r="GVM83" i="30" s="1"/>
  <c r="GVO83" i="30" s="1"/>
  <c r="GVQ83" i="30" s="1"/>
  <c r="GVS83" i="30" s="1"/>
  <c r="GVU83" i="30" s="1"/>
  <c r="GVW83" i="30" s="1"/>
  <c r="GVY83" i="30" s="1"/>
  <c r="GWA83" i="30" s="1"/>
  <c r="GWC83" i="30" s="1"/>
  <c r="GWE83" i="30" s="1"/>
  <c r="GWG83" i="30" s="1"/>
  <c r="GWI83" i="30" s="1"/>
  <c r="GWK83" i="30" s="1"/>
  <c r="GWM83" i="30" s="1"/>
  <c r="GWO83" i="30" s="1"/>
  <c r="GWQ83" i="30" s="1"/>
  <c r="GWS83" i="30" s="1"/>
  <c r="GWU83" i="30" s="1"/>
  <c r="GWW83" i="30" s="1"/>
  <c r="GWY83" i="30" s="1"/>
  <c r="GXA83" i="30" s="1"/>
  <c r="GXC83" i="30" s="1"/>
  <c r="GXE83" i="30" s="1"/>
  <c r="GXG83" i="30" s="1"/>
  <c r="GXI83" i="30" s="1"/>
  <c r="GXK83" i="30" s="1"/>
  <c r="GXM83" i="30" s="1"/>
  <c r="GXO83" i="30" s="1"/>
  <c r="GXQ83" i="30" s="1"/>
  <c r="GXS83" i="30" s="1"/>
  <c r="GXU83" i="30" s="1"/>
  <c r="GXW83" i="30" s="1"/>
  <c r="GXY83" i="30" s="1"/>
  <c r="GYA83" i="30" s="1"/>
  <c r="GYC83" i="30" s="1"/>
  <c r="GYE83" i="30" s="1"/>
  <c r="GYG83" i="30" s="1"/>
  <c r="GYI83" i="30" s="1"/>
  <c r="GYK83" i="30" s="1"/>
  <c r="GYM83" i="30" s="1"/>
  <c r="GYO83" i="30" s="1"/>
  <c r="GYQ83" i="30" s="1"/>
  <c r="GYS83" i="30" s="1"/>
  <c r="GYU83" i="30" s="1"/>
  <c r="GYW83" i="30" s="1"/>
  <c r="GYY83" i="30" s="1"/>
  <c r="GZA83" i="30" s="1"/>
  <c r="GZC83" i="30" s="1"/>
  <c r="GZE83" i="30" s="1"/>
  <c r="GZG83" i="30" s="1"/>
  <c r="GZI83" i="30" s="1"/>
  <c r="GZK83" i="30" s="1"/>
  <c r="GZM83" i="30" s="1"/>
  <c r="GZO83" i="30" s="1"/>
  <c r="GZQ83" i="30" s="1"/>
  <c r="GZS83" i="30" s="1"/>
  <c r="GZU83" i="30" s="1"/>
  <c r="GZW83" i="30" s="1"/>
  <c r="GZY83" i="30" s="1"/>
  <c r="HAA83" i="30" s="1"/>
  <c r="HAC83" i="30" s="1"/>
  <c r="HAE83" i="30" s="1"/>
  <c r="HAG83" i="30" s="1"/>
  <c r="HAI83" i="30" s="1"/>
  <c r="HAK83" i="30" s="1"/>
  <c r="HAM83" i="30" s="1"/>
  <c r="HAO83" i="30" s="1"/>
  <c r="HAQ83" i="30" s="1"/>
  <c r="HAS83" i="30" s="1"/>
  <c r="HAU83" i="30" s="1"/>
  <c r="HAW83" i="30" s="1"/>
  <c r="HAY83" i="30" s="1"/>
  <c r="HBA83" i="30" s="1"/>
  <c r="HBC83" i="30" s="1"/>
  <c r="HBE83" i="30" s="1"/>
  <c r="HBG83" i="30" s="1"/>
  <c r="HBI83" i="30" s="1"/>
  <c r="HBK83" i="30" s="1"/>
  <c r="HBM83" i="30" s="1"/>
  <c r="HBO83" i="30" s="1"/>
  <c r="HBQ83" i="30" s="1"/>
  <c r="HBS83" i="30" s="1"/>
  <c r="HBU83" i="30" s="1"/>
  <c r="HBW83" i="30" s="1"/>
  <c r="HBY83" i="30" s="1"/>
  <c r="HCA83" i="30" s="1"/>
  <c r="HCC83" i="30" s="1"/>
  <c r="HCE83" i="30" s="1"/>
  <c r="HCG83" i="30" s="1"/>
  <c r="HCI83" i="30" s="1"/>
  <c r="HCK83" i="30" s="1"/>
  <c r="HCM83" i="30" s="1"/>
  <c r="HCO83" i="30" s="1"/>
  <c r="HCQ83" i="30" s="1"/>
  <c r="HCS83" i="30" s="1"/>
  <c r="HCU83" i="30" s="1"/>
  <c r="HCW83" i="30" s="1"/>
  <c r="HCY83" i="30" s="1"/>
  <c r="HDA83" i="30" s="1"/>
  <c r="HDC83" i="30" s="1"/>
  <c r="HDE83" i="30" s="1"/>
  <c r="HDG83" i="30" s="1"/>
  <c r="HDI83" i="30" s="1"/>
  <c r="HDK83" i="30" s="1"/>
  <c r="HDM83" i="30" s="1"/>
  <c r="HDO83" i="30" s="1"/>
  <c r="HDQ83" i="30" s="1"/>
  <c r="HDS83" i="30" s="1"/>
  <c r="HDU83" i="30" s="1"/>
  <c r="HDW83" i="30" s="1"/>
  <c r="HDY83" i="30" s="1"/>
  <c r="HEA83" i="30" s="1"/>
  <c r="HEC83" i="30" s="1"/>
  <c r="HEE83" i="30" s="1"/>
  <c r="HEG83" i="30" s="1"/>
  <c r="HEI83" i="30" s="1"/>
  <c r="HEK83" i="30" s="1"/>
  <c r="HEM83" i="30" s="1"/>
  <c r="HEO83" i="30" s="1"/>
  <c r="HEQ83" i="30" s="1"/>
  <c r="HES83" i="30" s="1"/>
  <c r="HEU83" i="30" s="1"/>
  <c r="HEW83" i="30" s="1"/>
  <c r="HEY83" i="30" s="1"/>
  <c r="HFA83" i="30" s="1"/>
  <c r="HFC83" i="30" s="1"/>
  <c r="HFE83" i="30" s="1"/>
  <c r="HFG83" i="30" s="1"/>
  <c r="HFI83" i="30" s="1"/>
  <c r="HFK83" i="30" s="1"/>
  <c r="HFM83" i="30" s="1"/>
  <c r="HFO83" i="30" s="1"/>
  <c r="HFQ83" i="30" s="1"/>
  <c r="HFS83" i="30" s="1"/>
  <c r="HFU83" i="30" s="1"/>
  <c r="HFW83" i="30" s="1"/>
  <c r="HFY83" i="30" s="1"/>
  <c r="HGA83" i="30" s="1"/>
  <c r="HGC83" i="30" s="1"/>
  <c r="HGE83" i="30" s="1"/>
  <c r="HGG83" i="30" s="1"/>
  <c r="HGI83" i="30" s="1"/>
  <c r="HGK83" i="30" s="1"/>
  <c r="HGM83" i="30" s="1"/>
  <c r="HGO83" i="30" s="1"/>
  <c r="HGQ83" i="30" s="1"/>
  <c r="HGS83" i="30" s="1"/>
  <c r="HGU83" i="30" s="1"/>
  <c r="HGW83" i="30" s="1"/>
  <c r="HGY83" i="30" s="1"/>
  <c r="HHA83" i="30" s="1"/>
  <c r="HHC83" i="30" s="1"/>
  <c r="HHE83" i="30" s="1"/>
  <c r="HHG83" i="30" s="1"/>
  <c r="HHI83" i="30" s="1"/>
  <c r="HHK83" i="30" s="1"/>
  <c r="HHM83" i="30" s="1"/>
  <c r="HHO83" i="30" s="1"/>
  <c r="HHQ83" i="30" s="1"/>
  <c r="HHS83" i="30" s="1"/>
  <c r="HHU83" i="30" s="1"/>
  <c r="HHW83" i="30" s="1"/>
  <c r="HHY83" i="30" s="1"/>
  <c r="HIA83" i="30" s="1"/>
  <c r="HIC83" i="30" s="1"/>
  <c r="HIE83" i="30" s="1"/>
  <c r="HIG83" i="30" s="1"/>
  <c r="HII83" i="30" s="1"/>
  <c r="HIK83" i="30" s="1"/>
  <c r="HIM83" i="30" s="1"/>
  <c r="HIO83" i="30" s="1"/>
  <c r="HIQ83" i="30" s="1"/>
  <c r="HIS83" i="30" s="1"/>
  <c r="HIU83" i="30" s="1"/>
  <c r="HIW83" i="30" s="1"/>
  <c r="HIY83" i="30" s="1"/>
  <c r="HJA83" i="30" s="1"/>
  <c r="HJC83" i="30" s="1"/>
  <c r="HJE83" i="30" s="1"/>
  <c r="HJG83" i="30" s="1"/>
  <c r="HJI83" i="30" s="1"/>
  <c r="HJK83" i="30" s="1"/>
  <c r="HJM83" i="30" s="1"/>
  <c r="HJO83" i="30" s="1"/>
  <c r="HJQ83" i="30" s="1"/>
  <c r="HJS83" i="30" s="1"/>
  <c r="HJU83" i="30" s="1"/>
  <c r="HJW83" i="30" s="1"/>
  <c r="HJY83" i="30" s="1"/>
  <c r="HKA83" i="30" s="1"/>
  <c r="HKC83" i="30" s="1"/>
  <c r="HKE83" i="30" s="1"/>
  <c r="HKG83" i="30" s="1"/>
  <c r="HKI83" i="30" s="1"/>
  <c r="HKK83" i="30" s="1"/>
  <c r="HKM83" i="30" s="1"/>
  <c r="HKO83" i="30" s="1"/>
  <c r="HKQ83" i="30" s="1"/>
  <c r="HKS83" i="30" s="1"/>
  <c r="HKU83" i="30" s="1"/>
  <c r="HKW83" i="30" s="1"/>
  <c r="HKY83" i="30" s="1"/>
  <c r="HLA83" i="30" s="1"/>
  <c r="HLC83" i="30" s="1"/>
  <c r="HLE83" i="30" s="1"/>
  <c r="HLG83" i="30" s="1"/>
  <c r="HLI83" i="30" s="1"/>
  <c r="HLK83" i="30" s="1"/>
  <c r="HLM83" i="30" s="1"/>
  <c r="HLO83" i="30" s="1"/>
  <c r="HLQ83" i="30" s="1"/>
  <c r="HLS83" i="30" s="1"/>
  <c r="HLU83" i="30" s="1"/>
  <c r="HLW83" i="30" s="1"/>
  <c r="HLY83" i="30" s="1"/>
  <c r="HMA83" i="30" s="1"/>
  <c r="HMC83" i="30" s="1"/>
  <c r="HME83" i="30" s="1"/>
  <c r="HMG83" i="30" s="1"/>
  <c r="HMI83" i="30" s="1"/>
  <c r="HMK83" i="30" s="1"/>
  <c r="HMM83" i="30" s="1"/>
  <c r="HMO83" i="30" s="1"/>
  <c r="HMQ83" i="30" s="1"/>
  <c r="HMS83" i="30" s="1"/>
  <c r="HMU83" i="30" s="1"/>
  <c r="HMW83" i="30" s="1"/>
  <c r="HMY83" i="30" s="1"/>
  <c r="HNA83" i="30" s="1"/>
  <c r="HNC83" i="30" s="1"/>
  <c r="HNE83" i="30" s="1"/>
  <c r="HNG83" i="30" s="1"/>
  <c r="HNI83" i="30" s="1"/>
  <c r="HNK83" i="30" s="1"/>
  <c r="HNM83" i="30" s="1"/>
  <c r="HNO83" i="30" s="1"/>
  <c r="HNQ83" i="30" s="1"/>
  <c r="HNS83" i="30" s="1"/>
  <c r="HNU83" i="30" s="1"/>
  <c r="HNW83" i="30" s="1"/>
  <c r="HNY83" i="30" s="1"/>
  <c r="HOA83" i="30" s="1"/>
  <c r="HOC83" i="30" s="1"/>
  <c r="HOE83" i="30" s="1"/>
  <c r="HOG83" i="30" s="1"/>
  <c r="HOI83" i="30" s="1"/>
  <c r="HOK83" i="30" s="1"/>
  <c r="HOM83" i="30" s="1"/>
  <c r="HOO83" i="30" s="1"/>
  <c r="HOQ83" i="30" s="1"/>
  <c r="HOS83" i="30" s="1"/>
  <c r="HOU83" i="30" s="1"/>
  <c r="HOW83" i="30" s="1"/>
  <c r="HOY83" i="30" s="1"/>
  <c r="HPA83" i="30" s="1"/>
  <c r="HPC83" i="30" s="1"/>
  <c r="HPE83" i="30" s="1"/>
  <c r="HPG83" i="30" s="1"/>
  <c r="HPI83" i="30" s="1"/>
  <c r="HPK83" i="30" s="1"/>
  <c r="HPM83" i="30" s="1"/>
  <c r="HPO83" i="30" s="1"/>
  <c r="HPQ83" i="30" s="1"/>
  <c r="HPS83" i="30" s="1"/>
  <c r="HPU83" i="30" s="1"/>
  <c r="HPW83" i="30" s="1"/>
  <c r="HPY83" i="30" s="1"/>
  <c r="HQA83" i="30" s="1"/>
  <c r="HQC83" i="30" s="1"/>
  <c r="HQE83" i="30" s="1"/>
  <c r="HQG83" i="30" s="1"/>
  <c r="HQI83" i="30" s="1"/>
  <c r="HQK83" i="30" s="1"/>
  <c r="HQM83" i="30" s="1"/>
  <c r="HQO83" i="30" s="1"/>
  <c r="HQQ83" i="30" s="1"/>
  <c r="HQS83" i="30" s="1"/>
  <c r="HQU83" i="30" s="1"/>
  <c r="HQW83" i="30" s="1"/>
  <c r="HQY83" i="30" s="1"/>
  <c r="HRA83" i="30" s="1"/>
  <c r="HRC83" i="30" s="1"/>
  <c r="HRE83" i="30" s="1"/>
  <c r="HRG83" i="30" s="1"/>
  <c r="HRI83" i="30" s="1"/>
  <c r="HRK83" i="30" s="1"/>
  <c r="HRM83" i="30" s="1"/>
  <c r="HRO83" i="30" s="1"/>
  <c r="HRQ83" i="30" s="1"/>
  <c r="HRS83" i="30" s="1"/>
  <c r="HRU83" i="30" s="1"/>
  <c r="HRW83" i="30" s="1"/>
  <c r="HRY83" i="30" s="1"/>
  <c r="HSA83" i="30" s="1"/>
  <c r="HSC83" i="30" s="1"/>
  <c r="HSE83" i="30" s="1"/>
  <c r="HSG83" i="30" s="1"/>
  <c r="HSI83" i="30" s="1"/>
  <c r="HSK83" i="30" s="1"/>
  <c r="HSM83" i="30" s="1"/>
  <c r="HSO83" i="30" s="1"/>
  <c r="HSQ83" i="30" s="1"/>
  <c r="HSS83" i="30" s="1"/>
  <c r="HSU83" i="30" s="1"/>
  <c r="HSW83" i="30" s="1"/>
  <c r="HSY83" i="30" s="1"/>
  <c r="HTA83" i="30" s="1"/>
  <c r="HTC83" i="30" s="1"/>
  <c r="HTE83" i="30" s="1"/>
  <c r="HTG83" i="30" s="1"/>
  <c r="HTI83" i="30" s="1"/>
  <c r="HTK83" i="30" s="1"/>
  <c r="HTM83" i="30" s="1"/>
  <c r="HTO83" i="30" s="1"/>
  <c r="HTQ83" i="30" s="1"/>
  <c r="HTS83" i="30" s="1"/>
  <c r="HTU83" i="30" s="1"/>
  <c r="HTW83" i="30" s="1"/>
  <c r="HTY83" i="30" s="1"/>
  <c r="HUA83" i="30" s="1"/>
  <c r="HUC83" i="30" s="1"/>
  <c r="HUE83" i="30" s="1"/>
  <c r="HUG83" i="30" s="1"/>
  <c r="HUI83" i="30" s="1"/>
  <c r="HUK83" i="30" s="1"/>
  <c r="HUM83" i="30" s="1"/>
  <c r="HUO83" i="30" s="1"/>
  <c r="HUQ83" i="30" s="1"/>
  <c r="HUS83" i="30" s="1"/>
  <c r="HUU83" i="30" s="1"/>
  <c r="HUW83" i="30" s="1"/>
  <c r="HUY83" i="30" s="1"/>
  <c r="HVA83" i="30" s="1"/>
  <c r="HVC83" i="30" s="1"/>
  <c r="HVE83" i="30" s="1"/>
  <c r="HVG83" i="30" s="1"/>
  <c r="HVI83" i="30" s="1"/>
  <c r="HVK83" i="30" s="1"/>
  <c r="HVM83" i="30" s="1"/>
  <c r="HVO83" i="30" s="1"/>
  <c r="HVQ83" i="30" s="1"/>
  <c r="HVS83" i="30" s="1"/>
  <c r="HVU83" i="30" s="1"/>
  <c r="HVW83" i="30" s="1"/>
  <c r="HVY83" i="30" s="1"/>
  <c r="HWA83" i="30" s="1"/>
  <c r="HWC83" i="30" s="1"/>
  <c r="HWE83" i="30" s="1"/>
  <c r="HWG83" i="30" s="1"/>
  <c r="HWI83" i="30" s="1"/>
  <c r="HWK83" i="30" s="1"/>
  <c r="HWM83" i="30" s="1"/>
  <c r="HWO83" i="30" s="1"/>
  <c r="HWQ83" i="30" s="1"/>
  <c r="HWS83" i="30" s="1"/>
  <c r="HWU83" i="30" s="1"/>
  <c r="HWW83" i="30" s="1"/>
  <c r="HWY83" i="30" s="1"/>
  <c r="HXA83" i="30" s="1"/>
  <c r="HXC83" i="30" s="1"/>
  <c r="HXE83" i="30" s="1"/>
  <c r="HXG83" i="30" s="1"/>
  <c r="HXI83" i="30" s="1"/>
  <c r="HXK83" i="30" s="1"/>
  <c r="HXM83" i="30" s="1"/>
  <c r="HXO83" i="30" s="1"/>
  <c r="HXQ83" i="30" s="1"/>
  <c r="HXS83" i="30" s="1"/>
  <c r="HXU83" i="30" s="1"/>
  <c r="HXW83" i="30" s="1"/>
  <c r="HXY83" i="30" s="1"/>
  <c r="HYA83" i="30" s="1"/>
  <c r="HYC83" i="30" s="1"/>
  <c r="HYE83" i="30" s="1"/>
  <c r="HYG83" i="30" s="1"/>
  <c r="HYI83" i="30" s="1"/>
  <c r="HYK83" i="30" s="1"/>
  <c r="HYM83" i="30" s="1"/>
  <c r="HYO83" i="30" s="1"/>
  <c r="HYQ83" i="30" s="1"/>
  <c r="HYS83" i="30" s="1"/>
  <c r="HYU83" i="30" s="1"/>
  <c r="HYW83" i="30" s="1"/>
  <c r="HYY83" i="30" s="1"/>
  <c r="HZA83" i="30" s="1"/>
  <c r="HZC83" i="30" s="1"/>
  <c r="HZE83" i="30" s="1"/>
  <c r="HZG83" i="30" s="1"/>
  <c r="HZI83" i="30" s="1"/>
  <c r="HZK83" i="30" s="1"/>
  <c r="HZM83" i="30" s="1"/>
  <c r="HZO83" i="30" s="1"/>
  <c r="HZQ83" i="30" s="1"/>
  <c r="HZS83" i="30" s="1"/>
  <c r="HZU83" i="30" s="1"/>
  <c r="HZW83" i="30" s="1"/>
  <c r="HZY83" i="30" s="1"/>
  <c r="IAA83" i="30" s="1"/>
  <c r="IAC83" i="30" s="1"/>
  <c r="IAE83" i="30" s="1"/>
  <c r="IAG83" i="30" s="1"/>
  <c r="IAI83" i="30" s="1"/>
  <c r="IAK83" i="30" s="1"/>
  <c r="IAM83" i="30" s="1"/>
  <c r="IAO83" i="30" s="1"/>
  <c r="IAQ83" i="30" s="1"/>
  <c r="IAS83" i="30" s="1"/>
  <c r="IAU83" i="30" s="1"/>
  <c r="IAW83" i="30" s="1"/>
  <c r="IAY83" i="30" s="1"/>
  <c r="IBA83" i="30" s="1"/>
  <c r="IBC83" i="30" s="1"/>
  <c r="IBE83" i="30" s="1"/>
  <c r="IBG83" i="30" s="1"/>
  <c r="IBI83" i="30" s="1"/>
  <c r="IBK83" i="30" s="1"/>
  <c r="IBM83" i="30" s="1"/>
  <c r="IBO83" i="30" s="1"/>
  <c r="IBQ83" i="30" s="1"/>
  <c r="IBS83" i="30" s="1"/>
  <c r="IBU83" i="30" s="1"/>
  <c r="IBW83" i="30" s="1"/>
  <c r="IBY83" i="30" s="1"/>
  <c r="ICA83" i="30" s="1"/>
  <c r="ICC83" i="30" s="1"/>
  <c r="ICE83" i="30" s="1"/>
  <c r="ICG83" i="30" s="1"/>
  <c r="ICI83" i="30" s="1"/>
  <c r="ICK83" i="30" s="1"/>
  <c r="ICM83" i="30" s="1"/>
  <c r="ICO83" i="30" s="1"/>
  <c r="ICQ83" i="30" s="1"/>
  <c r="ICS83" i="30" s="1"/>
  <c r="ICU83" i="30" s="1"/>
  <c r="ICW83" i="30" s="1"/>
  <c r="ICY83" i="30" s="1"/>
  <c r="IDA83" i="30" s="1"/>
  <c r="IDC83" i="30" s="1"/>
  <c r="IDE83" i="30" s="1"/>
  <c r="IDG83" i="30" s="1"/>
  <c r="IDI83" i="30" s="1"/>
  <c r="IDK83" i="30" s="1"/>
  <c r="IDM83" i="30" s="1"/>
  <c r="IDO83" i="30" s="1"/>
  <c r="IDQ83" i="30" s="1"/>
  <c r="IDS83" i="30" s="1"/>
  <c r="IDU83" i="30" s="1"/>
  <c r="IDW83" i="30" s="1"/>
  <c r="IDY83" i="30" s="1"/>
  <c r="IEA83" i="30" s="1"/>
  <c r="IEC83" i="30" s="1"/>
  <c r="IEE83" i="30" s="1"/>
  <c r="IEG83" i="30" s="1"/>
  <c r="IEI83" i="30" s="1"/>
  <c r="IEK83" i="30" s="1"/>
  <c r="IEM83" i="30" s="1"/>
  <c r="IEO83" i="30" s="1"/>
  <c r="IEQ83" i="30" s="1"/>
  <c r="IES83" i="30" s="1"/>
  <c r="IEU83" i="30" s="1"/>
  <c r="IEW83" i="30" s="1"/>
  <c r="IEY83" i="30" s="1"/>
  <c r="IFA83" i="30" s="1"/>
  <c r="IFC83" i="30" s="1"/>
  <c r="IFE83" i="30" s="1"/>
  <c r="IFG83" i="30" s="1"/>
  <c r="IFI83" i="30" s="1"/>
  <c r="IFK83" i="30" s="1"/>
  <c r="IFM83" i="30" s="1"/>
  <c r="IFO83" i="30" s="1"/>
  <c r="IFQ83" i="30" s="1"/>
  <c r="IFS83" i="30" s="1"/>
  <c r="IFU83" i="30" s="1"/>
  <c r="IFW83" i="30" s="1"/>
  <c r="IFY83" i="30" s="1"/>
  <c r="IGA83" i="30" s="1"/>
  <c r="IGC83" i="30" s="1"/>
  <c r="IGE83" i="30" s="1"/>
  <c r="IGG83" i="30" s="1"/>
  <c r="IGI83" i="30" s="1"/>
  <c r="IGK83" i="30" s="1"/>
  <c r="IGM83" i="30" s="1"/>
  <c r="IGO83" i="30" s="1"/>
  <c r="IGQ83" i="30" s="1"/>
  <c r="IGS83" i="30" s="1"/>
  <c r="IGU83" i="30" s="1"/>
  <c r="IGW83" i="30" s="1"/>
  <c r="IGY83" i="30" s="1"/>
  <c r="IHA83" i="30" s="1"/>
  <c r="IHC83" i="30" s="1"/>
  <c r="IHE83" i="30" s="1"/>
  <c r="IHG83" i="30" s="1"/>
  <c r="IHI83" i="30" s="1"/>
  <c r="IHK83" i="30" s="1"/>
  <c r="IHM83" i="30" s="1"/>
  <c r="IHO83" i="30" s="1"/>
  <c r="IHQ83" i="30" s="1"/>
  <c r="IHS83" i="30" s="1"/>
  <c r="IHU83" i="30" s="1"/>
  <c r="IHW83" i="30" s="1"/>
  <c r="IHY83" i="30" s="1"/>
  <c r="IIA83" i="30" s="1"/>
  <c r="IIC83" i="30" s="1"/>
  <c r="IIE83" i="30" s="1"/>
  <c r="IIG83" i="30" s="1"/>
  <c r="III83" i="30" s="1"/>
  <c r="IIK83" i="30" s="1"/>
  <c r="IIM83" i="30" s="1"/>
  <c r="IIO83" i="30" s="1"/>
  <c r="IIQ83" i="30" s="1"/>
  <c r="IIS83" i="30" s="1"/>
  <c r="IIU83" i="30" s="1"/>
  <c r="IIW83" i="30" s="1"/>
  <c r="IIY83" i="30" s="1"/>
  <c r="IJA83" i="30" s="1"/>
  <c r="IJC83" i="30" s="1"/>
  <c r="IJE83" i="30" s="1"/>
  <c r="IJG83" i="30" s="1"/>
  <c r="IJI83" i="30" s="1"/>
  <c r="IJK83" i="30" s="1"/>
  <c r="IJM83" i="30" s="1"/>
  <c r="IJO83" i="30" s="1"/>
  <c r="IJQ83" i="30" s="1"/>
  <c r="IJS83" i="30" s="1"/>
  <c r="IJU83" i="30" s="1"/>
  <c r="IJW83" i="30" s="1"/>
  <c r="IJY83" i="30" s="1"/>
  <c r="IKA83" i="30" s="1"/>
  <c r="IKC83" i="30" s="1"/>
  <c r="IKE83" i="30" s="1"/>
  <c r="IKG83" i="30" s="1"/>
  <c r="IKI83" i="30" s="1"/>
  <c r="IKK83" i="30" s="1"/>
  <c r="IKM83" i="30" s="1"/>
  <c r="IKO83" i="30" s="1"/>
  <c r="IKQ83" i="30" s="1"/>
  <c r="IKS83" i="30" s="1"/>
  <c r="IKU83" i="30" s="1"/>
  <c r="IKW83" i="30" s="1"/>
  <c r="IKY83" i="30" s="1"/>
  <c r="ILA83" i="30" s="1"/>
  <c r="ILC83" i="30" s="1"/>
  <c r="ILE83" i="30" s="1"/>
  <c r="ILG83" i="30" s="1"/>
  <c r="ILI83" i="30" s="1"/>
  <c r="ILK83" i="30" s="1"/>
  <c r="ILM83" i="30" s="1"/>
  <c r="ILO83" i="30" s="1"/>
  <c r="ILQ83" i="30" s="1"/>
  <c r="ILS83" i="30" s="1"/>
  <c r="ILU83" i="30" s="1"/>
  <c r="ILW83" i="30" s="1"/>
  <c r="ILY83" i="30" s="1"/>
  <c r="IMA83" i="30" s="1"/>
  <c r="IMC83" i="30" s="1"/>
  <c r="IME83" i="30" s="1"/>
  <c r="IMG83" i="30" s="1"/>
  <c r="IMI83" i="30" s="1"/>
  <c r="IMK83" i="30" s="1"/>
  <c r="IMM83" i="30" s="1"/>
  <c r="IMO83" i="30" s="1"/>
  <c r="IMQ83" i="30" s="1"/>
  <c r="IMS83" i="30" s="1"/>
  <c r="IMU83" i="30" s="1"/>
  <c r="IMW83" i="30" s="1"/>
  <c r="IMY83" i="30" s="1"/>
  <c r="INA83" i="30" s="1"/>
  <c r="INC83" i="30" s="1"/>
  <c r="INE83" i="30" s="1"/>
  <c r="ING83" i="30" s="1"/>
  <c r="INI83" i="30" s="1"/>
  <c r="INK83" i="30" s="1"/>
  <c r="INM83" i="30" s="1"/>
  <c r="INO83" i="30" s="1"/>
  <c r="INQ83" i="30" s="1"/>
  <c r="INS83" i="30" s="1"/>
  <c r="INU83" i="30" s="1"/>
  <c r="INW83" i="30" s="1"/>
  <c r="INY83" i="30" s="1"/>
  <c r="IOA83" i="30" s="1"/>
  <c r="IOC83" i="30" s="1"/>
  <c r="IOE83" i="30" s="1"/>
  <c r="IOG83" i="30" s="1"/>
  <c r="IOI83" i="30" s="1"/>
  <c r="IOK83" i="30" s="1"/>
  <c r="IOM83" i="30" s="1"/>
  <c r="IOO83" i="30" s="1"/>
  <c r="IOQ83" i="30" s="1"/>
  <c r="IOS83" i="30" s="1"/>
  <c r="IOU83" i="30" s="1"/>
  <c r="IOW83" i="30" s="1"/>
  <c r="IOY83" i="30" s="1"/>
  <c r="IPA83" i="30" s="1"/>
  <c r="IPC83" i="30" s="1"/>
  <c r="IPE83" i="30" s="1"/>
  <c r="IPG83" i="30" s="1"/>
  <c r="IPI83" i="30" s="1"/>
  <c r="IPK83" i="30" s="1"/>
  <c r="IPM83" i="30" s="1"/>
  <c r="IPO83" i="30" s="1"/>
  <c r="IPQ83" i="30" s="1"/>
  <c r="IPS83" i="30" s="1"/>
  <c r="IPU83" i="30" s="1"/>
  <c r="IPW83" i="30" s="1"/>
  <c r="IPY83" i="30" s="1"/>
  <c r="IQA83" i="30" s="1"/>
  <c r="IQC83" i="30" s="1"/>
  <c r="IQE83" i="30" s="1"/>
  <c r="IQG83" i="30" s="1"/>
  <c r="IQI83" i="30" s="1"/>
  <c r="IQK83" i="30" s="1"/>
  <c r="IQM83" i="30" s="1"/>
  <c r="IQO83" i="30" s="1"/>
  <c r="IQQ83" i="30" s="1"/>
  <c r="IQS83" i="30" s="1"/>
  <c r="IQU83" i="30" s="1"/>
  <c r="IQW83" i="30" s="1"/>
  <c r="IQY83" i="30" s="1"/>
  <c r="IRA83" i="30" s="1"/>
  <c r="IRC83" i="30" s="1"/>
  <c r="IRE83" i="30" s="1"/>
  <c r="IRG83" i="30" s="1"/>
  <c r="IRI83" i="30" s="1"/>
  <c r="IRK83" i="30" s="1"/>
  <c r="IRM83" i="30" s="1"/>
  <c r="IRO83" i="30" s="1"/>
  <c r="IRQ83" i="30" s="1"/>
  <c r="IRS83" i="30" s="1"/>
  <c r="IRU83" i="30" s="1"/>
  <c r="IRW83" i="30" s="1"/>
  <c r="IRY83" i="30" s="1"/>
  <c r="ISA83" i="30" s="1"/>
  <c r="ISC83" i="30" s="1"/>
  <c r="ISE83" i="30" s="1"/>
  <c r="ISG83" i="30" s="1"/>
  <c r="ISI83" i="30" s="1"/>
  <c r="ISK83" i="30" s="1"/>
  <c r="ISM83" i="30" s="1"/>
  <c r="ISO83" i="30" s="1"/>
  <c r="ISQ83" i="30" s="1"/>
  <c r="ISS83" i="30" s="1"/>
  <c r="ISU83" i="30" s="1"/>
  <c r="ISW83" i="30" s="1"/>
  <c r="ISY83" i="30" s="1"/>
  <c r="ITA83" i="30" s="1"/>
  <c r="ITC83" i="30" s="1"/>
  <c r="ITE83" i="30" s="1"/>
  <c r="ITG83" i="30" s="1"/>
  <c r="ITI83" i="30" s="1"/>
  <c r="ITK83" i="30" s="1"/>
  <c r="ITM83" i="30" s="1"/>
  <c r="ITO83" i="30" s="1"/>
  <c r="ITQ83" i="30" s="1"/>
  <c r="ITS83" i="30" s="1"/>
  <c r="ITU83" i="30" s="1"/>
  <c r="ITW83" i="30" s="1"/>
  <c r="ITY83" i="30" s="1"/>
  <c r="IUA83" i="30" s="1"/>
  <c r="IUC83" i="30" s="1"/>
  <c r="IUE83" i="30" s="1"/>
  <c r="IUG83" i="30" s="1"/>
  <c r="IUI83" i="30" s="1"/>
  <c r="IUK83" i="30" s="1"/>
  <c r="IUM83" i="30" s="1"/>
  <c r="IUO83" i="30" s="1"/>
  <c r="IUQ83" i="30" s="1"/>
  <c r="IUS83" i="30" s="1"/>
  <c r="IUU83" i="30" s="1"/>
  <c r="IUW83" i="30" s="1"/>
  <c r="IUY83" i="30" s="1"/>
  <c r="IVA83" i="30" s="1"/>
  <c r="IVC83" i="30" s="1"/>
  <c r="IVE83" i="30" s="1"/>
  <c r="IVG83" i="30" s="1"/>
  <c r="IVI83" i="30" s="1"/>
  <c r="IVK83" i="30" s="1"/>
  <c r="IVM83" i="30" s="1"/>
  <c r="IVO83" i="30" s="1"/>
  <c r="IVQ83" i="30" s="1"/>
  <c r="IVS83" i="30" s="1"/>
  <c r="IVU83" i="30" s="1"/>
  <c r="IVW83" i="30" s="1"/>
  <c r="IVY83" i="30" s="1"/>
  <c r="IWA83" i="30" s="1"/>
  <c r="IWC83" i="30" s="1"/>
  <c r="IWE83" i="30" s="1"/>
  <c r="IWG83" i="30" s="1"/>
  <c r="IWI83" i="30" s="1"/>
  <c r="IWK83" i="30" s="1"/>
  <c r="IWM83" i="30" s="1"/>
  <c r="IWO83" i="30" s="1"/>
  <c r="IWQ83" i="30" s="1"/>
  <c r="IWS83" i="30" s="1"/>
  <c r="IWU83" i="30" s="1"/>
  <c r="IWW83" i="30" s="1"/>
  <c r="IWY83" i="30" s="1"/>
  <c r="IXA83" i="30" s="1"/>
  <c r="IXC83" i="30" s="1"/>
  <c r="IXE83" i="30" s="1"/>
  <c r="IXG83" i="30" s="1"/>
  <c r="IXI83" i="30" s="1"/>
  <c r="IXK83" i="30" s="1"/>
  <c r="IXM83" i="30" s="1"/>
  <c r="IXO83" i="30" s="1"/>
  <c r="IXQ83" i="30" s="1"/>
  <c r="IXS83" i="30" s="1"/>
  <c r="IXU83" i="30" s="1"/>
  <c r="IXW83" i="30" s="1"/>
  <c r="IXY83" i="30" s="1"/>
  <c r="IYA83" i="30" s="1"/>
  <c r="IYC83" i="30" s="1"/>
  <c r="IYE83" i="30" s="1"/>
  <c r="IYG83" i="30" s="1"/>
  <c r="IYI83" i="30" s="1"/>
  <c r="IYK83" i="30" s="1"/>
  <c r="IYM83" i="30" s="1"/>
  <c r="IYO83" i="30" s="1"/>
  <c r="IYQ83" i="30" s="1"/>
  <c r="IYS83" i="30" s="1"/>
  <c r="IYU83" i="30" s="1"/>
  <c r="IYW83" i="30" s="1"/>
  <c r="IYY83" i="30" s="1"/>
  <c r="IZA83" i="30" s="1"/>
  <c r="IZC83" i="30" s="1"/>
  <c r="IZE83" i="30" s="1"/>
  <c r="IZG83" i="30" s="1"/>
  <c r="IZI83" i="30" s="1"/>
  <c r="IZK83" i="30" s="1"/>
  <c r="IZM83" i="30" s="1"/>
  <c r="IZO83" i="30" s="1"/>
  <c r="IZQ83" i="30" s="1"/>
  <c r="IZS83" i="30" s="1"/>
  <c r="IZU83" i="30" s="1"/>
  <c r="IZW83" i="30" s="1"/>
  <c r="IZY83" i="30" s="1"/>
  <c r="JAA83" i="30" s="1"/>
  <c r="JAC83" i="30" s="1"/>
  <c r="JAE83" i="30" s="1"/>
  <c r="JAG83" i="30" s="1"/>
  <c r="JAI83" i="30" s="1"/>
  <c r="JAK83" i="30" s="1"/>
  <c r="JAM83" i="30" s="1"/>
  <c r="JAO83" i="30" s="1"/>
  <c r="JAQ83" i="30" s="1"/>
  <c r="JAS83" i="30" s="1"/>
  <c r="JAU83" i="30" s="1"/>
  <c r="JAW83" i="30" s="1"/>
  <c r="JAY83" i="30" s="1"/>
  <c r="JBA83" i="30" s="1"/>
  <c r="JBC83" i="30" s="1"/>
  <c r="JBE83" i="30" s="1"/>
  <c r="JBG83" i="30" s="1"/>
  <c r="JBI83" i="30" s="1"/>
  <c r="JBK83" i="30" s="1"/>
  <c r="JBM83" i="30" s="1"/>
  <c r="JBO83" i="30" s="1"/>
  <c r="JBQ83" i="30" s="1"/>
  <c r="JBS83" i="30" s="1"/>
  <c r="JBU83" i="30" s="1"/>
  <c r="JBW83" i="30" s="1"/>
  <c r="JBY83" i="30" s="1"/>
  <c r="JCA83" i="30" s="1"/>
  <c r="JCC83" i="30" s="1"/>
  <c r="JCE83" i="30" s="1"/>
  <c r="JCG83" i="30" s="1"/>
  <c r="JCI83" i="30" s="1"/>
  <c r="JCK83" i="30" s="1"/>
  <c r="JCM83" i="30" s="1"/>
  <c r="JCO83" i="30" s="1"/>
  <c r="JCQ83" i="30" s="1"/>
  <c r="JCS83" i="30" s="1"/>
  <c r="JCU83" i="30" s="1"/>
  <c r="JCW83" i="30" s="1"/>
  <c r="JCY83" i="30" s="1"/>
  <c r="JDA83" i="30" s="1"/>
  <c r="JDC83" i="30" s="1"/>
  <c r="JDE83" i="30" s="1"/>
  <c r="JDG83" i="30" s="1"/>
  <c r="JDI83" i="30" s="1"/>
  <c r="JDK83" i="30" s="1"/>
  <c r="JDM83" i="30" s="1"/>
  <c r="JDO83" i="30" s="1"/>
  <c r="JDQ83" i="30" s="1"/>
  <c r="JDS83" i="30" s="1"/>
  <c r="JDU83" i="30" s="1"/>
  <c r="JDW83" i="30" s="1"/>
  <c r="JDY83" i="30" s="1"/>
  <c r="JEA83" i="30" s="1"/>
  <c r="JEC83" i="30" s="1"/>
  <c r="JEE83" i="30" s="1"/>
  <c r="JEG83" i="30" s="1"/>
  <c r="JEI83" i="30" s="1"/>
  <c r="JEK83" i="30" s="1"/>
  <c r="JEM83" i="30" s="1"/>
  <c r="JEO83" i="30" s="1"/>
  <c r="JEQ83" i="30" s="1"/>
  <c r="JES83" i="30" s="1"/>
  <c r="JEU83" i="30" s="1"/>
  <c r="JEW83" i="30" s="1"/>
  <c r="JEY83" i="30" s="1"/>
  <c r="JFA83" i="30" s="1"/>
  <c r="JFC83" i="30" s="1"/>
  <c r="JFE83" i="30" s="1"/>
  <c r="JFG83" i="30" s="1"/>
  <c r="JFI83" i="30" s="1"/>
  <c r="JFK83" i="30" s="1"/>
  <c r="JFM83" i="30" s="1"/>
  <c r="JFO83" i="30" s="1"/>
  <c r="JFQ83" i="30" s="1"/>
  <c r="JFS83" i="30" s="1"/>
  <c r="JFU83" i="30" s="1"/>
  <c r="JFW83" i="30" s="1"/>
  <c r="JFY83" i="30" s="1"/>
  <c r="JGA83" i="30" s="1"/>
  <c r="JGC83" i="30" s="1"/>
  <c r="JGE83" i="30" s="1"/>
  <c r="JGG83" i="30" s="1"/>
  <c r="JGI83" i="30" s="1"/>
  <c r="JGK83" i="30" s="1"/>
  <c r="JGM83" i="30" s="1"/>
  <c r="JGO83" i="30" s="1"/>
  <c r="JGQ83" i="30" s="1"/>
  <c r="JGS83" i="30" s="1"/>
  <c r="JGU83" i="30" s="1"/>
  <c r="JGW83" i="30" s="1"/>
  <c r="JGY83" i="30" s="1"/>
  <c r="JHA83" i="30" s="1"/>
  <c r="JHC83" i="30" s="1"/>
  <c r="JHE83" i="30" s="1"/>
  <c r="JHG83" i="30" s="1"/>
  <c r="JHI83" i="30" s="1"/>
  <c r="JHK83" i="30" s="1"/>
  <c r="JHM83" i="30" s="1"/>
  <c r="JHO83" i="30" s="1"/>
  <c r="JHQ83" i="30" s="1"/>
  <c r="JHS83" i="30" s="1"/>
  <c r="JHU83" i="30" s="1"/>
  <c r="JHW83" i="30" s="1"/>
  <c r="JHY83" i="30" s="1"/>
  <c r="JIA83" i="30" s="1"/>
  <c r="JIC83" i="30" s="1"/>
  <c r="JIE83" i="30" s="1"/>
  <c r="JIG83" i="30" s="1"/>
  <c r="JII83" i="30" s="1"/>
  <c r="JIK83" i="30" s="1"/>
  <c r="JIM83" i="30" s="1"/>
  <c r="JIO83" i="30" s="1"/>
  <c r="JIQ83" i="30" s="1"/>
  <c r="JIS83" i="30" s="1"/>
  <c r="JIU83" i="30" s="1"/>
  <c r="JIW83" i="30" s="1"/>
  <c r="JIY83" i="30" s="1"/>
  <c r="JJA83" i="30" s="1"/>
  <c r="JJC83" i="30" s="1"/>
  <c r="JJE83" i="30" s="1"/>
  <c r="JJG83" i="30" s="1"/>
  <c r="JJI83" i="30" s="1"/>
  <c r="JJK83" i="30" s="1"/>
  <c r="JJM83" i="30" s="1"/>
  <c r="JJO83" i="30" s="1"/>
  <c r="JJQ83" i="30" s="1"/>
  <c r="JJS83" i="30" s="1"/>
  <c r="JJU83" i="30" s="1"/>
  <c r="JJW83" i="30" s="1"/>
  <c r="JJY83" i="30" s="1"/>
  <c r="JKA83" i="30" s="1"/>
  <c r="JKC83" i="30" s="1"/>
  <c r="JKE83" i="30" s="1"/>
  <c r="JKG83" i="30" s="1"/>
  <c r="JKI83" i="30" s="1"/>
  <c r="JKK83" i="30" s="1"/>
  <c r="JKM83" i="30" s="1"/>
  <c r="JKO83" i="30" s="1"/>
  <c r="JKQ83" i="30" s="1"/>
  <c r="JKS83" i="30" s="1"/>
  <c r="JKU83" i="30" s="1"/>
  <c r="JKW83" i="30" s="1"/>
  <c r="JKY83" i="30" s="1"/>
  <c r="JLA83" i="30" s="1"/>
  <c r="JLC83" i="30" s="1"/>
  <c r="JLE83" i="30" s="1"/>
  <c r="JLG83" i="30" s="1"/>
  <c r="JLI83" i="30" s="1"/>
  <c r="JLK83" i="30" s="1"/>
  <c r="JLM83" i="30" s="1"/>
  <c r="JLO83" i="30" s="1"/>
  <c r="JLQ83" i="30" s="1"/>
  <c r="JLS83" i="30" s="1"/>
  <c r="JLU83" i="30" s="1"/>
  <c r="JLW83" i="30" s="1"/>
  <c r="JLY83" i="30" s="1"/>
  <c r="JMA83" i="30" s="1"/>
  <c r="JMC83" i="30" s="1"/>
  <c r="JME83" i="30" s="1"/>
  <c r="JMG83" i="30" s="1"/>
  <c r="JMI83" i="30" s="1"/>
  <c r="JMK83" i="30" s="1"/>
  <c r="JMM83" i="30" s="1"/>
  <c r="JMO83" i="30" s="1"/>
  <c r="JMQ83" i="30" s="1"/>
  <c r="JMS83" i="30" s="1"/>
  <c r="JMU83" i="30" s="1"/>
  <c r="JMW83" i="30" s="1"/>
  <c r="JMY83" i="30" s="1"/>
  <c r="JNA83" i="30" s="1"/>
  <c r="JNC83" i="30" s="1"/>
  <c r="JNE83" i="30" s="1"/>
  <c r="JNG83" i="30" s="1"/>
  <c r="JNI83" i="30" s="1"/>
  <c r="JNK83" i="30" s="1"/>
  <c r="JNM83" i="30" s="1"/>
  <c r="JNO83" i="30" s="1"/>
  <c r="JNQ83" i="30" s="1"/>
  <c r="JNS83" i="30" s="1"/>
  <c r="JNU83" i="30" s="1"/>
  <c r="JNW83" i="30" s="1"/>
  <c r="JNY83" i="30" s="1"/>
  <c r="JOA83" i="30" s="1"/>
  <c r="JOC83" i="30" s="1"/>
  <c r="JOE83" i="30" s="1"/>
  <c r="JOG83" i="30" s="1"/>
  <c r="JOI83" i="30" s="1"/>
  <c r="JOK83" i="30" s="1"/>
  <c r="JOM83" i="30" s="1"/>
  <c r="JOO83" i="30" s="1"/>
  <c r="JOQ83" i="30" s="1"/>
  <c r="JOS83" i="30" s="1"/>
  <c r="JOU83" i="30" s="1"/>
  <c r="JOW83" i="30" s="1"/>
  <c r="JOY83" i="30" s="1"/>
  <c r="JPA83" i="30" s="1"/>
  <c r="JPC83" i="30" s="1"/>
  <c r="JPE83" i="30" s="1"/>
  <c r="JPG83" i="30" s="1"/>
  <c r="JPI83" i="30" s="1"/>
  <c r="JPK83" i="30" s="1"/>
  <c r="JPM83" i="30" s="1"/>
  <c r="JPO83" i="30" s="1"/>
  <c r="JPQ83" i="30" s="1"/>
  <c r="JPS83" i="30" s="1"/>
  <c r="JPU83" i="30" s="1"/>
  <c r="JPW83" i="30" s="1"/>
  <c r="JPY83" i="30" s="1"/>
  <c r="JQA83" i="30" s="1"/>
  <c r="JQC83" i="30" s="1"/>
  <c r="JQE83" i="30" s="1"/>
  <c r="JQG83" i="30" s="1"/>
  <c r="JQI83" i="30" s="1"/>
  <c r="JQK83" i="30" s="1"/>
  <c r="JQM83" i="30" s="1"/>
  <c r="JQO83" i="30" s="1"/>
  <c r="JQQ83" i="30" s="1"/>
  <c r="JQS83" i="30" s="1"/>
  <c r="JQU83" i="30" s="1"/>
  <c r="JQW83" i="30" s="1"/>
  <c r="JQY83" i="30" s="1"/>
  <c r="JRA83" i="30" s="1"/>
  <c r="JRC83" i="30" s="1"/>
  <c r="JRE83" i="30" s="1"/>
  <c r="JRG83" i="30" s="1"/>
  <c r="JRI83" i="30" s="1"/>
  <c r="JRK83" i="30" s="1"/>
  <c r="JRM83" i="30" s="1"/>
  <c r="JRO83" i="30" s="1"/>
  <c r="JRQ83" i="30" s="1"/>
  <c r="JRS83" i="30" s="1"/>
  <c r="JRU83" i="30" s="1"/>
  <c r="JRW83" i="30" s="1"/>
  <c r="JRY83" i="30" s="1"/>
  <c r="JSA83" i="30" s="1"/>
  <c r="JSC83" i="30" s="1"/>
  <c r="JSE83" i="30" s="1"/>
  <c r="JSG83" i="30" s="1"/>
  <c r="JSI83" i="30" s="1"/>
  <c r="JSK83" i="30" s="1"/>
  <c r="JSM83" i="30" s="1"/>
  <c r="JSO83" i="30" s="1"/>
  <c r="JSQ83" i="30" s="1"/>
  <c r="JSS83" i="30" s="1"/>
  <c r="JSU83" i="30" s="1"/>
  <c r="JSW83" i="30" s="1"/>
  <c r="JSY83" i="30" s="1"/>
  <c r="JTA83" i="30" s="1"/>
  <c r="JTC83" i="30" s="1"/>
  <c r="JTE83" i="30" s="1"/>
  <c r="JTG83" i="30" s="1"/>
  <c r="JTI83" i="30" s="1"/>
  <c r="JTK83" i="30" s="1"/>
  <c r="JTM83" i="30" s="1"/>
  <c r="JTO83" i="30" s="1"/>
  <c r="JTQ83" i="30" s="1"/>
  <c r="JTS83" i="30" s="1"/>
  <c r="JTU83" i="30" s="1"/>
  <c r="JTW83" i="30" s="1"/>
  <c r="JTY83" i="30" s="1"/>
  <c r="JUA83" i="30" s="1"/>
  <c r="JUC83" i="30" s="1"/>
  <c r="JUE83" i="30" s="1"/>
  <c r="JUG83" i="30" s="1"/>
  <c r="JUI83" i="30" s="1"/>
  <c r="JUK83" i="30" s="1"/>
  <c r="JUM83" i="30" s="1"/>
  <c r="JUO83" i="30" s="1"/>
  <c r="JUQ83" i="30" s="1"/>
  <c r="JUS83" i="30" s="1"/>
  <c r="JUU83" i="30" s="1"/>
  <c r="JUW83" i="30" s="1"/>
  <c r="JUY83" i="30" s="1"/>
  <c r="JVA83" i="30" s="1"/>
  <c r="JVC83" i="30" s="1"/>
  <c r="JVE83" i="30" s="1"/>
  <c r="JVG83" i="30" s="1"/>
  <c r="JVI83" i="30" s="1"/>
  <c r="JVK83" i="30" s="1"/>
  <c r="JVM83" i="30" s="1"/>
  <c r="JVO83" i="30" s="1"/>
  <c r="JVQ83" i="30" s="1"/>
  <c r="JVS83" i="30" s="1"/>
  <c r="JVU83" i="30" s="1"/>
  <c r="JVW83" i="30" s="1"/>
  <c r="JVY83" i="30" s="1"/>
  <c r="JWA83" i="30" s="1"/>
  <c r="JWC83" i="30" s="1"/>
  <c r="JWE83" i="30" s="1"/>
  <c r="JWG83" i="30" s="1"/>
  <c r="JWI83" i="30" s="1"/>
  <c r="JWK83" i="30" s="1"/>
  <c r="JWM83" i="30" s="1"/>
  <c r="JWO83" i="30" s="1"/>
  <c r="JWQ83" i="30" s="1"/>
  <c r="JWS83" i="30" s="1"/>
  <c r="JWU83" i="30" s="1"/>
  <c r="JWW83" i="30" s="1"/>
  <c r="JWY83" i="30" s="1"/>
  <c r="JXA83" i="30" s="1"/>
  <c r="JXC83" i="30" s="1"/>
  <c r="JXE83" i="30" s="1"/>
  <c r="JXG83" i="30" s="1"/>
  <c r="JXI83" i="30" s="1"/>
  <c r="JXK83" i="30" s="1"/>
  <c r="JXM83" i="30" s="1"/>
  <c r="JXO83" i="30" s="1"/>
  <c r="JXQ83" i="30" s="1"/>
  <c r="JXS83" i="30" s="1"/>
  <c r="JXU83" i="30" s="1"/>
  <c r="JXW83" i="30" s="1"/>
  <c r="JXY83" i="30" s="1"/>
  <c r="JYA83" i="30" s="1"/>
  <c r="JYC83" i="30" s="1"/>
  <c r="JYE83" i="30" s="1"/>
  <c r="JYG83" i="30" s="1"/>
  <c r="JYI83" i="30" s="1"/>
  <c r="JYK83" i="30" s="1"/>
  <c r="JYM83" i="30" s="1"/>
  <c r="JYO83" i="30" s="1"/>
  <c r="JYQ83" i="30" s="1"/>
  <c r="JYS83" i="30" s="1"/>
  <c r="JYU83" i="30" s="1"/>
  <c r="JYW83" i="30" s="1"/>
  <c r="JYY83" i="30" s="1"/>
  <c r="JZA83" i="30" s="1"/>
  <c r="JZC83" i="30" s="1"/>
  <c r="JZE83" i="30" s="1"/>
  <c r="JZG83" i="30" s="1"/>
  <c r="JZI83" i="30" s="1"/>
  <c r="JZK83" i="30" s="1"/>
  <c r="JZM83" i="30" s="1"/>
  <c r="JZO83" i="30" s="1"/>
  <c r="JZQ83" i="30" s="1"/>
  <c r="JZS83" i="30" s="1"/>
  <c r="JZU83" i="30" s="1"/>
  <c r="JZW83" i="30" s="1"/>
  <c r="JZY83" i="30" s="1"/>
  <c r="KAA83" i="30" s="1"/>
  <c r="KAC83" i="30" s="1"/>
  <c r="KAE83" i="30" s="1"/>
  <c r="KAG83" i="30" s="1"/>
  <c r="KAI83" i="30" s="1"/>
  <c r="KAK83" i="30" s="1"/>
  <c r="KAM83" i="30" s="1"/>
  <c r="KAO83" i="30" s="1"/>
  <c r="KAQ83" i="30" s="1"/>
  <c r="KAS83" i="30" s="1"/>
  <c r="KAU83" i="30" s="1"/>
  <c r="KAW83" i="30" s="1"/>
  <c r="KAY83" i="30" s="1"/>
  <c r="KBA83" i="30" s="1"/>
  <c r="KBC83" i="30" s="1"/>
  <c r="KBE83" i="30" s="1"/>
  <c r="KBG83" i="30" s="1"/>
  <c r="KBI83" i="30" s="1"/>
  <c r="KBK83" i="30" s="1"/>
  <c r="KBM83" i="30" s="1"/>
  <c r="KBO83" i="30" s="1"/>
  <c r="KBQ83" i="30" s="1"/>
  <c r="KBS83" i="30" s="1"/>
  <c r="KBU83" i="30" s="1"/>
  <c r="KBW83" i="30" s="1"/>
  <c r="KBY83" i="30" s="1"/>
  <c r="KCA83" i="30" s="1"/>
  <c r="KCC83" i="30" s="1"/>
  <c r="KCE83" i="30" s="1"/>
  <c r="KCG83" i="30" s="1"/>
  <c r="KCI83" i="30" s="1"/>
  <c r="KCK83" i="30" s="1"/>
  <c r="KCM83" i="30" s="1"/>
  <c r="KCO83" i="30" s="1"/>
  <c r="KCQ83" i="30" s="1"/>
  <c r="KCS83" i="30" s="1"/>
  <c r="KCU83" i="30" s="1"/>
  <c r="KCW83" i="30" s="1"/>
  <c r="KCY83" i="30" s="1"/>
  <c r="KDA83" i="30" s="1"/>
  <c r="KDC83" i="30" s="1"/>
  <c r="KDE83" i="30" s="1"/>
  <c r="KDG83" i="30" s="1"/>
  <c r="KDI83" i="30" s="1"/>
  <c r="KDK83" i="30" s="1"/>
  <c r="KDM83" i="30" s="1"/>
  <c r="KDO83" i="30" s="1"/>
  <c r="KDQ83" i="30" s="1"/>
  <c r="KDS83" i="30" s="1"/>
  <c r="KDU83" i="30" s="1"/>
  <c r="KDW83" i="30" s="1"/>
  <c r="KDY83" i="30" s="1"/>
  <c r="KEA83" i="30" s="1"/>
  <c r="KEC83" i="30" s="1"/>
  <c r="KEE83" i="30" s="1"/>
  <c r="KEG83" i="30" s="1"/>
  <c r="KEI83" i="30" s="1"/>
  <c r="KEK83" i="30" s="1"/>
  <c r="KEM83" i="30" s="1"/>
  <c r="KEO83" i="30" s="1"/>
  <c r="KEQ83" i="30" s="1"/>
  <c r="KES83" i="30" s="1"/>
  <c r="KEU83" i="30" s="1"/>
  <c r="KEW83" i="30" s="1"/>
  <c r="KEY83" i="30" s="1"/>
  <c r="KFA83" i="30" s="1"/>
  <c r="KFC83" i="30" s="1"/>
  <c r="KFE83" i="30" s="1"/>
  <c r="KFG83" i="30" s="1"/>
  <c r="KFI83" i="30" s="1"/>
  <c r="KFK83" i="30" s="1"/>
  <c r="KFM83" i="30" s="1"/>
  <c r="KFO83" i="30" s="1"/>
  <c r="KFQ83" i="30" s="1"/>
  <c r="KFS83" i="30" s="1"/>
  <c r="KFU83" i="30" s="1"/>
  <c r="KFW83" i="30" s="1"/>
  <c r="KFY83" i="30" s="1"/>
  <c r="KGA83" i="30" s="1"/>
  <c r="KGC83" i="30" s="1"/>
  <c r="KGE83" i="30" s="1"/>
  <c r="KGG83" i="30" s="1"/>
  <c r="KGI83" i="30" s="1"/>
  <c r="KGK83" i="30" s="1"/>
  <c r="KGM83" i="30" s="1"/>
  <c r="KGO83" i="30" s="1"/>
  <c r="KGQ83" i="30" s="1"/>
  <c r="KGS83" i="30" s="1"/>
  <c r="KGU83" i="30" s="1"/>
  <c r="KGW83" i="30" s="1"/>
  <c r="KGY83" i="30" s="1"/>
  <c r="KHA83" i="30" s="1"/>
  <c r="KHC83" i="30" s="1"/>
  <c r="KHE83" i="30" s="1"/>
  <c r="KHG83" i="30" s="1"/>
  <c r="KHI83" i="30" s="1"/>
  <c r="KHK83" i="30" s="1"/>
  <c r="KHM83" i="30" s="1"/>
  <c r="KHO83" i="30" s="1"/>
  <c r="KHQ83" i="30" s="1"/>
  <c r="KHS83" i="30" s="1"/>
  <c r="KHU83" i="30" s="1"/>
  <c r="KHW83" i="30" s="1"/>
  <c r="KHY83" i="30" s="1"/>
  <c r="KIA83" i="30" s="1"/>
  <c r="KIC83" i="30" s="1"/>
  <c r="KIE83" i="30" s="1"/>
  <c r="KIG83" i="30" s="1"/>
  <c r="KII83" i="30" s="1"/>
  <c r="KIK83" i="30" s="1"/>
  <c r="KIM83" i="30" s="1"/>
  <c r="KIO83" i="30" s="1"/>
  <c r="KIQ83" i="30" s="1"/>
  <c r="KIS83" i="30" s="1"/>
  <c r="KIU83" i="30" s="1"/>
  <c r="KIW83" i="30" s="1"/>
  <c r="KIY83" i="30" s="1"/>
  <c r="KJA83" i="30" s="1"/>
  <c r="KJC83" i="30" s="1"/>
  <c r="KJE83" i="30" s="1"/>
  <c r="KJG83" i="30" s="1"/>
  <c r="KJI83" i="30" s="1"/>
  <c r="KJK83" i="30" s="1"/>
  <c r="KJM83" i="30" s="1"/>
  <c r="KJO83" i="30" s="1"/>
  <c r="KJQ83" i="30" s="1"/>
  <c r="KJS83" i="30" s="1"/>
  <c r="KJU83" i="30" s="1"/>
  <c r="KJW83" i="30" s="1"/>
  <c r="KJY83" i="30" s="1"/>
  <c r="KKA83" i="30" s="1"/>
  <c r="KKC83" i="30" s="1"/>
  <c r="KKE83" i="30" s="1"/>
  <c r="KKG83" i="30" s="1"/>
  <c r="KKI83" i="30" s="1"/>
  <c r="KKK83" i="30" s="1"/>
  <c r="KKM83" i="30" s="1"/>
  <c r="KKO83" i="30" s="1"/>
  <c r="KKQ83" i="30" s="1"/>
  <c r="KKS83" i="30" s="1"/>
  <c r="KKU83" i="30" s="1"/>
  <c r="KKW83" i="30" s="1"/>
  <c r="KKY83" i="30" s="1"/>
  <c r="KLA83" i="30" s="1"/>
  <c r="KLC83" i="30" s="1"/>
  <c r="KLE83" i="30" s="1"/>
  <c r="KLG83" i="30" s="1"/>
  <c r="KLI83" i="30" s="1"/>
  <c r="KLK83" i="30" s="1"/>
  <c r="KLM83" i="30" s="1"/>
  <c r="KLO83" i="30" s="1"/>
  <c r="KLQ83" i="30" s="1"/>
  <c r="KLS83" i="30" s="1"/>
  <c r="KLU83" i="30" s="1"/>
  <c r="KLW83" i="30" s="1"/>
  <c r="KLY83" i="30" s="1"/>
  <c r="KMA83" i="30" s="1"/>
  <c r="KMC83" i="30" s="1"/>
  <c r="KME83" i="30" s="1"/>
  <c r="KMG83" i="30" s="1"/>
  <c r="KMI83" i="30" s="1"/>
  <c r="KMK83" i="30" s="1"/>
  <c r="KMM83" i="30" s="1"/>
  <c r="KMO83" i="30" s="1"/>
  <c r="KMQ83" i="30" s="1"/>
  <c r="KMS83" i="30" s="1"/>
  <c r="KMU83" i="30" s="1"/>
  <c r="KMW83" i="30" s="1"/>
  <c r="KMY83" i="30" s="1"/>
  <c r="KNA83" i="30" s="1"/>
  <c r="KNC83" i="30" s="1"/>
  <c r="KNE83" i="30" s="1"/>
  <c r="KNG83" i="30" s="1"/>
  <c r="KNI83" i="30" s="1"/>
  <c r="KNK83" i="30" s="1"/>
  <c r="KNM83" i="30" s="1"/>
  <c r="KNO83" i="30" s="1"/>
  <c r="KNQ83" i="30" s="1"/>
  <c r="KNS83" i="30" s="1"/>
  <c r="KNU83" i="30" s="1"/>
  <c r="KNW83" i="30" s="1"/>
  <c r="KNY83" i="30" s="1"/>
  <c r="KOA83" i="30" s="1"/>
  <c r="KOC83" i="30" s="1"/>
  <c r="KOE83" i="30" s="1"/>
  <c r="KOG83" i="30" s="1"/>
  <c r="KOI83" i="30" s="1"/>
  <c r="KOK83" i="30" s="1"/>
  <c r="KOM83" i="30" s="1"/>
  <c r="KOO83" i="30" s="1"/>
  <c r="KOQ83" i="30" s="1"/>
  <c r="KOS83" i="30" s="1"/>
  <c r="KOU83" i="30" s="1"/>
  <c r="KOW83" i="30" s="1"/>
  <c r="KOY83" i="30" s="1"/>
  <c r="KPA83" i="30" s="1"/>
  <c r="KPC83" i="30" s="1"/>
  <c r="KPE83" i="30" s="1"/>
  <c r="KPG83" i="30" s="1"/>
  <c r="KPI83" i="30" s="1"/>
  <c r="KPK83" i="30" s="1"/>
  <c r="KPM83" i="30" s="1"/>
  <c r="KPO83" i="30" s="1"/>
  <c r="KPQ83" i="30" s="1"/>
  <c r="KPS83" i="30" s="1"/>
  <c r="KPU83" i="30" s="1"/>
  <c r="KPW83" i="30" s="1"/>
  <c r="KPY83" i="30" s="1"/>
  <c r="KQA83" i="30" s="1"/>
  <c r="KQC83" i="30" s="1"/>
  <c r="KQE83" i="30" s="1"/>
  <c r="KQG83" i="30" s="1"/>
  <c r="KQI83" i="30" s="1"/>
  <c r="KQK83" i="30" s="1"/>
  <c r="KQM83" i="30" s="1"/>
  <c r="KQO83" i="30" s="1"/>
  <c r="KQQ83" i="30" s="1"/>
  <c r="KQS83" i="30" s="1"/>
  <c r="KQU83" i="30" s="1"/>
  <c r="KQW83" i="30" s="1"/>
  <c r="KQY83" i="30" s="1"/>
  <c r="KRA83" i="30" s="1"/>
  <c r="KRC83" i="30" s="1"/>
  <c r="KRE83" i="30" s="1"/>
  <c r="KRG83" i="30" s="1"/>
  <c r="KRI83" i="30" s="1"/>
  <c r="KRK83" i="30" s="1"/>
  <c r="KRM83" i="30" s="1"/>
  <c r="KRO83" i="30" s="1"/>
  <c r="KRQ83" i="30" s="1"/>
  <c r="KRS83" i="30" s="1"/>
  <c r="KRU83" i="30" s="1"/>
  <c r="KRW83" i="30" s="1"/>
  <c r="KRY83" i="30" s="1"/>
  <c r="KSA83" i="30" s="1"/>
  <c r="KSC83" i="30" s="1"/>
  <c r="KSE83" i="30" s="1"/>
  <c r="KSG83" i="30" s="1"/>
  <c r="KSI83" i="30" s="1"/>
  <c r="KSK83" i="30" s="1"/>
  <c r="KSM83" i="30" s="1"/>
  <c r="KSO83" i="30" s="1"/>
  <c r="KSQ83" i="30" s="1"/>
  <c r="KSS83" i="30" s="1"/>
  <c r="KSU83" i="30" s="1"/>
  <c r="KSW83" i="30" s="1"/>
  <c r="KSY83" i="30" s="1"/>
  <c r="KTA83" i="30" s="1"/>
  <c r="KTC83" i="30" s="1"/>
  <c r="KTE83" i="30" s="1"/>
  <c r="KTG83" i="30" s="1"/>
  <c r="KTI83" i="30" s="1"/>
  <c r="KTK83" i="30" s="1"/>
  <c r="KTM83" i="30" s="1"/>
  <c r="KTO83" i="30" s="1"/>
  <c r="KTQ83" i="30" s="1"/>
  <c r="KTS83" i="30" s="1"/>
  <c r="KTU83" i="30" s="1"/>
  <c r="KTW83" i="30" s="1"/>
  <c r="KTY83" i="30" s="1"/>
  <c r="KUA83" i="30" s="1"/>
  <c r="KUC83" i="30" s="1"/>
  <c r="KUE83" i="30" s="1"/>
  <c r="KUG83" i="30" s="1"/>
  <c r="KUI83" i="30" s="1"/>
  <c r="KUK83" i="30" s="1"/>
  <c r="KUM83" i="30" s="1"/>
  <c r="KUO83" i="30" s="1"/>
  <c r="KUQ83" i="30" s="1"/>
  <c r="KUS83" i="30" s="1"/>
  <c r="KUU83" i="30" s="1"/>
  <c r="KUW83" i="30" s="1"/>
  <c r="KUY83" i="30" s="1"/>
  <c r="KVA83" i="30" s="1"/>
  <c r="KVC83" i="30" s="1"/>
  <c r="KVE83" i="30" s="1"/>
  <c r="KVG83" i="30" s="1"/>
  <c r="KVI83" i="30" s="1"/>
  <c r="KVK83" i="30" s="1"/>
  <c r="KVM83" i="30" s="1"/>
  <c r="KVO83" i="30" s="1"/>
  <c r="KVQ83" i="30" s="1"/>
  <c r="KVS83" i="30" s="1"/>
  <c r="KVU83" i="30" s="1"/>
  <c r="KVW83" i="30" s="1"/>
  <c r="KVY83" i="30" s="1"/>
  <c r="KWA83" i="30" s="1"/>
  <c r="KWC83" i="30" s="1"/>
  <c r="KWE83" i="30" s="1"/>
  <c r="KWG83" i="30" s="1"/>
  <c r="KWI83" i="30" s="1"/>
  <c r="KWK83" i="30" s="1"/>
  <c r="KWM83" i="30" s="1"/>
  <c r="KWO83" i="30" s="1"/>
  <c r="KWQ83" i="30" s="1"/>
  <c r="KWS83" i="30" s="1"/>
  <c r="KWU83" i="30" s="1"/>
  <c r="KWW83" i="30" s="1"/>
  <c r="KWY83" i="30" s="1"/>
  <c r="KXA83" i="30" s="1"/>
  <c r="KXC83" i="30" s="1"/>
  <c r="KXE83" i="30" s="1"/>
  <c r="KXG83" i="30" s="1"/>
  <c r="KXI83" i="30" s="1"/>
  <c r="KXK83" i="30" s="1"/>
  <c r="KXM83" i="30" s="1"/>
  <c r="KXO83" i="30" s="1"/>
  <c r="KXQ83" i="30" s="1"/>
  <c r="KXS83" i="30" s="1"/>
  <c r="KXU83" i="30" s="1"/>
  <c r="KXW83" i="30" s="1"/>
  <c r="KXY83" i="30" s="1"/>
  <c r="KYA83" i="30" s="1"/>
  <c r="KYC83" i="30" s="1"/>
  <c r="KYE83" i="30" s="1"/>
  <c r="KYG83" i="30" s="1"/>
  <c r="KYI83" i="30" s="1"/>
  <c r="KYK83" i="30" s="1"/>
  <c r="KYM83" i="30" s="1"/>
  <c r="KYO83" i="30" s="1"/>
  <c r="KYQ83" i="30" s="1"/>
  <c r="KYS83" i="30" s="1"/>
  <c r="KYU83" i="30" s="1"/>
  <c r="KYW83" i="30" s="1"/>
  <c r="KYY83" i="30" s="1"/>
  <c r="KZA83" i="30" s="1"/>
  <c r="KZC83" i="30" s="1"/>
  <c r="KZE83" i="30" s="1"/>
  <c r="KZG83" i="30" s="1"/>
  <c r="KZI83" i="30" s="1"/>
  <c r="KZK83" i="30" s="1"/>
  <c r="KZM83" i="30" s="1"/>
  <c r="KZO83" i="30" s="1"/>
  <c r="KZQ83" i="30" s="1"/>
  <c r="KZS83" i="30" s="1"/>
  <c r="KZU83" i="30" s="1"/>
  <c r="KZW83" i="30" s="1"/>
  <c r="KZY83" i="30" s="1"/>
  <c r="LAA83" i="30" s="1"/>
  <c r="LAC83" i="30" s="1"/>
  <c r="LAE83" i="30" s="1"/>
  <c r="LAG83" i="30" s="1"/>
  <c r="LAI83" i="30" s="1"/>
  <c r="LAK83" i="30" s="1"/>
  <c r="LAM83" i="30" s="1"/>
  <c r="LAO83" i="30" s="1"/>
  <c r="LAQ83" i="30" s="1"/>
  <c r="LAS83" i="30" s="1"/>
  <c r="LAU83" i="30" s="1"/>
  <c r="LAW83" i="30" s="1"/>
  <c r="LAY83" i="30" s="1"/>
  <c r="LBA83" i="30" s="1"/>
  <c r="LBC83" i="30" s="1"/>
  <c r="LBE83" i="30" s="1"/>
  <c r="LBG83" i="30" s="1"/>
  <c r="LBI83" i="30" s="1"/>
  <c r="LBK83" i="30" s="1"/>
  <c r="LBM83" i="30" s="1"/>
  <c r="LBO83" i="30" s="1"/>
  <c r="LBQ83" i="30" s="1"/>
  <c r="LBS83" i="30" s="1"/>
  <c r="LBU83" i="30" s="1"/>
  <c r="LBW83" i="30" s="1"/>
  <c r="LBY83" i="30" s="1"/>
  <c r="LCA83" i="30" s="1"/>
  <c r="LCC83" i="30" s="1"/>
  <c r="LCE83" i="30" s="1"/>
  <c r="LCG83" i="30" s="1"/>
  <c r="LCI83" i="30" s="1"/>
  <c r="LCK83" i="30" s="1"/>
  <c r="LCM83" i="30" s="1"/>
  <c r="LCO83" i="30" s="1"/>
  <c r="LCQ83" i="30" s="1"/>
  <c r="LCS83" i="30" s="1"/>
  <c r="LCU83" i="30" s="1"/>
  <c r="LCW83" i="30" s="1"/>
  <c r="LCY83" i="30" s="1"/>
  <c r="LDA83" i="30" s="1"/>
  <c r="LDC83" i="30" s="1"/>
  <c r="LDE83" i="30" s="1"/>
  <c r="LDG83" i="30" s="1"/>
  <c r="LDI83" i="30" s="1"/>
  <c r="LDK83" i="30" s="1"/>
  <c r="LDM83" i="30" s="1"/>
  <c r="LDO83" i="30" s="1"/>
  <c r="LDQ83" i="30" s="1"/>
  <c r="LDS83" i="30" s="1"/>
  <c r="LDU83" i="30" s="1"/>
  <c r="LDW83" i="30" s="1"/>
  <c r="LDY83" i="30" s="1"/>
  <c r="LEA83" i="30" s="1"/>
  <c r="LEC83" i="30" s="1"/>
  <c r="LEE83" i="30" s="1"/>
  <c r="LEG83" i="30" s="1"/>
  <c r="LEI83" i="30" s="1"/>
  <c r="LEK83" i="30" s="1"/>
  <c r="LEM83" i="30" s="1"/>
  <c r="LEO83" i="30" s="1"/>
  <c r="LEQ83" i="30" s="1"/>
  <c r="LES83" i="30" s="1"/>
  <c r="LEU83" i="30" s="1"/>
  <c r="LEW83" i="30" s="1"/>
  <c r="LEY83" i="30" s="1"/>
  <c r="LFA83" i="30" s="1"/>
  <c r="LFC83" i="30" s="1"/>
  <c r="LFE83" i="30" s="1"/>
  <c r="LFG83" i="30" s="1"/>
  <c r="LFI83" i="30" s="1"/>
  <c r="LFK83" i="30" s="1"/>
  <c r="LFM83" i="30" s="1"/>
  <c r="LFO83" i="30" s="1"/>
  <c r="LFQ83" i="30" s="1"/>
  <c r="LFS83" i="30" s="1"/>
  <c r="LFU83" i="30" s="1"/>
  <c r="LFW83" i="30" s="1"/>
  <c r="LFY83" i="30" s="1"/>
  <c r="LGA83" i="30" s="1"/>
  <c r="LGC83" i="30" s="1"/>
  <c r="LGE83" i="30" s="1"/>
  <c r="LGG83" i="30" s="1"/>
  <c r="LGI83" i="30" s="1"/>
  <c r="LGK83" i="30" s="1"/>
  <c r="LGM83" i="30" s="1"/>
  <c r="LGO83" i="30" s="1"/>
  <c r="LGQ83" i="30" s="1"/>
  <c r="LGS83" i="30" s="1"/>
  <c r="LGU83" i="30" s="1"/>
  <c r="LGW83" i="30" s="1"/>
  <c r="LGY83" i="30" s="1"/>
  <c r="LHA83" i="30" s="1"/>
  <c r="LHC83" i="30" s="1"/>
  <c r="LHE83" i="30" s="1"/>
  <c r="LHG83" i="30" s="1"/>
  <c r="LHI83" i="30" s="1"/>
  <c r="LHK83" i="30" s="1"/>
  <c r="LHM83" i="30" s="1"/>
  <c r="LHO83" i="30" s="1"/>
  <c r="LHQ83" i="30" s="1"/>
  <c r="LHS83" i="30" s="1"/>
  <c r="LHU83" i="30" s="1"/>
  <c r="LHW83" i="30" s="1"/>
  <c r="LHY83" i="30" s="1"/>
  <c r="LIA83" i="30" s="1"/>
  <c r="LIC83" i="30" s="1"/>
  <c r="LIE83" i="30" s="1"/>
  <c r="LIG83" i="30" s="1"/>
  <c r="LII83" i="30" s="1"/>
  <c r="LIK83" i="30" s="1"/>
  <c r="LIM83" i="30" s="1"/>
  <c r="LIO83" i="30" s="1"/>
  <c r="LIQ83" i="30" s="1"/>
  <c r="LIS83" i="30" s="1"/>
  <c r="LIU83" i="30" s="1"/>
  <c r="LIW83" i="30" s="1"/>
  <c r="LIY83" i="30" s="1"/>
  <c r="LJA83" i="30" s="1"/>
  <c r="LJC83" i="30" s="1"/>
  <c r="LJE83" i="30" s="1"/>
  <c r="LJG83" i="30" s="1"/>
  <c r="LJI83" i="30" s="1"/>
  <c r="LJK83" i="30" s="1"/>
  <c r="LJM83" i="30" s="1"/>
  <c r="LJO83" i="30" s="1"/>
  <c r="LJQ83" i="30" s="1"/>
  <c r="LJS83" i="30" s="1"/>
  <c r="LJU83" i="30" s="1"/>
  <c r="LJW83" i="30" s="1"/>
  <c r="LJY83" i="30" s="1"/>
  <c r="LKA83" i="30" s="1"/>
  <c r="LKC83" i="30" s="1"/>
  <c r="LKE83" i="30" s="1"/>
  <c r="LKG83" i="30" s="1"/>
  <c r="LKI83" i="30" s="1"/>
  <c r="LKK83" i="30" s="1"/>
  <c r="LKM83" i="30" s="1"/>
  <c r="LKO83" i="30" s="1"/>
  <c r="LKQ83" i="30" s="1"/>
  <c r="LKS83" i="30" s="1"/>
  <c r="LKU83" i="30" s="1"/>
  <c r="LKW83" i="30" s="1"/>
  <c r="LKY83" i="30" s="1"/>
  <c r="LLA83" i="30" s="1"/>
  <c r="LLC83" i="30" s="1"/>
  <c r="LLE83" i="30" s="1"/>
  <c r="LLG83" i="30" s="1"/>
  <c r="LLI83" i="30" s="1"/>
  <c r="LLK83" i="30" s="1"/>
  <c r="LLM83" i="30" s="1"/>
  <c r="LLO83" i="30" s="1"/>
  <c r="LLQ83" i="30" s="1"/>
  <c r="LLS83" i="30" s="1"/>
  <c r="LLU83" i="30" s="1"/>
  <c r="LLW83" i="30" s="1"/>
  <c r="LLY83" i="30" s="1"/>
  <c r="LMA83" i="30" s="1"/>
  <c r="LMC83" i="30" s="1"/>
  <c r="LME83" i="30" s="1"/>
  <c r="LMG83" i="30" s="1"/>
  <c r="LMI83" i="30" s="1"/>
  <c r="LMK83" i="30" s="1"/>
  <c r="LMM83" i="30" s="1"/>
  <c r="LMO83" i="30" s="1"/>
  <c r="LMQ83" i="30" s="1"/>
  <c r="LMS83" i="30" s="1"/>
  <c r="LMU83" i="30" s="1"/>
  <c r="LMW83" i="30" s="1"/>
  <c r="LMY83" i="30" s="1"/>
  <c r="LNA83" i="30" s="1"/>
  <c r="LNC83" i="30" s="1"/>
  <c r="LNE83" i="30" s="1"/>
  <c r="LNG83" i="30" s="1"/>
  <c r="LNI83" i="30" s="1"/>
  <c r="LNK83" i="30" s="1"/>
  <c r="LNM83" i="30" s="1"/>
  <c r="LNO83" i="30" s="1"/>
  <c r="LNQ83" i="30" s="1"/>
  <c r="LNS83" i="30" s="1"/>
  <c r="LNU83" i="30" s="1"/>
  <c r="LNW83" i="30" s="1"/>
  <c r="LNY83" i="30" s="1"/>
  <c r="LOA83" i="30" s="1"/>
  <c r="LOC83" i="30" s="1"/>
  <c r="LOE83" i="30" s="1"/>
  <c r="LOG83" i="30" s="1"/>
  <c r="LOI83" i="30" s="1"/>
  <c r="LOK83" i="30" s="1"/>
  <c r="LOM83" i="30" s="1"/>
  <c r="LOO83" i="30" s="1"/>
  <c r="LOQ83" i="30" s="1"/>
  <c r="LOS83" i="30" s="1"/>
  <c r="LOU83" i="30" s="1"/>
  <c r="LOW83" i="30" s="1"/>
  <c r="LOY83" i="30" s="1"/>
  <c r="LPA83" i="30" s="1"/>
  <c r="LPC83" i="30" s="1"/>
  <c r="LPE83" i="30" s="1"/>
  <c r="LPG83" i="30" s="1"/>
  <c r="LPI83" i="30" s="1"/>
  <c r="LPK83" i="30" s="1"/>
  <c r="LPM83" i="30" s="1"/>
  <c r="LPO83" i="30" s="1"/>
  <c r="LPQ83" i="30" s="1"/>
  <c r="LPS83" i="30" s="1"/>
  <c r="LPU83" i="30" s="1"/>
  <c r="LPW83" i="30" s="1"/>
  <c r="LPY83" i="30" s="1"/>
  <c r="LQA83" i="30" s="1"/>
  <c r="LQC83" i="30" s="1"/>
  <c r="LQE83" i="30" s="1"/>
  <c r="LQG83" i="30" s="1"/>
  <c r="LQI83" i="30" s="1"/>
  <c r="LQK83" i="30" s="1"/>
  <c r="LQM83" i="30" s="1"/>
  <c r="LQO83" i="30" s="1"/>
  <c r="LQQ83" i="30" s="1"/>
  <c r="LQS83" i="30" s="1"/>
  <c r="LQU83" i="30" s="1"/>
  <c r="LQW83" i="30" s="1"/>
  <c r="LQY83" i="30" s="1"/>
  <c r="LRA83" i="30" s="1"/>
  <c r="LRC83" i="30" s="1"/>
  <c r="LRE83" i="30" s="1"/>
  <c r="LRG83" i="30" s="1"/>
  <c r="LRI83" i="30" s="1"/>
  <c r="LRK83" i="30" s="1"/>
  <c r="LRM83" i="30" s="1"/>
  <c r="LRO83" i="30" s="1"/>
  <c r="LRQ83" i="30" s="1"/>
  <c r="LRS83" i="30" s="1"/>
  <c r="LRU83" i="30" s="1"/>
  <c r="LRW83" i="30" s="1"/>
  <c r="LRY83" i="30" s="1"/>
  <c r="LSA83" i="30" s="1"/>
  <c r="LSC83" i="30" s="1"/>
  <c r="LSE83" i="30" s="1"/>
  <c r="LSG83" i="30" s="1"/>
  <c r="LSI83" i="30" s="1"/>
  <c r="LSK83" i="30" s="1"/>
  <c r="LSM83" i="30" s="1"/>
  <c r="LSO83" i="30" s="1"/>
  <c r="LSQ83" i="30" s="1"/>
  <c r="LSS83" i="30" s="1"/>
  <c r="LSU83" i="30" s="1"/>
  <c r="LSW83" i="30" s="1"/>
  <c r="LSY83" i="30" s="1"/>
  <c r="LTA83" i="30" s="1"/>
  <c r="LTC83" i="30" s="1"/>
  <c r="LTE83" i="30" s="1"/>
  <c r="LTG83" i="30" s="1"/>
  <c r="LTI83" i="30" s="1"/>
  <c r="LTK83" i="30" s="1"/>
  <c r="LTM83" i="30" s="1"/>
  <c r="LTO83" i="30" s="1"/>
  <c r="LTQ83" i="30" s="1"/>
  <c r="LTS83" i="30" s="1"/>
  <c r="LTU83" i="30" s="1"/>
  <c r="LTW83" i="30" s="1"/>
  <c r="LTY83" i="30" s="1"/>
  <c r="LUA83" i="30" s="1"/>
  <c r="LUC83" i="30" s="1"/>
  <c r="LUE83" i="30" s="1"/>
  <c r="LUG83" i="30" s="1"/>
  <c r="LUI83" i="30" s="1"/>
  <c r="LUK83" i="30" s="1"/>
  <c r="LUM83" i="30" s="1"/>
  <c r="LUO83" i="30" s="1"/>
  <c r="LUQ83" i="30" s="1"/>
  <c r="LUS83" i="30" s="1"/>
  <c r="LUU83" i="30" s="1"/>
  <c r="LUW83" i="30" s="1"/>
  <c r="LUY83" i="30" s="1"/>
  <c r="LVA83" i="30" s="1"/>
  <c r="LVC83" i="30" s="1"/>
  <c r="LVE83" i="30" s="1"/>
  <c r="LVG83" i="30" s="1"/>
  <c r="LVI83" i="30" s="1"/>
  <c r="LVK83" i="30" s="1"/>
  <c r="LVM83" i="30" s="1"/>
  <c r="LVO83" i="30" s="1"/>
  <c r="LVQ83" i="30" s="1"/>
  <c r="LVS83" i="30" s="1"/>
  <c r="LVU83" i="30" s="1"/>
  <c r="LVW83" i="30" s="1"/>
  <c r="LVY83" i="30" s="1"/>
  <c r="LWA83" i="30" s="1"/>
  <c r="LWC83" i="30" s="1"/>
  <c r="LWE83" i="30" s="1"/>
  <c r="LWG83" i="30" s="1"/>
  <c r="LWI83" i="30" s="1"/>
  <c r="LWK83" i="30" s="1"/>
  <c r="LWM83" i="30" s="1"/>
  <c r="LWO83" i="30" s="1"/>
  <c r="LWQ83" i="30" s="1"/>
  <c r="LWS83" i="30" s="1"/>
  <c r="LWU83" i="30" s="1"/>
  <c r="LWW83" i="30" s="1"/>
  <c r="LWY83" i="30" s="1"/>
  <c r="LXA83" i="30" s="1"/>
  <c r="LXC83" i="30" s="1"/>
  <c r="LXE83" i="30" s="1"/>
  <c r="LXG83" i="30" s="1"/>
  <c r="LXI83" i="30" s="1"/>
  <c r="LXK83" i="30" s="1"/>
  <c r="LXM83" i="30" s="1"/>
  <c r="LXO83" i="30" s="1"/>
  <c r="LXQ83" i="30" s="1"/>
  <c r="LXS83" i="30" s="1"/>
  <c r="LXU83" i="30" s="1"/>
  <c r="LXW83" i="30" s="1"/>
  <c r="LXY83" i="30" s="1"/>
  <c r="LYA83" i="30" s="1"/>
  <c r="LYC83" i="30" s="1"/>
  <c r="LYE83" i="30" s="1"/>
  <c r="LYG83" i="30" s="1"/>
  <c r="LYI83" i="30" s="1"/>
  <c r="LYK83" i="30" s="1"/>
  <c r="LYM83" i="30" s="1"/>
  <c r="LYO83" i="30" s="1"/>
  <c r="LYQ83" i="30" s="1"/>
  <c r="LYS83" i="30" s="1"/>
  <c r="LYU83" i="30" s="1"/>
  <c r="LYW83" i="30" s="1"/>
  <c r="LYY83" i="30" s="1"/>
  <c r="LZA83" i="30" s="1"/>
  <c r="LZC83" i="30" s="1"/>
  <c r="LZE83" i="30" s="1"/>
  <c r="LZG83" i="30" s="1"/>
  <c r="LZI83" i="30" s="1"/>
  <c r="LZK83" i="30" s="1"/>
  <c r="LZM83" i="30" s="1"/>
  <c r="LZO83" i="30" s="1"/>
  <c r="LZQ83" i="30" s="1"/>
  <c r="LZS83" i="30" s="1"/>
  <c r="LZU83" i="30" s="1"/>
  <c r="LZW83" i="30" s="1"/>
  <c r="LZY83" i="30" s="1"/>
  <c r="MAA83" i="30" s="1"/>
  <c r="MAC83" i="30" s="1"/>
  <c r="MAE83" i="30" s="1"/>
  <c r="MAG83" i="30" s="1"/>
  <c r="MAI83" i="30" s="1"/>
  <c r="MAK83" i="30" s="1"/>
  <c r="MAM83" i="30" s="1"/>
  <c r="MAO83" i="30" s="1"/>
  <c r="MAQ83" i="30" s="1"/>
  <c r="MAS83" i="30" s="1"/>
  <c r="MAU83" i="30" s="1"/>
  <c r="MAW83" i="30" s="1"/>
  <c r="MAY83" i="30" s="1"/>
  <c r="MBA83" i="30" s="1"/>
  <c r="MBC83" i="30" s="1"/>
  <c r="MBE83" i="30" s="1"/>
  <c r="MBG83" i="30" s="1"/>
  <c r="MBI83" i="30" s="1"/>
  <c r="MBK83" i="30" s="1"/>
  <c r="MBM83" i="30" s="1"/>
  <c r="MBO83" i="30" s="1"/>
  <c r="MBQ83" i="30" s="1"/>
  <c r="MBS83" i="30" s="1"/>
  <c r="MBU83" i="30" s="1"/>
  <c r="MBW83" i="30" s="1"/>
  <c r="MBY83" i="30" s="1"/>
  <c r="MCA83" i="30" s="1"/>
  <c r="MCC83" i="30" s="1"/>
  <c r="MCE83" i="30" s="1"/>
  <c r="MCG83" i="30" s="1"/>
  <c r="MCI83" i="30" s="1"/>
  <c r="MCK83" i="30" s="1"/>
  <c r="MCM83" i="30" s="1"/>
  <c r="MCO83" i="30" s="1"/>
  <c r="MCQ83" i="30" s="1"/>
  <c r="MCS83" i="30" s="1"/>
  <c r="MCU83" i="30" s="1"/>
  <c r="MCW83" i="30" s="1"/>
  <c r="MCY83" i="30" s="1"/>
  <c r="MDA83" i="30" s="1"/>
  <c r="MDC83" i="30" s="1"/>
  <c r="MDE83" i="30" s="1"/>
  <c r="MDG83" i="30" s="1"/>
  <c r="MDI83" i="30" s="1"/>
  <c r="MDK83" i="30" s="1"/>
  <c r="MDM83" i="30" s="1"/>
  <c r="MDO83" i="30" s="1"/>
  <c r="MDQ83" i="30" s="1"/>
  <c r="MDS83" i="30" s="1"/>
  <c r="MDU83" i="30" s="1"/>
  <c r="MDW83" i="30" s="1"/>
  <c r="MDY83" i="30" s="1"/>
  <c r="MEA83" i="30" s="1"/>
  <c r="MEC83" i="30" s="1"/>
  <c r="MEE83" i="30" s="1"/>
  <c r="MEG83" i="30" s="1"/>
  <c r="MEI83" i="30" s="1"/>
  <c r="MEK83" i="30" s="1"/>
  <c r="MEM83" i="30" s="1"/>
  <c r="MEO83" i="30" s="1"/>
  <c r="MEQ83" i="30" s="1"/>
  <c r="MES83" i="30" s="1"/>
  <c r="MEU83" i="30" s="1"/>
  <c r="MEW83" i="30" s="1"/>
  <c r="MEY83" i="30" s="1"/>
  <c r="MFA83" i="30" s="1"/>
  <c r="MFC83" i="30" s="1"/>
  <c r="MFE83" i="30" s="1"/>
  <c r="MFG83" i="30" s="1"/>
  <c r="MFI83" i="30" s="1"/>
  <c r="MFK83" i="30" s="1"/>
  <c r="MFM83" i="30" s="1"/>
  <c r="MFO83" i="30" s="1"/>
  <c r="MFQ83" i="30" s="1"/>
  <c r="MFS83" i="30" s="1"/>
  <c r="MFU83" i="30" s="1"/>
  <c r="MFW83" i="30" s="1"/>
  <c r="MFY83" i="30" s="1"/>
  <c r="MGA83" i="30" s="1"/>
  <c r="MGC83" i="30" s="1"/>
  <c r="MGE83" i="30" s="1"/>
  <c r="MGG83" i="30" s="1"/>
  <c r="MGI83" i="30" s="1"/>
  <c r="MGK83" i="30" s="1"/>
  <c r="MGM83" i="30" s="1"/>
  <c r="MGO83" i="30" s="1"/>
  <c r="MGQ83" i="30" s="1"/>
  <c r="MGS83" i="30" s="1"/>
  <c r="MGU83" i="30" s="1"/>
  <c r="MGW83" i="30" s="1"/>
  <c r="MGY83" i="30" s="1"/>
  <c r="MHA83" i="30" s="1"/>
  <c r="MHC83" i="30" s="1"/>
  <c r="MHE83" i="30" s="1"/>
  <c r="MHG83" i="30" s="1"/>
  <c r="MHI83" i="30" s="1"/>
  <c r="MHK83" i="30" s="1"/>
  <c r="MHM83" i="30" s="1"/>
  <c r="MHO83" i="30" s="1"/>
  <c r="MHQ83" i="30" s="1"/>
  <c r="MHS83" i="30" s="1"/>
  <c r="MHU83" i="30" s="1"/>
  <c r="MHW83" i="30" s="1"/>
  <c r="MHY83" i="30" s="1"/>
  <c r="MIA83" i="30" s="1"/>
  <c r="MIC83" i="30" s="1"/>
  <c r="MIE83" i="30" s="1"/>
  <c r="MIG83" i="30" s="1"/>
  <c r="MII83" i="30" s="1"/>
  <c r="MIK83" i="30" s="1"/>
  <c r="MIM83" i="30" s="1"/>
  <c r="MIO83" i="30" s="1"/>
  <c r="MIQ83" i="30" s="1"/>
  <c r="MIS83" i="30" s="1"/>
  <c r="MIU83" i="30" s="1"/>
  <c r="MIW83" i="30" s="1"/>
  <c r="MIY83" i="30" s="1"/>
  <c r="MJA83" i="30" s="1"/>
  <c r="MJC83" i="30" s="1"/>
  <c r="MJE83" i="30" s="1"/>
  <c r="MJG83" i="30" s="1"/>
  <c r="MJI83" i="30" s="1"/>
  <c r="MJK83" i="30" s="1"/>
  <c r="MJM83" i="30" s="1"/>
  <c r="MJO83" i="30" s="1"/>
  <c r="MJQ83" i="30" s="1"/>
  <c r="MJS83" i="30" s="1"/>
  <c r="MJU83" i="30" s="1"/>
  <c r="MJW83" i="30" s="1"/>
  <c r="MJY83" i="30" s="1"/>
  <c r="MKA83" i="30" s="1"/>
  <c r="MKC83" i="30" s="1"/>
  <c r="MKE83" i="30" s="1"/>
  <c r="MKG83" i="30" s="1"/>
  <c r="MKI83" i="30" s="1"/>
  <c r="MKK83" i="30" s="1"/>
  <c r="MKM83" i="30" s="1"/>
  <c r="MKO83" i="30" s="1"/>
  <c r="MKQ83" i="30" s="1"/>
  <c r="MKS83" i="30" s="1"/>
  <c r="MKU83" i="30" s="1"/>
  <c r="MKW83" i="30" s="1"/>
  <c r="MKY83" i="30" s="1"/>
  <c r="MLA83" i="30" s="1"/>
  <c r="MLC83" i="30" s="1"/>
  <c r="MLE83" i="30" s="1"/>
  <c r="MLG83" i="30" s="1"/>
  <c r="MLI83" i="30" s="1"/>
  <c r="MLK83" i="30" s="1"/>
  <c r="MLM83" i="30" s="1"/>
  <c r="MLO83" i="30" s="1"/>
  <c r="MLQ83" i="30" s="1"/>
  <c r="MLS83" i="30" s="1"/>
  <c r="MLU83" i="30" s="1"/>
  <c r="MLW83" i="30" s="1"/>
  <c r="MLY83" i="30" s="1"/>
  <c r="MMA83" i="30" s="1"/>
  <c r="MMC83" i="30" s="1"/>
  <c r="MME83" i="30" s="1"/>
  <c r="MMG83" i="30" s="1"/>
  <c r="MMI83" i="30" s="1"/>
  <c r="MMK83" i="30" s="1"/>
  <c r="MMM83" i="30" s="1"/>
  <c r="MMO83" i="30" s="1"/>
  <c r="MMQ83" i="30" s="1"/>
  <c r="MMS83" i="30" s="1"/>
  <c r="MMU83" i="30" s="1"/>
  <c r="MMW83" i="30" s="1"/>
  <c r="MMY83" i="30" s="1"/>
  <c r="MNA83" i="30" s="1"/>
  <c r="MNC83" i="30" s="1"/>
  <c r="MNE83" i="30" s="1"/>
  <c r="MNG83" i="30" s="1"/>
  <c r="MNI83" i="30" s="1"/>
  <c r="MNK83" i="30" s="1"/>
  <c r="MNM83" i="30" s="1"/>
  <c r="MNO83" i="30" s="1"/>
  <c r="MNQ83" i="30" s="1"/>
  <c r="MNS83" i="30" s="1"/>
  <c r="MNU83" i="30" s="1"/>
  <c r="MNW83" i="30" s="1"/>
  <c r="MNY83" i="30" s="1"/>
  <c r="MOA83" i="30" s="1"/>
  <c r="MOC83" i="30" s="1"/>
  <c r="MOE83" i="30" s="1"/>
  <c r="MOG83" i="30" s="1"/>
  <c r="MOI83" i="30" s="1"/>
  <c r="MOK83" i="30" s="1"/>
  <c r="MOM83" i="30" s="1"/>
  <c r="MOO83" i="30" s="1"/>
  <c r="MOQ83" i="30" s="1"/>
  <c r="MOS83" i="30" s="1"/>
  <c r="MOU83" i="30" s="1"/>
  <c r="MOW83" i="30" s="1"/>
  <c r="MOY83" i="30" s="1"/>
  <c r="MPA83" i="30" s="1"/>
  <c r="MPC83" i="30" s="1"/>
  <c r="MPE83" i="30" s="1"/>
  <c r="MPG83" i="30" s="1"/>
  <c r="MPI83" i="30" s="1"/>
  <c r="MPK83" i="30" s="1"/>
  <c r="MPM83" i="30" s="1"/>
  <c r="MPO83" i="30" s="1"/>
  <c r="MPQ83" i="30" s="1"/>
  <c r="MPS83" i="30" s="1"/>
  <c r="MPU83" i="30" s="1"/>
  <c r="MPW83" i="30" s="1"/>
  <c r="MPY83" i="30" s="1"/>
  <c r="MQA83" i="30" s="1"/>
  <c r="MQC83" i="30" s="1"/>
  <c r="MQE83" i="30" s="1"/>
  <c r="MQG83" i="30" s="1"/>
  <c r="MQI83" i="30" s="1"/>
  <c r="MQK83" i="30" s="1"/>
  <c r="MQM83" i="30" s="1"/>
  <c r="MQO83" i="30" s="1"/>
  <c r="MQQ83" i="30" s="1"/>
  <c r="MQS83" i="30" s="1"/>
  <c r="MQU83" i="30" s="1"/>
  <c r="MQW83" i="30" s="1"/>
  <c r="MQY83" i="30" s="1"/>
  <c r="MRA83" i="30" s="1"/>
  <c r="MRC83" i="30" s="1"/>
  <c r="MRE83" i="30" s="1"/>
  <c r="MRG83" i="30" s="1"/>
  <c r="MRI83" i="30" s="1"/>
  <c r="MRK83" i="30" s="1"/>
  <c r="MRM83" i="30" s="1"/>
  <c r="MRO83" i="30" s="1"/>
  <c r="MRQ83" i="30" s="1"/>
  <c r="MRS83" i="30" s="1"/>
  <c r="MRU83" i="30" s="1"/>
  <c r="MRW83" i="30" s="1"/>
  <c r="MRY83" i="30" s="1"/>
  <c r="MSA83" i="30" s="1"/>
  <c r="MSC83" i="30" s="1"/>
  <c r="MSE83" i="30" s="1"/>
  <c r="MSG83" i="30" s="1"/>
  <c r="MSI83" i="30" s="1"/>
  <c r="MSK83" i="30" s="1"/>
  <c r="MSM83" i="30" s="1"/>
  <c r="MSO83" i="30" s="1"/>
  <c r="MSQ83" i="30" s="1"/>
  <c r="MSS83" i="30" s="1"/>
  <c r="MSU83" i="30" s="1"/>
  <c r="MSW83" i="30" s="1"/>
  <c r="MSY83" i="30" s="1"/>
  <c r="MTA83" i="30" s="1"/>
  <c r="MTC83" i="30" s="1"/>
  <c r="MTE83" i="30" s="1"/>
  <c r="MTG83" i="30" s="1"/>
  <c r="MTI83" i="30" s="1"/>
  <c r="MTK83" i="30" s="1"/>
  <c r="MTM83" i="30" s="1"/>
  <c r="MTO83" i="30" s="1"/>
  <c r="MTQ83" i="30" s="1"/>
  <c r="MTS83" i="30" s="1"/>
  <c r="MTU83" i="30" s="1"/>
  <c r="MTW83" i="30" s="1"/>
  <c r="MTY83" i="30" s="1"/>
  <c r="MUA83" i="30" s="1"/>
  <c r="MUC83" i="30" s="1"/>
  <c r="MUE83" i="30" s="1"/>
  <c r="MUG83" i="30" s="1"/>
  <c r="MUI83" i="30" s="1"/>
  <c r="MUK83" i="30" s="1"/>
  <c r="MUM83" i="30" s="1"/>
  <c r="MUO83" i="30" s="1"/>
  <c r="MUQ83" i="30" s="1"/>
  <c r="MUS83" i="30" s="1"/>
  <c r="MUU83" i="30" s="1"/>
  <c r="MUW83" i="30" s="1"/>
  <c r="MUY83" i="30" s="1"/>
  <c r="MVA83" i="30" s="1"/>
  <c r="MVC83" i="30" s="1"/>
  <c r="MVE83" i="30" s="1"/>
  <c r="MVG83" i="30" s="1"/>
  <c r="MVI83" i="30" s="1"/>
  <c r="MVK83" i="30" s="1"/>
  <c r="MVM83" i="30" s="1"/>
  <c r="MVO83" i="30" s="1"/>
  <c r="MVQ83" i="30" s="1"/>
  <c r="MVS83" i="30" s="1"/>
  <c r="MVU83" i="30" s="1"/>
  <c r="MVW83" i="30" s="1"/>
  <c r="MVY83" i="30" s="1"/>
  <c r="MWA83" i="30" s="1"/>
  <c r="MWC83" i="30" s="1"/>
  <c r="MWE83" i="30" s="1"/>
  <c r="MWG83" i="30" s="1"/>
  <c r="MWI83" i="30" s="1"/>
  <c r="MWK83" i="30" s="1"/>
  <c r="MWM83" i="30" s="1"/>
  <c r="MWO83" i="30" s="1"/>
  <c r="MWQ83" i="30" s="1"/>
  <c r="MWS83" i="30" s="1"/>
  <c r="MWU83" i="30" s="1"/>
  <c r="MWW83" i="30" s="1"/>
  <c r="MWY83" i="30" s="1"/>
  <c r="MXA83" i="30" s="1"/>
  <c r="MXC83" i="30" s="1"/>
  <c r="MXE83" i="30" s="1"/>
  <c r="MXG83" i="30" s="1"/>
  <c r="MXI83" i="30" s="1"/>
  <c r="MXK83" i="30" s="1"/>
  <c r="MXM83" i="30" s="1"/>
  <c r="MXO83" i="30" s="1"/>
  <c r="MXQ83" i="30" s="1"/>
  <c r="MXS83" i="30" s="1"/>
  <c r="MXU83" i="30" s="1"/>
  <c r="MXW83" i="30" s="1"/>
  <c r="MXY83" i="30" s="1"/>
  <c r="MYA83" i="30" s="1"/>
  <c r="MYC83" i="30" s="1"/>
  <c r="MYE83" i="30" s="1"/>
  <c r="MYG83" i="30" s="1"/>
  <c r="MYI83" i="30" s="1"/>
  <c r="MYK83" i="30" s="1"/>
  <c r="MYM83" i="30" s="1"/>
  <c r="MYO83" i="30" s="1"/>
  <c r="MYQ83" i="30" s="1"/>
  <c r="MYS83" i="30" s="1"/>
  <c r="MYU83" i="30" s="1"/>
  <c r="MYW83" i="30" s="1"/>
  <c r="MYY83" i="30" s="1"/>
  <c r="MZA83" i="30" s="1"/>
  <c r="MZC83" i="30" s="1"/>
  <c r="MZE83" i="30" s="1"/>
  <c r="MZG83" i="30" s="1"/>
  <c r="MZI83" i="30" s="1"/>
  <c r="MZK83" i="30" s="1"/>
  <c r="MZM83" i="30" s="1"/>
  <c r="MZO83" i="30" s="1"/>
  <c r="MZQ83" i="30" s="1"/>
  <c r="MZS83" i="30" s="1"/>
  <c r="MZU83" i="30" s="1"/>
  <c r="MZW83" i="30" s="1"/>
  <c r="MZY83" i="30" s="1"/>
  <c r="NAA83" i="30" s="1"/>
  <c r="NAC83" i="30" s="1"/>
  <c r="NAE83" i="30" s="1"/>
  <c r="NAG83" i="30" s="1"/>
  <c r="NAI83" i="30" s="1"/>
  <c r="NAK83" i="30" s="1"/>
  <c r="NAM83" i="30" s="1"/>
  <c r="NAO83" i="30" s="1"/>
  <c r="NAQ83" i="30" s="1"/>
  <c r="NAS83" i="30" s="1"/>
  <c r="NAU83" i="30" s="1"/>
  <c r="NAW83" i="30" s="1"/>
  <c r="NAY83" i="30" s="1"/>
  <c r="NBA83" i="30" s="1"/>
  <c r="NBC83" i="30" s="1"/>
  <c r="NBE83" i="30" s="1"/>
  <c r="NBG83" i="30" s="1"/>
  <c r="NBI83" i="30" s="1"/>
  <c r="NBK83" i="30" s="1"/>
  <c r="NBM83" i="30" s="1"/>
  <c r="NBO83" i="30" s="1"/>
  <c r="NBQ83" i="30" s="1"/>
  <c r="NBS83" i="30" s="1"/>
  <c r="NBU83" i="30" s="1"/>
  <c r="NBW83" i="30" s="1"/>
  <c r="NBY83" i="30" s="1"/>
  <c r="NCA83" i="30" s="1"/>
  <c r="NCC83" i="30" s="1"/>
  <c r="NCE83" i="30" s="1"/>
  <c r="NCG83" i="30" s="1"/>
  <c r="NCI83" i="30" s="1"/>
  <c r="NCK83" i="30" s="1"/>
  <c r="NCM83" i="30" s="1"/>
  <c r="NCO83" i="30" s="1"/>
  <c r="NCQ83" i="30" s="1"/>
  <c r="NCS83" i="30" s="1"/>
  <c r="NCU83" i="30" s="1"/>
  <c r="NCW83" i="30" s="1"/>
  <c r="NCY83" i="30" s="1"/>
  <c r="NDA83" i="30" s="1"/>
  <c r="NDC83" i="30" s="1"/>
  <c r="NDE83" i="30" s="1"/>
  <c r="NDG83" i="30" s="1"/>
  <c r="NDI83" i="30" s="1"/>
  <c r="NDK83" i="30" s="1"/>
  <c r="NDM83" i="30" s="1"/>
  <c r="NDO83" i="30" s="1"/>
  <c r="NDQ83" i="30" s="1"/>
  <c r="NDS83" i="30" s="1"/>
  <c r="NDU83" i="30" s="1"/>
  <c r="NDW83" i="30" s="1"/>
  <c r="NDY83" i="30" s="1"/>
  <c r="NEA83" i="30" s="1"/>
  <c r="NEC83" i="30" s="1"/>
  <c r="NEE83" i="30" s="1"/>
  <c r="NEG83" i="30" s="1"/>
  <c r="NEI83" i="30" s="1"/>
  <c r="NEK83" i="30" s="1"/>
  <c r="NEM83" i="30" s="1"/>
  <c r="NEO83" i="30" s="1"/>
  <c r="NEQ83" i="30" s="1"/>
  <c r="NES83" i="30" s="1"/>
  <c r="NEU83" i="30" s="1"/>
  <c r="NEW83" i="30" s="1"/>
  <c r="NEY83" i="30" s="1"/>
  <c r="NFA83" i="30" s="1"/>
  <c r="NFC83" i="30" s="1"/>
  <c r="NFE83" i="30" s="1"/>
  <c r="NFG83" i="30" s="1"/>
  <c r="NFI83" i="30" s="1"/>
  <c r="NFK83" i="30" s="1"/>
  <c r="NFM83" i="30" s="1"/>
  <c r="NFO83" i="30" s="1"/>
  <c r="NFQ83" i="30" s="1"/>
  <c r="NFS83" i="30" s="1"/>
  <c r="NFU83" i="30" s="1"/>
  <c r="NFW83" i="30" s="1"/>
  <c r="NFY83" i="30" s="1"/>
  <c r="NGA83" i="30" s="1"/>
  <c r="NGC83" i="30" s="1"/>
  <c r="NGE83" i="30" s="1"/>
  <c r="NGG83" i="30" s="1"/>
  <c r="NGI83" i="30" s="1"/>
  <c r="NGK83" i="30" s="1"/>
  <c r="NGM83" i="30" s="1"/>
  <c r="NGO83" i="30" s="1"/>
  <c r="NGQ83" i="30" s="1"/>
  <c r="NGS83" i="30" s="1"/>
  <c r="NGU83" i="30" s="1"/>
  <c r="NGW83" i="30" s="1"/>
  <c r="NGY83" i="30" s="1"/>
  <c r="NHA83" i="30" s="1"/>
  <c r="NHC83" i="30" s="1"/>
  <c r="NHE83" i="30" s="1"/>
  <c r="NHG83" i="30" s="1"/>
  <c r="NHI83" i="30" s="1"/>
  <c r="NHK83" i="30" s="1"/>
  <c r="NHM83" i="30" s="1"/>
  <c r="NHO83" i="30" s="1"/>
  <c r="NHQ83" i="30" s="1"/>
  <c r="NHS83" i="30" s="1"/>
  <c r="NHU83" i="30" s="1"/>
  <c r="NHW83" i="30" s="1"/>
  <c r="NHY83" i="30" s="1"/>
  <c r="NIA83" i="30" s="1"/>
  <c r="NIC83" i="30" s="1"/>
  <c r="NIE83" i="30" s="1"/>
  <c r="NIG83" i="30" s="1"/>
  <c r="NII83" i="30" s="1"/>
  <c r="NIK83" i="30" s="1"/>
  <c r="NIM83" i="30" s="1"/>
  <c r="NIO83" i="30" s="1"/>
  <c r="NIQ83" i="30" s="1"/>
  <c r="NIS83" i="30" s="1"/>
  <c r="NIU83" i="30" s="1"/>
  <c r="NIW83" i="30" s="1"/>
  <c r="NIY83" i="30" s="1"/>
  <c r="NJA83" i="30" s="1"/>
  <c r="NJC83" i="30" s="1"/>
  <c r="NJE83" i="30" s="1"/>
  <c r="NJG83" i="30" s="1"/>
  <c r="NJI83" i="30" s="1"/>
  <c r="NJK83" i="30" s="1"/>
  <c r="NJM83" i="30" s="1"/>
  <c r="NJO83" i="30" s="1"/>
  <c r="NJQ83" i="30" s="1"/>
  <c r="NJS83" i="30" s="1"/>
  <c r="NJU83" i="30" s="1"/>
  <c r="NJW83" i="30" s="1"/>
  <c r="NJY83" i="30" s="1"/>
  <c r="NKA83" i="30" s="1"/>
  <c r="NKC83" i="30" s="1"/>
  <c r="NKE83" i="30" s="1"/>
  <c r="NKG83" i="30" s="1"/>
  <c r="NKI83" i="30" s="1"/>
  <c r="NKK83" i="30" s="1"/>
  <c r="NKM83" i="30" s="1"/>
  <c r="NKO83" i="30" s="1"/>
  <c r="NKQ83" i="30" s="1"/>
  <c r="NKS83" i="30" s="1"/>
  <c r="NKU83" i="30" s="1"/>
  <c r="NKW83" i="30" s="1"/>
  <c r="NKY83" i="30" s="1"/>
  <c r="NLA83" i="30" s="1"/>
  <c r="NLC83" i="30" s="1"/>
  <c r="NLE83" i="30" s="1"/>
  <c r="NLG83" i="30" s="1"/>
  <c r="NLI83" i="30" s="1"/>
  <c r="NLK83" i="30" s="1"/>
  <c r="NLM83" i="30" s="1"/>
  <c r="NLO83" i="30" s="1"/>
  <c r="NLQ83" i="30" s="1"/>
  <c r="NLS83" i="30" s="1"/>
  <c r="NLU83" i="30" s="1"/>
  <c r="NLW83" i="30" s="1"/>
  <c r="NLY83" i="30" s="1"/>
  <c r="NMA83" i="30" s="1"/>
  <c r="NMC83" i="30" s="1"/>
  <c r="NME83" i="30" s="1"/>
  <c r="NMG83" i="30" s="1"/>
  <c r="NMI83" i="30" s="1"/>
  <c r="NMK83" i="30" s="1"/>
  <c r="NMM83" i="30" s="1"/>
  <c r="NMO83" i="30" s="1"/>
  <c r="NMQ83" i="30" s="1"/>
  <c r="NMS83" i="30" s="1"/>
  <c r="NMU83" i="30" s="1"/>
  <c r="NMW83" i="30" s="1"/>
  <c r="NMY83" i="30" s="1"/>
  <c r="NNA83" i="30" s="1"/>
  <c r="NNC83" i="30" s="1"/>
  <c r="NNE83" i="30" s="1"/>
  <c r="NNG83" i="30" s="1"/>
  <c r="NNI83" i="30" s="1"/>
  <c r="NNK83" i="30" s="1"/>
  <c r="NNM83" i="30" s="1"/>
  <c r="NNO83" i="30" s="1"/>
  <c r="NNQ83" i="30" s="1"/>
  <c r="NNS83" i="30" s="1"/>
  <c r="NNU83" i="30" s="1"/>
  <c r="NNW83" i="30" s="1"/>
  <c r="NNY83" i="30" s="1"/>
  <c r="NOA83" i="30" s="1"/>
  <c r="NOC83" i="30" s="1"/>
  <c r="NOE83" i="30" s="1"/>
  <c r="NOG83" i="30" s="1"/>
  <c r="NOI83" i="30" s="1"/>
  <c r="NOK83" i="30" s="1"/>
  <c r="NOM83" i="30" s="1"/>
  <c r="NOO83" i="30" s="1"/>
  <c r="NOQ83" i="30" s="1"/>
  <c r="NOS83" i="30" s="1"/>
  <c r="NOU83" i="30" s="1"/>
  <c r="NOW83" i="30" s="1"/>
  <c r="NOY83" i="30" s="1"/>
  <c r="NPA83" i="30" s="1"/>
  <c r="NPC83" i="30" s="1"/>
  <c r="NPE83" i="30" s="1"/>
  <c r="NPG83" i="30" s="1"/>
  <c r="NPI83" i="30" s="1"/>
  <c r="NPK83" i="30" s="1"/>
  <c r="NPM83" i="30" s="1"/>
  <c r="NPO83" i="30" s="1"/>
  <c r="NPQ83" i="30" s="1"/>
  <c r="NPS83" i="30" s="1"/>
  <c r="NPU83" i="30" s="1"/>
  <c r="NPW83" i="30" s="1"/>
  <c r="NPY83" i="30" s="1"/>
  <c r="NQA83" i="30" s="1"/>
  <c r="NQC83" i="30" s="1"/>
  <c r="NQE83" i="30" s="1"/>
  <c r="NQG83" i="30" s="1"/>
  <c r="NQI83" i="30" s="1"/>
  <c r="NQK83" i="30" s="1"/>
  <c r="NQM83" i="30" s="1"/>
  <c r="NQO83" i="30" s="1"/>
  <c r="NQQ83" i="30" s="1"/>
  <c r="NQS83" i="30" s="1"/>
  <c r="NQU83" i="30" s="1"/>
  <c r="NQW83" i="30" s="1"/>
  <c r="NQY83" i="30" s="1"/>
  <c r="NRA83" i="30" s="1"/>
  <c r="NRC83" i="30" s="1"/>
  <c r="NRE83" i="30" s="1"/>
  <c r="NRG83" i="30" s="1"/>
  <c r="NRI83" i="30" s="1"/>
  <c r="NRK83" i="30" s="1"/>
  <c r="NRM83" i="30" s="1"/>
  <c r="NRO83" i="30" s="1"/>
  <c r="NRQ83" i="30" s="1"/>
  <c r="NRS83" i="30" s="1"/>
  <c r="NRU83" i="30" s="1"/>
  <c r="NRW83" i="30" s="1"/>
  <c r="NRY83" i="30" s="1"/>
  <c r="NSA83" i="30" s="1"/>
  <c r="NSC83" i="30" s="1"/>
  <c r="NSE83" i="30" s="1"/>
  <c r="NSG83" i="30" s="1"/>
  <c r="NSI83" i="30" s="1"/>
  <c r="NSK83" i="30" s="1"/>
  <c r="NSM83" i="30" s="1"/>
  <c r="NSO83" i="30" s="1"/>
  <c r="NSQ83" i="30" s="1"/>
  <c r="NSS83" i="30" s="1"/>
  <c r="NSU83" i="30" s="1"/>
  <c r="NSW83" i="30" s="1"/>
  <c r="NSY83" i="30" s="1"/>
  <c r="NTA83" i="30" s="1"/>
  <c r="NTC83" i="30" s="1"/>
  <c r="NTE83" i="30" s="1"/>
  <c r="NTG83" i="30" s="1"/>
  <c r="NTI83" i="30" s="1"/>
  <c r="NTK83" i="30" s="1"/>
  <c r="NTM83" i="30" s="1"/>
  <c r="NTO83" i="30" s="1"/>
  <c r="NTQ83" i="30" s="1"/>
  <c r="NTS83" i="30" s="1"/>
  <c r="NTU83" i="30" s="1"/>
  <c r="NTW83" i="30" s="1"/>
  <c r="NTY83" i="30" s="1"/>
  <c r="NUA83" i="30" s="1"/>
  <c r="NUC83" i="30" s="1"/>
  <c r="NUE83" i="30" s="1"/>
  <c r="NUG83" i="30" s="1"/>
  <c r="NUI83" i="30" s="1"/>
  <c r="NUK83" i="30" s="1"/>
  <c r="NUM83" i="30" s="1"/>
  <c r="NUO83" i="30" s="1"/>
  <c r="NUQ83" i="30" s="1"/>
  <c r="NUS83" i="30" s="1"/>
  <c r="NUU83" i="30" s="1"/>
  <c r="NUW83" i="30" s="1"/>
  <c r="NUY83" i="30" s="1"/>
  <c r="NVA83" i="30" s="1"/>
  <c r="NVC83" i="30" s="1"/>
  <c r="NVE83" i="30" s="1"/>
  <c r="NVG83" i="30" s="1"/>
  <c r="NVI83" i="30" s="1"/>
  <c r="NVK83" i="30" s="1"/>
  <c r="NVM83" i="30" s="1"/>
  <c r="NVO83" i="30" s="1"/>
  <c r="NVQ83" i="30" s="1"/>
  <c r="NVS83" i="30" s="1"/>
  <c r="NVU83" i="30" s="1"/>
  <c r="NVW83" i="30" s="1"/>
  <c r="NVY83" i="30" s="1"/>
  <c r="NWA83" i="30" s="1"/>
  <c r="NWC83" i="30" s="1"/>
  <c r="NWE83" i="30" s="1"/>
  <c r="NWG83" i="30" s="1"/>
  <c r="NWI83" i="30" s="1"/>
  <c r="NWK83" i="30" s="1"/>
  <c r="NWM83" i="30" s="1"/>
  <c r="NWO83" i="30" s="1"/>
  <c r="NWQ83" i="30" s="1"/>
  <c r="NWS83" i="30" s="1"/>
  <c r="NWU83" i="30" s="1"/>
  <c r="NWW83" i="30" s="1"/>
  <c r="NWY83" i="30" s="1"/>
  <c r="NXA83" i="30" s="1"/>
  <c r="NXC83" i="30" s="1"/>
  <c r="NXE83" i="30" s="1"/>
  <c r="NXG83" i="30" s="1"/>
  <c r="NXI83" i="30" s="1"/>
  <c r="NXK83" i="30" s="1"/>
  <c r="NXM83" i="30" s="1"/>
  <c r="NXO83" i="30" s="1"/>
  <c r="NXQ83" i="30" s="1"/>
  <c r="NXS83" i="30" s="1"/>
  <c r="NXU83" i="30" s="1"/>
  <c r="NXW83" i="30" s="1"/>
  <c r="NXY83" i="30" s="1"/>
  <c r="NYA83" i="30" s="1"/>
  <c r="NYC83" i="30" s="1"/>
  <c r="NYE83" i="30" s="1"/>
  <c r="NYG83" i="30" s="1"/>
  <c r="NYI83" i="30" s="1"/>
  <c r="NYK83" i="30" s="1"/>
  <c r="NYM83" i="30" s="1"/>
  <c r="NYO83" i="30" s="1"/>
  <c r="NYQ83" i="30" s="1"/>
  <c r="NYS83" i="30" s="1"/>
  <c r="NYU83" i="30" s="1"/>
  <c r="NYW83" i="30" s="1"/>
  <c r="NYY83" i="30" s="1"/>
  <c r="NZA83" i="30" s="1"/>
  <c r="NZC83" i="30" s="1"/>
  <c r="NZE83" i="30" s="1"/>
  <c r="NZG83" i="30" s="1"/>
  <c r="NZI83" i="30" s="1"/>
  <c r="NZK83" i="30" s="1"/>
  <c r="NZM83" i="30" s="1"/>
  <c r="NZO83" i="30" s="1"/>
  <c r="NZQ83" i="30" s="1"/>
  <c r="NZS83" i="30" s="1"/>
  <c r="NZU83" i="30" s="1"/>
  <c r="NZW83" i="30" s="1"/>
  <c r="NZY83" i="30" s="1"/>
  <c r="OAA83" i="30" s="1"/>
  <c r="OAC83" i="30" s="1"/>
  <c r="OAE83" i="30" s="1"/>
  <c r="OAG83" i="30" s="1"/>
  <c r="OAI83" i="30" s="1"/>
  <c r="OAK83" i="30" s="1"/>
  <c r="OAM83" i="30" s="1"/>
  <c r="OAO83" i="30" s="1"/>
  <c r="OAQ83" i="30" s="1"/>
  <c r="OAS83" i="30" s="1"/>
  <c r="OAU83" i="30" s="1"/>
  <c r="OAW83" i="30" s="1"/>
  <c r="OAY83" i="30" s="1"/>
  <c r="OBA83" i="30" s="1"/>
  <c r="OBC83" i="30" s="1"/>
  <c r="OBE83" i="30" s="1"/>
  <c r="OBG83" i="30" s="1"/>
  <c r="OBI83" i="30" s="1"/>
  <c r="OBK83" i="30" s="1"/>
  <c r="OBM83" i="30" s="1"/>
  <c r="OBO83" i="30" s="1"/>
  <c r="OBQ83" i="30" s="1"/>
  <c r="OBS83" i="30" s="1"/>
  <c r="OBU83" i="30" s="1"/>
  <c r="OBW83" i="30" s="1"/>
  <c r="OBY83" i="30" s="1"/>
  <c r="OCA83" i="30" s="1"/>
  <c r="OCC83" i="30" s="1"/>
  <c r="OCE83" i="30" s="1"/>
  <c r="OCG83" i="30" s="1"/>
  <c r="OCI83" i="30" s="1"/>
  <c r="OCK83" i="30" s="1"/>
  <c r="OCM83" i="30" s="1"/>
  <c r="OCO83" i="30" s="1"/>
  <c r="OCQ83" i="30" s="1"/>
  <c r="OCS83" i="30" s="1"/>
  <c r="OCU83" i="30" s="1"/>
  <c r="OCW83" i="30" s="1"/>
  <c r="OCY83" i="30" s="1"/>
  <c r="ODA83" i="30" s="1"/>
  <c r="ODC83" i="30" s="1"/>
  <c r="ODE83" i="30" s="1"/>
  <c r="ODG83" i="30" s="1"/>
  <c r="ODI83" i="30" s="1"/>
  <c r="ODK83" i="30" s="1"/>
  <c r="ODM83" i="30" s="1"/>
  <c r="ODO83" i="30" s="1"/>
  <c r="ODQ83" i="30" s="1"/>
  <c r="ODS83" i="30" s="1"/>
  <c r="ODU83" i="30" s="1"/>
  <c r="ODW83" i="30" s="1"/>
  <c r="ODY83" i="30" s="1"/>
  <c r="OEA83" i="30" s="1"/>
  <c r="OEC83" i="30" s="1"/>
  <c r="OEE83" i="30" s="1"/>
  <c r="OEG83" i="30" s="1"/>
  <c r="OEI83" i="30" s="1"/>
  <c r="OEK83" i="30" s="1"/>
  <c r="OEM83" i="30" s="1"/>
  <c r="OEO83" i="30" s="1"/>
  <c r="OEQ83" i="30" s="1"/>
  <c r="OES83" i="30" s="1"/>
  <c r="OEU83" i="30" s="1"/>
  <c r="OEW83" i="30" s="1"/>
  <c r="OEY83" i="30" s="1"/>
  <c r="OFA83" i="30" s="1"/>
  <c r="OFC83" i="30" s="1"/>
  <c r="OFE83" i="30" s="1"/>
  <c r="OFG83" i="30" s="1"/>
  <c r="OFI83" i="30" s="1"/>
  <c r="OFK83" i="30" s="1"/>
  <c r="OFM83" i="30" s="1"/>
  <c r="OFO83" i="30" s="1"/>
  <c r="OFQ83" i="30" s="1"/>
  <c r="OFS83" i="30" s="1"/>
  <c r="OFU83" i="30" s="1"/>
  <c r="OFW83" i="30" s="1"/>
  <c r="OFY83" i="30" s="1"/>
  <c r="OGA83" i="30" s="1"/>
  <c r="OGC83" i="30" s="1"/>
  <c r="OGE83" i="30" s="1"/>
  <c r="OGG83" i="30" s="1"/>
  <c r="OGI83" i="30" s="1"/>
  <c r="OGK83" i="30" s="1"/>
  <c r="OGM83" i="30" s="1"/>
  <c r="OGO83" i="30" s="1"/>
  <c r="OGQ83" i="30" s="1"/>
  <c r="OGS83" i="30" s="1"/>
  <c r="OGU83" i="30" s="1"/>
  <c r="OGW83" i="30" s="1"/>
  <c r="OGY83" i="30" s="1"/>
  <c r="OHA83" i="30" s="1"/>
  <c r="OHC83" i="30" s="1"/>
  <c r="OHE83" i="30" s="1"/>
  <c r="OHG83" i="30" s="1"/>
  <c r="OHI83" i="30" s="1"/>
  <c r="OHK83" i="30" s="1"/>
  <c r="OHM83" i="30" s="1"/>
  <c r="OHO83" i="30" s="1"/>
  <c r="OHQ83" i="30" s="1"/>
  <c r="OHS83" i="30" s="1"/>
  <c r="OHU83" i="30" s="1"/>
  <c r="OHW83" i="30" s="1"/>
  <c r="OHY83" i="30" s="1"/>
  <c r="OIA83" i="30" s="1"/>
  <c r="OIC83" i="30" s="1"/>
  <c r="OIE83" i="30" s="1"/>
  <c r="OIG83" i="30" s="1"/>
  <c r="OII83" i="30" s="1"/>
  <c r="OIK83" i="30" s="1"/>
  <c r="OIM83" i="30" s="1"/>
  <c r="OIO83" i="30" s="1"/>
  <c r="OIQ83" i="30" s="1"/>
  <c r="OIS83" i="30" s="1"/>
  <c r="OIU83" i="30" s="1"/>
  <c r="OIW83" i="30" s="1"/>
  <c r="OIY83" i="30" s="1"/>
  <c r="OJA83" i="30" s="1"/>
  <c r="OJC83" i="30" s="1"/>
  <c r="OJE83" i="30" s="1"/>
  <c r="OJG83" i="30" s="1"/>
  <c r="OJI83" i="30" s="1"/>
  <c r="OJK83" i="30" s="1"/>
  <c r="OJM83" i="30" s="1"/>
  <c r="OJO83" i="30" s="1"/>
  <c r="OJQ83" i="30" s="1"/>
  <c r="OJS83" i="30" s="1"/>
  <c r="OJU83" i="30" s="1"/>
  <c r="OJW83" i="30" s="1"/>
  <c r="OJY83" i="30" s="1"/>
  <c r="OKA83" i="30" s="1"/>
  <c r="OKC83" i="30" s="1"/>
  <c r="OKE83" i="30" s="1"/>
  <c r="OKG83" i="30" s="1"/>
  <c r="OKI83" i="30" s="1"/>
  <c r="OKK83" i="30" s="1"/>
  <c r="OKM83" i="30" s="1"/>
  <c r="OKO83" i="30" s="1"/>
  <c r="OKQ83" i="30" s="1"/>
  <c r="OKS83" i="30" s="1"/>
  <c r="OKU83" i="30" s="1"/>
  <c r="OKW83" i="30" s="1"/>
  <c r="OKY83" i="30" s="1"/>
  <c r="OLA83" i="30" s="1"/>
  <c r="OLC83" i="30" s="1"/>
  <c r="OLE83" i="30" s="1"/>
  <c r="OLG83" i="30" s="1"/>
  <c r="OLI83" i="30" s="1"/>
  <c r="OLK83" i="30" s="1"/>
  <c r="OLM83" i="30" s="1"/>
  <c r="OLO83" i="30" s="1"/>
  <c r="OLQ83" i="30" s="1"/>
  <c r="OLS83" i="30" s="1"/>
  <c r="OLU83" i="30" s="1"/>
  <c r="OLW83" i="30" s="1"/>
  <c r="OLY83" i="30" s="1"/>
  <c r="OMA83" i="30" s="1"/>
  <c r="OMC83" i="30" s="1"/>
  <c r="OME83" i="30" s="1"/>
  <c r="OMG83" i="30" s="1"/>
  <c r="OMI83" i="30" s="1"/>
  <c r="OMK83" i="30" s="1"/>
  <c r="OMM83" i="30" s="1"/>
  <c r="OMO83" i="30" s="1"/>
  <c r="OMQ83" i="30" s="1"/>
  <c r="OMS83" i="30" s="1"/>
  <c r="OMU83" i="30" s="1"/>
  <c r="OMW83" i="30" s="1"/>
  <c r="OMY83" i="30" s="1"/>
  <c r="ONA83" i="30" s="1"/>
  <c r="ONC83" i="30" s="1"/>
  <c r="ONE83" i="30" s="1"/>
  <c r="ONG83" i="30" s="1"/>
  <c r="ONI83" i="30" s="1"/>
  <c r="ONK83" i="30" s="1"/>
  <c r="ONM83" i="30" s="1"/>
  <c r="ONO83" i="30" s="1"/>
  <c r="ONQ83" i="30" s="1"/>
  <c r="ONS83" i="30" s="1"/>
  <c r="ONU83" i="30" s="1"/>
  <c r="ONW83" i="30" s="1"/>
  <c r="ONY83" i="30" s="1"/>
  <c r="OOA83" i="30" s="1"/>
  <c r="OOC83" i="30" s="1"/>
  <c r="OOE83" i="30" s="1"/>
  <c r="OOG83" i="30" s="1"/>
  <c r="OOI83" i="30" s="1"/>
  <c r="OOK83" i="30" s="1"/>
  <c r="OOM83" i="30" s="1"/>
  <c r="OOO83" i="30" s="1"/>
  <c r="OOQ83" i="30" s="1"/>
  <c r="OOS83" i="30" s="1"/>
  <c r="OOU83" i="30" s="1"/>
  <c r="OOW83" i="30" s="1"/>
  <c r="OOY83" i="30" s="1"/>
  <c r="OPA83" i="30" s="1"/>
  <c r="OPC83" i="30" s="1"/>
  <c r="OPE83" i="30" s="1"/>
  <c r="OPG83" i="30" s="1"/>
  <c r="OPI83" i="30" s="1"/>
  <c r="OPK83" i="30" s="1"/>
  <c r="OPM83" i="30" s="1"/>
  <c r="OPO83" i="30" s="1"/>
  <c r="OPQ83" i="30" s="1"/>
  <c r="OPS83" i="30" s="1"/>
  <c r="OPU83" i="30" s="1"/>
  <c r="OPW83" i="30" s="1"/>
  <c r="OPY83" i="30" s="1"/>
  <c r="OQA83" i="30" s="1"/>
  <c r="OQC83" i="30" s="1"/>
  <c r="OQE83" i="30" s="1"/>
  <c r="OQG83" i="30" s="1"/>
  <c r="OQI83" i="30" s="1"/>
  <c r="OQK83" i="30" s="1"/>
  <c r="OQM83" i="30" s="1"/>
  <c r="OQO83" i="30" s="1"/>
  <c r="OQQ83" i="30" s="1"/>
  <c r="OQS83" i="30" s="1"/>
  <c r="OQU83" i="30" s="1"/>
  <c r="OQW83" i="30" s="1"/>
  <c r="OQY83" i="30" s="1"/>
  <c r="ORA83" i="30" s="1"/>
  <c r="ORC83" i="30" s="1"/>
  <c r="ORE83" i="30" s="1"/>
  <c r="ORG83" i="30" s="1"/>
  <c r="ORI83" i="30" s="1"/>
  <c r="ORK83" i="30" s="1"/>
  <c r="ORM83" i="30" s="1"/>
  <c r="ORO83" i="30" s="1"/>
  <c r="ORQ83" i="30" s="1"/>
  <c r="ORS83" i="30" s="1"/>
  <c r="ORU83" i="30" s="1"/>
  <c r="ORW83" i="30" s="1"/>
  <c r="ORY83" i="30" s="1"/>
  <c r="OSA83" i="30" s="1"/>
  <c r="OSC83" i="30" s="1"/>
  <c r="OSE83" i="30" s="1"/>
  <c r="OSG83" i="30" s="1"/>
  <c r="OSI83" i="30" s="1"/>
  <c r="OSK83" i="30" s="1"/>
  <c r="OSM83" i="30" s="1"/>
  <c r="OSO83" i="30" s="1"/>
  <c r="OSQ83" i="30" s="1"/>
  <c r="OSS83" i="30" s="1"/>
  <c r="OSU83" i="30" s="1"/>
  <c r="OSW83" i="30" s="1"/>
  <c r="OSY83" i="30" s="1"/>
  <c r="OTA83" i="30" s="1"/>
  <c r="OTC83" i="30" s="1"/>
  <c r="OTE83" i="30" s="1"/>
  <c r="OTG83" i="30" s="1"/>
  <c r="OTI83" i="30" s="1"/>
  <c r="OTK83" i="30" s="1"/>
  <c r="OTM83" i="30" s="1"/>
  <c r="OTO83" i="30" s="1"/>
  <c r="OTQ83" i="30" s="1"/>
  <c r="OTS83" i="30" s="1"/>
  <c r="OTU83" i="30" s="1"/>
  <c r="OTW83" i="30" s="1"/>
  <c r="OTY83" i="30" s="1"/>
  <c r="OUA83" i="30" s="1"/>
  <c r="OUC83" i="30" s="1"/>
  <c r="OUE83" i="30" s="1"/>
  <c r="OUG83" i="30" s="1"/>
  <c r="OUI83" i="30" s="1"/>
  <c r="OUK83" i="30" s="1"/>
  <c r="OUM83" i="30" s="1"/>
  <c r="OUO83" i="30" s="1"/>
  <c r="OUQ83" i="30" s="1"/>
  <c r="OUS83" i="30" s="1"/>
  <c r="OUU83" i="30" s="1"/>
  <c r="OUW83" i="30" s="1"/>
  <c r="OUY83" i="30" s="1"/>
  <c r="OVA83" i="30" s="1"/>
  <c r="OVC83" i="30" s="1"/>
  <c r="OVE83" i="30" s="1"/>
  <c r="OVG83" i="30" s="1"/>
  <c r="OVI83" i="30" s="1"/>
  <c r="OVK83" i="30" s="1"/>
  <c r="OVM83" i="30" s="1"/>
  <c r="OVO83" i="30" s="1"/>
  <c r="OVQ83" i="30" s="1"/>
  <c r="OVS83" i="30" s="1"/>
  <c r="OVU83" i="30" s="1"/>
  <c r="OVW83" i="30" s="1"/>
  <c r="OVY83" i="30" s="1"/>
  <c r="OWA83" i="30" s="1"/>
  <c r="OWC83" i="30" s="1"/>
  <c r="OWE83" i="30" s="1"/>
  <c r="OWG83" i="30" s="1"/>
  <c r="OWI83" i="30" s="1"/>
  <c r="OWK83" i="30" s="1"/>
  <c r="OWM83" i="30" s="1"/>
  <c r="OWO83" i="30" s="1"/>
  <c r="OWQ83" i="30" s="1"/>
  <c r="OWS83" i="30" s="1"/>
  <c r="OWU83" i="30" s="1"/>
  <c r="OWW83" i="30" s="1"/>
  <c r="OWY83" i="30" s="1"/>
  <c r="OXA83" i="30" s="1"/>
  <c r="OXC83" i="30" s="1"/>
  <c r="OXE83" i="30" s="1"/>
  <c r="OXG83" i="30" s="1"/>
  <c r="OXI83" i="30" s="1"/>
  <c r="OXK83" i="30" s="1"/>
  <c r="OXM83" i="30" s="1"/>
  <c r="OXO83" i="30" s="1"/>
  <c r="OXQ83" i="30" s="1"/>
  <c r="OXS83" i="30" s="1"/>
  <c r="OXU83" i="30" s="1"/>
  <c r="OXW83" i="30" s="1"/>
  <c r="OXY83" i="30" s="1"/>
  <c r="OYA83" i="30" s="1"/>
  <c r="OYC83" i="30" s="1"/>
  <c r="OYE83" i="30" s="1"/>
  <c r="OYG83" i="30" s="1"/>
  <c r="OYI83" i="30" s="1"/>
  <c r="OYK83" i="30" s="1"/>
  <c r="OYM83" i="30" s="1"/>
  <c r="OYO83" i="30" s="1"/>
  <c r="OYQ83" i="30" s="1"/>
  <c r="OYS83" i="30" s="1"/>
  <c r="OYU83" i="30" s="1"/>
  <c r="OYW83" i="30" s="1"/>
  <c r="OYY83" i="30" s="1"/>
  <c r="OZA83" i="30" s="1"/>
  <c r="OZC83" i="30" s="1"/>
  <c r="OZE83" i="30" s="1"/>
  <c r="OZG83" i="30" s="1"/>
  <c r="OZI83" i="30" s="1"/>
  <c r="OZK83" i="30" s="1"/>
  <c r="OZM83" i="30" s="1"/>
  <c r="OZO83" i="30" s="1"/>
  <c r="OZQ83" i="30" s="1"/>
  <c r="OZS83" i="30" s="1"/>
  <c r="OZU83" i="30" s="1"/>
  <c r="OZW83" i="30" s="1"/>
  <c r="OZY83" i="30" s="1"/>
  <c r="PAA83" i="30" s="1"/>
  <c r="PAC83" i="30" s="1"/>
  <c r="PAE83" i="30" s="1"/>
  <c r="PAG83" i="30" s="1"/>
  <c r="PAI83" i="30" s="1"/>
  <c r="PAK83" i="30" s="1"/>
  <c r="PAM83" i="30" s="1"/>
  <c r="PAO83" i="30" s="1"/>
  <c r="PAQ83" i="30" s="1"/>
  <c r="PAS83" i="30" s="1"/>
  <c r="PAU83" i="30" s="1"/>
  <c r="PAW83" i="30" s="1"/>
  <c r="PAY83" i="30" s="1"/>
  <c r="PBA83" i="30" s="1"/>
  <c r="PBC83" i="30" s="1"/>
  <c r="PBE83" i="30" s="1"/>
  <c r="PBG83" i="30" s="1"/>
  <c r="PBI83" i="30" s="1"/>
  <c r="PBK83" i="30" s="1"/>
  <c r="PBM83" i="30" s="1"/>
  <c r="PBO83" i="30" s="1"/>
  <c r="PBQ83" i="30" s="1"/>
  <c r="PBS83" i="30" s="1"/>
  <c r="PBU83" i="30" s="1"/>
  <c r="PBW83" i="30" s="1"/>
  <c r="PBY83" i="30" s="1"/>
  <c r="PCA83" i="30" s="1"/>
  <c r="PCC83" i="30" s="1"/>
  <c r="PCE83" i="30" s="1"/>
  <c r="PCG83" i="30" s="1"/>
  <c r="PCI83" i="30" s="1"/>
  <c r="PCK83" i="30" s="1"/>
  <c r="PCM83" i="30" s="1"/>
  <c r="PCO83" i="30" s="1"/>
  <c r="PCQ83" i="30" s="1"/>
  <c r="PCS83" i="30" s="1"/>
  <c r="PCU83" i="30" s="1"/>
  <c r="PCW83" i="30" s="1"/>
  <c r="PCY83" i="30" s="1"/>
  <c r="PDA83" i="30" s="1"/>
  <c r="PDC83" i="30" s="1"/>
  <c r="PDE83" i="30" s="1"/>
  <c r="PDG83" i="30" s="1"/>
  <c r="PDI83" i="30" s="1"/>
  <c r="PDK83" i="30" s="1"/>
  <c r="PDM83" i="30" s="1"/>
  <c r="PDO83" i="30" s="1"/>
  <c r="PDQ83" i="30" s="1"/>
  <c r="PDS83" i="30" s="1"/>
  <c r="PDU83" i="30" s="1"/>
  <c r="PDW83" i="30" s="1"/>
  <c r="PDY83" i="30" s="1"/>
  <c r="PEA83" i="30" s="1"/>
  <c r="PEC83" i="30" s="1"/>
  <c r="PEE83" i="30" s="1"/>
  <c r="PEG83" i="30" s="1"/>
  <c r="PEI83" i="30" s="1"/>
  <c r="PEK83" i="30" s="1"/>
  <c r="PEM83" i="30" s="1"/>
  <c r="PEO83" i="30" s="1"/>
  <c r="PEQ83" i="30" s="1"/>
  <c r="PES83" i="30" s="1"/>
  <c r="PEU83" i="30" s="1"/>
  <c r="PEW83" i="30" s="1"/>
  <c r="PEY83" i="30" s="1"/>
  <c r="PFA83" i="30" s="1"/>
  <c r="PFC83" i="30" s="1"/>
  <c r="PFE83" i="30" s="1"/>
  <c r="PFG83" i="30" s="1"/>
  <c r="PFI83" i="30" s="1"/>
  <c r="PFK83" i="30" s="1"/>
  <c r="PFM83" i="30" s="1"/>
  <c r="PFO83" i="30" s="1"/>
  <c r="PFQ83" i="30" s="1"/>
  <c r="PFS83" i="30" s="1"/>
  <c r="PFU83" i="30" s="1"/>
  <c r="PFW83" i="30" s="1"/>
  <c r="PFY83" i="30" s="1"/>
  <c r="PGA83" i="30" s="1"/>
  <c r="PGC83" i="30" s="1"/>
  <c r="PGE83" i="30" s="1"/>
  <c r="PGG83" i="30" s="1"/>
  <c r="PGI83" i="30" s="1"/>
  <c r="PGK83" i="30" s="1"/>
  <c r="PGM83" i="30" s="1"/>
  <c r="PGO83" i="30" s="1"/>
  <c r="PGQ83" i="30" s="1"/>
  <c r="PGS83" i="30" s="1"/>
  <c r="PGU83" i="30" s="1"/>
  <c r="PGW83" i="30" s="1"/>
  <c r="PGY83" i="30" s="1"/>
  <c r="PHA83" i="30" s="1"/>
  <c r="PHC83" i="30" s="1"/>
  <c r="PHE83" i="30" s="1"/>
  <c r="PHG83" i="30" s="1"/>
  <c r="PHI83" i="30" s="1"/>
  <c r="PHK83" i="30" s="1"/>
  <c r="PHM83" i="30" s="1"/>
  <c r="PHO83" i="30" s="1"/>
  <c r="PHQ83" i="30" s="1"/>
  <c r="PHS83" i="30" s="1"/>
  <c r="PHU83" i="30" s="1"/>
  <c r="PHW83" i="30" s="1"/>
  <c r="PHY83" i="30" s="1"/>
  <c r="PIA83" i="30" s="1"/>
  <c r="PIC83" i="30" s="1"/>
  <c r="PIE83" i="30" s="1"/>
  <c r="PIG83" i="30" s="1"/>
  <c r="PII83" i="30" s="1"/>
  <c r="PIK83" i="30" s="1"/>
  <c r="PIM83" i="30" s="1"/>
  <c r="PIO83" i="30" s="1"/>
  <c r="PIQ83" i="30" s="1"/>
  <c r="PIS83" i="30" s="1"/>
  <c r="PIU83" i="30" s="1"/>
  <c r="PIW83" i="30" s="1"/>
  <c r="PIY83" i="30" s="1"/>
  <c r="PJA83" i="30" s="1"/>
  <c r="PJC83" i="30" s="1"/>
  <c r="PJE83" i="30" s="1"/>
  <c r="PJG83" i="30" s="1"/>
  <c r="PJI83" i="30" s="1"/>
  <c r="PJK83" i="30" s="1"/>
  <c r="PJM83" i="30" s="1"/>
  <c r="PJO83" i="30" s="1"/>
  <c r="PJQ83" i="30" s="1"/>
  <c r="PJS83" i="30" s="1"/>
  <c r="PJU83" i="30" s="1"/>
  <c r="PJW83" i="30" s="1"/>
  <c r="PJY83" i="30" s="1"/>
  <c r="PKA83" i="30" s="1"/>
  <c r="PKC83" i="30" s="1"/>
  <c r="PKE83" i="30" s="1"/>
  <c r="PKG83" i="30" s="1"/>
  <c r="PKI83" i="30" s="1"/>
  <c r="PKK83" i="30" s="1"/>
  <c r="PKM83" i="30" s="1"/>
  <c r="PKO83" i="30" s="1"/>
  <c r="PKQ83" i="30" s="1"/>
  <c r="PKS83" i="30" s="1"/>
  <c r="PKU83" i="30" s="1"/>
  <c r="PKW83" i="30" s="1"/>
  <c r="PKY83" i="30" s="1"/>
  <c r="PLA83" i="30" s="1"/>
  <c r="PLC83" i="30" s="1"/>
  <c r="PLE83" i="30" s="1"/>
  <c r="PLG83" i="30" s="1"/>
  <c r="PLI83" i="30" s="1"/>
  <c r="PLK83" i="30" s="1"/>
  <c r="PLM83" i="30" s="1"/>
  <c r="PLO83" i="30" s="1"/>
  <c r="PLQ83" i="30" s="1"/>
  <c r="PLS83" i="30" s="1"/>
  <c r="PLU83" i="30" s="1"/>
  <c r="PLW83" i="30" s="1"/>
  <c r="PLY83" i="30" s="1"/>
  <c r="PMA83" i="30" s="1"/>
  <c r="PMC83" i="30" s="1"/>
  <c r="PME83" i="30" s="1"/>
  <c r="PMG83" i="30" s="1"/>
  <c r="PMI83" i="30" s="1"/>
  <c r="PMK83" i="30" s="1"/>
  <c r="PMM83" i="30" s="1"/>
  <c r="PMO83" i="30" s="1"/>
  <c r="PMQ83" i="30" s="1"/>
  <c r="PMS83" i="30" s="1"/>
  <c r="PMU83" i="30" s="1"/>
  <c r="PMW83" i="30" s="1"/>
  <c r="PMY83" i="30" s="1"/>
  <c r="PNA83" i="30" s="1"/>
  <c r="PNC83" i="30" s="1"/>
  <c r="PNE83" i="30" s="1"/>
  <c r="PNG83" i="30" s="1"/>
  <c r="PNI83" i="30" s="1"/>
  <c r="PNK83" i="30" s="1"/>
  <c r="PNM83" i="30" s="1"/>
  <c r="PNO83" i="30" s="1"/>
  <c r="PNQ83" i="30" s="1"/>
  <c r="PNS83" i="30" s="1"/>
  <c r="PNU83" i="30" s="1"/>
  <c r="PNW83" i="30" s="1"/>
  <c r="PNY83" i="30" s="1"/>
  <c r="POA83" i="30" s="1"/>
  <c r="POC83" i="30" s="1"/>
  <c r="POE83" i="30" s="1"/>
  <c r="POG83" i="30" s="1"/>
  <c r="POI83" i="30" s="1"/>
  <c r="POK83" i="30" s="1"/>
  <c r="POM83" i="30" s="1"/>
  <c r="POO83" i="30" s="1"/>
  <c r="POQ83" i="30" s="1"/>
  <c r="POS83" i="30" s="1"/>
  <c r="POU83" i="30" s="1"/>
  <c r="POW83" i="30" s="1"/>
  <c r="POY83" i="30" s="1"/>
  <c r="PPA83" i="30" s="1"/>
  <c r="PPC83" i="30" s="1"/>
  <c r="PPE83" i="30" s="1"/>
  <c r="PPG83" i="30" s="1"/>
  <c r="PPI83" i="30" s="1"/>
  <c r="PPK83" i="30" s="1"/>
  <c r="PPM83" i="30" s="1"/>
  <c r="PPO83" i="30" s="1"/>
  <c r="PPQ83" i="30" s="1"/>
  <c r="PPS83" i="30" s="1"/>
  <c r="PPU83" i="30" s="1"/>
  <c r="PPW83" i="30" s="1"/>
  <c r="PPY83" i="30" s="1"/>
  <c r="PQA83" i="30" s="1"/>
  <c r="PQC83" i="30" s="1"/>
  <c r="PQE83" i="30" s="1"/>
  <c r="PQG83" i="30" s="1"/>
  <c r="PQI83" i="30" s="1"/>
  <c r="PQK83" i="30" s="1"/>
  <c r="PQM83" i="30" s="1"/>
  <c r="PQO83" i="30" s="1"/>
  <c r="PQQ83" i="30" s="1"/>
  <c r="PQS83" i="30" s="1"/>
  <c r="PQU83" i="30" s="1"/>
  <c r="PQW83" i="30" s="1"/>
  <c r="PQY83" i="30" s="1"/>
  <c r="PRA83" i="30" s="1"/>
  <c r="PRC83" i="30" s="1"/>
  <c r="PRE83" i="30" s="1"/>
  <c r="PRG83" i="30" s="1"/>
  <c r="PRI83" i="30" s="1"/>
  <c r="PRK83" i="30" s="1"/>
  <c r="PRM83" i="30" s="1"/>
  <c r="PRO83" i="30" s="1"/>
  <c r="PRQ83" i="30" s="1"/>
  <c r="PRS83" i="30" s="1"/>
  <c r="PRU83" i="30" s="1"/>
  <c r="PRW83" i="30" s="1"/>
  <c r="PRY83" i="30" s="1"/>
  <c r="PSA83" i="30" s="1"/>
  <c r="PSC83" i="30" s="1"/>
  <c r="PSE83" i="30" s="1"/>
  <c r="PSG83" i="30" s="1"/>
  <c r="PSI83" i="30" s="1"/>
  <c r="PSK83" i="30" s="1"/>
  <c r="PSM83" i="30" s="1"/>
  <c r="PSO83" i="30" s="1"/>
  <c r="PSQ83" i="30" s="1"/>
  <c r="PSS83" i="30" s="1"/>
  <c r="PSU83" i="30" s="1"/>
  <c r="PSW83" i="30" s="1"/>
  <c r="PSY83" i="30" s="1"/>
  <c r="PTA83" i="30" s="1"/>
  <c r="PTC83" i="30" s="1"/>
  <c r="PTE83" i="30" s="1"/>
  <c r="PTG83" i="30" s="1"/>
  <c r="PTI83" i="30" s="1"/>
  <c r="PTK83" i="30" s="1"/>
  <c r="PTM83" i="30" s="1"/>
  <c r="PTO83" i="30" s="1"/>
  <c r="PTQ83" i="30" s="1"/>
  <c r="PTS83" i="30" s="1"/>
  <c r="PTU83" i="30" s="1"/>
  <c r="PTW83" i="30" s="1"/>
  <c r="PTY83" i="30" s="1"/>
  <c r="PUA83" i="30" s="1"/>
  <c r="PUC83" i="30" s="1"/>
  <c r="PUE83" i="30" s="1"/>
  <c r="PUG83" i="30" s="1"/>
  <c r="PUI83" i="30" s="1"/>
  <c r="PUK83" i="30" s="1"/>
  <c r="PUM83" i="30" s="1"/>
  <c r="PUO83" i="30" s="1"/>
  <c r="PUQ83" i="30" s="1"/>
  <c r="PUS83" i="30" s="1"/>
  <c r="PUU83" i="30" s="1"/>
  <c r="PUW83" i="30" s="1"/>
  <c r="PUY83" i="30" s="1"/>
  <c r="PVA83" i="30" s="1"/>
  <c r="PVC83" i="30" s="1"/>
  <c r="PVE83" i="30" s="1"/>
  <c r="PVG83" i="30" s="1"/>
  <c r="PVI83" i="30" s="1"/>
  <c r="PVK83" i="30" s="1"/>
  <c r="PVM83" i="30" s="1"/>
  <c r="PVO83" i="30" s="1"/>
  <c r="PVQ83" i="30" s="1"/>
  <c r="PVS83" i="30" s="1"/>
  <c r="PVU83" i="30" s="1"/>
  <c r="PVW83" i="30" s="1"/>
  <c r="PVY83" i="30" s="1"/>
  <c r="PWA83" i="30" s="1"/>
  <c r="PWC83" i="30" s="1"/>
  <c r="PWE83" i="30" s="1"/>
  <c r="PWG83" i="30" s="1"/>
  <c r="PWI83" i="30" s="1"/>
  <c r="PWK83" i="30" s="1"/>
  <c r="PWM83" i="30" s="1"/>
  <c r="PWO83" i="30" s="1"/>
  <c r="PWQ83" i="30" s="1"/>
  <c r="PWS83" i="30" s="1"/>
  <c r="PWU83" i="30" s="1"/>
  <c r="PWW83" i="30" s="1"/>
  <c r="PWY83" i="30" s="1"/>
  <c r="PXA83" i="30" s="1"/>
  <c r="PXC83" i="30" s="1"/>
  <c r="PXE83" i="30" s="1"/>
  <c r="PXG83" i="30" s="1"/>
  <c r="PXI83" i="30" s="1"/>
  <c r="PXK83" i="30" s="1"/>
  <c r="PXM83" i="30" s="1"/>
  <c r="PXO83" i="30" s="1"/>
  <c r="PXQ83" i="30" s="1"/>
  <c r="PXS83" i="30" s="1"/>
  <c r="PXU83" i="30" s="1"/>
  <c r="PXW83" i="30" s="1"/>
  <c r="PXY83" i="30" s="1"/>
  <c r="PYA83" i="30" s="1"/>
  <c r="PYC83" i="30" s="1"/>
  <c r="PYE83" i="30" s="1"/>
  <c r="PYG83" i="30" s="1"/>
  <c r="PYI83" i="30" s="1"/>
  <c r="PYK83" i="30" s="1"/>
  <c r="PYM83" i="30" s="1"/>
  <c r="PYO83" i="30" s="1"/>
  <c r="PYQ83" i="30" s="1"/>
  <c r="PYS83" i="30" s="1"/>
  <c r="PYU83" i="30" s="1"/>
  <c r="PYW83" i="30" s="1"/>
  <c r="PYY83" i="30" s="1"/>
  <c r="PZA83" i="30" s="1"/>
  <c r="PZC83" i="30" s="1"/>
  <c r="PZE83" i="30" s="1"/>
  <c r="PZG83" i="30" s="1"/>
  <c r="PZI83" i="30" s="1"/>
  <c r="PZK83" i="30" s="1"/>
  <c r="PZM83" i="30" s="1"/>
  <c r="PZO83" i="30" s="1"/>
  <c r="PZQ83" i="30" s="1"/>
  <c r="PZS83" i="30" s="1"/>
  <c r="PZU83" i="30" s="1"/>
  <c r="PZW83" i="30" s="1"/>
  <c r="PZY83" i="30" s="1"/>
  <c r="QAA83" i="30" s="1"/>
  <c r="QAC83" i="30" s="1"/>
  <c r="QAE83" i="30" s="1"/>
  <c r="QAG83" i="30" s="1"/>
  <c r="QAI83" i="30" s="1"/>
  <c r="QAK83" i="30" s="1"/>
  <c r="QAM83" i="30" s="1"/>
  <c r="QAO83" i="30" s="1"/>
  <c r="QAQ83" i="30" s="1"/>
  <c r="QAS83" i="30" s="1"/>
  <c r="QAU83" i="30" s="1"/>
  <c r="QAW83" i="30" s="1"/>
  <c r="QAY83" i="30" s="1"/>
  <c r="QBA83" i="30" s="1"/>
  <c r="QBC83" i="30" s="1"/>
  <c r="QBE83" i="30" s="1"/>
  <c r="QBG83" i="30" s="1"/>
  <c r="QBI83" i="30" s="1"/>
  <c r="QBK83" i="30" s="1"/>
  <c r="QBM83" i="30" s="1"/>
  <c r="QBO83" i="30" s="1"/>
  <c r="QBQ83" i="30" s="1"/>
  <c r="QBS83" i="30" s="1"/>
  <c r="QBU83" i="30" s="1"/>
  <c r="QBW83" i="30" s="1"/>
  <c r="QBY83" i="30" s="1"/>
  <c r="QCA83" i="30" s="1"/>
  <c r="QCC83" i="30" s="1"/>
  <c r="QCE83" i="30" s="1"/>
  <c r="QCG83" i="30" s="1"/>
  <c r="QCI83" i="30" s="1"/>
  <c r="QCK83" i="30" s="1"/>
  <c r="QCM83" i="30" s="1"/>
  <c r="QCO83" i="30" s="1"/>
  <c r="QCQ83" i="30" s="1"/>
  <c r="QCS83" i="30" s="1"/>
  <c r="QCU83" i="30" s="1"/>
  <c r="QCW83" i="30" s="1"/>
  <c r="QCY83" i="30" s="1"/>
  <c r="QDA83" i="30" s="1"/>
  <c r="QDC83" i="30" s="1"/>
  <c r="QDE83" i="30" s="1"/>
  <c r="QDG83" i="30" s="1"/>
  <c r="QDI83" i="30" s="1"/>
  <c r="QDK83" i="30" s="1"/>
  <c r="QDM83" i="30" s="1"/>
  <c r="QDO83" i="30" s="1"/>
  <c r="QDQ83" i="30" s="1"/>
  <c r="QDS83" i="30" s="1"/>
  <c r="QDU83" i="30" s="1"/>
  <c r="QDW83" i="30" s="1"/>
  <c r="QDY83" i="30" s="1"/>
  <c r="QEA83" i="30" s="1"/>
  <c r="QEC83" i="30" s="1"/>
  <c r="QEE83" i="30" s="1"/>
  <c r="QEG83" i="30" s="1"/>
  <c r="QEI83" i="30" s="1"/>
  <c r="QEK83" i="30" s="1"/>
  <c r="QEM83" i="30" s="1"/>
  <c r="QEO83" i="30" s="1"/>
  <c r="QEQ83" i="30" s="1"/>
  <c r="QES83" i="30" s="1"/>
  <c r="QEU83" i="30" s="1"/>
  <c r="QEW83" i="30" s="1"/>
  <c r="QEY83" i="30" s="1"/>
  <c r="QFA83" i="30" s="1"/>
  <c r="QFC83" i="30" s="1"/>
  <c r="QFE83" i="30" s="1"/>
  <c r="QFG83" i="30" s="1"/>
  <c r="QFI83" i="30" s="1"/>
  <c r="QFK83" i="30" s="1"/>
  <c r="QFM83" i="30" s="1"/>
  <c r="QFO83" i="30" s="1"/>
  <c r="QFQ83" i="30" s="1"/>
  <c r="QFS83" i="30" s="1"/>
  <c r="QFU83" i="30" s="1"/>
  <c r="QFW83" i="30" s="1"/>
  <c r="QFY83" i="30" s="1"/>
  <c r="QGA83" i="30" s="1"/>
  <c r="QGC83" i="30" s="1"/>
  <c r="QGE83" i="30" s="1"/>
  <c r="QGG83" i="30" s="1"/>
  <c r="QGI83" i="30" s="1"/>
  <c r="QGK83" i="30" s="1"/>
  <c r="QGM83" i="30" s="1"/>
  <c r="QGO83" i="30" s="1"/>
  <c r="QGQ83" i="30" s="1"/>
  <c r="QGS83" i="30" s="1"/>
  <c r="QGU83" i="30" s="1"/>
  <c r="QGW83" i="30" s="1"/>
  <c r="QGY83" i="30" s="1"/>
  <c r="QHA83" i="30" s="1"/>
  <c r="QHC83" i="30" s="1"/>
  <c r="QHE83" i="30" s="1"/>
  <c r="QHG83" i="30" s="1"/>
  <c r="QHI83" i="30" s="1"/>
  <c r="QHK83" i="30" s="1"/>
  <c r="QHM83" i="30" s="1"/>
  <c r="QHO83" i="30" s="1"/>
  <c r="QHQ83" i="30" s="1"/>
  <c r="QHS83" i="30" s="1"/>
  <c r="QHU83" i="30" s="1"/>
  <c r="QHW83" i="30" s="1"/>
  <c r="QHY83" i="30" s="1"/>
  <c r="QIA83" i="30" s="1"/>
  <c r="QIC83" i="30" s="1"/>
  <c r="QIE83" i="30" s="1"/>
  <c r="QIG83" i="30" s="1"/>
  <c r="QII83" i="30" s="1"/>
  <c r="QIK83" i="30" s="1"/>
  <c r="QIM83" i="30" s="1"/>
  <c r="QIO83" i="30" s="1"/>
  <c r="QIQ83" i="30" s="1"/>
  <c r="QIS83" i="30" s="1"/>
  <c r="QIU83" i="30" s="1"/>
  <c r="QIW83" i="30" s="1"/>
  <c r="QIY83" i="30" s="1"/>
  <c r="QJA83" i="30" s="1"/>
  <c r="QJC83" i="30" s="1"/>
  <c r="QJE83" i="30" s="1"/>
  <c r="QJG83" i="30" s="1"/>
  <c r="QJI83" i="30" s="1"/>
  <c r="QJK83" i="30" s="1"/>
  <c r="QJM83" i="30" s="1"/>
  <c r="QJO83" i="30" s="1"/>
  <c r="QJQ83" i="30" s="1"/>
  <c r="QJS83" i="30" s="1"/>
  <c r="QJU83" i="30" s="1"/>
  <c r="QJW83" i="30" s="1"/>
  <c r="QJY83" i="30" s="1"/>
  <c r="QKA83" i="30" s="1"/>
  <c r="QKC83" i="30" s="1"/>
  <c r="QKE83" i="30" s="1"/>
  <c r="QKG83" i="30" s="1"/>
  <c r="QKI83" i="30" s="1"/>
  <c r="QKK83" i="30" s="1"/>
  <c r="QKM83" i="30" s="1"/>
  <c r="QKO83" i="30" s="1"/>
  <c r="QKQ83" i="30" s="1"/>
  <c r="QKS83" i="30" s="1"/>
  <c r="QKU83" i="30" s="1"/>
  <c r="QKW83" i="30" s="1"/>
  <c r="QKY83" i="30" s="1"/>
  <c r="QLA83" i="30" s="1"/>
  <c r="QLC83" i="30" s="1"/>
  <c r="QLE83" i="30" s="1"/>
  <c r="QLG83" i="30" s="1"/>
  <c r="QLI83" i="30" s="1"/>
  <c r="QLK83" i="30" s="1"/>
  <c r="QLM83" i="30" s="1"/>
  <c r="QLO83" i="30" s="1"/>
  <c r="QLQ83" i="30" s="1"/>
  <c r="QLS83" i="30" s="1"/>
  <c r="QLU83" i="30" s="1"/>
  <c r="QLW83" i="30" s="1"/>
  <c r="QLY83" i="30" s="1"/>
  <c r="QMA83" i="30" s="1"/>
  <c r="QMC83" i="30" s="1"/>
  <c r="QME83" i="30" s="1"/>
  <c r="QMG83" i="30" s="1"/>
  <c r="QMI83" i="30" s="1"/>
  <c r="QMK83" i="30" s="1"/>
  <c r="QMM83" i="30" s="1"/>
  <c r="QMO83" i="30" s="1"/>
  <c r="QMQ83" i="30" s="1"/>
  <c r="QMS83" i="30" s="1"/>
  <c r="QMU83" i="30" s="1"/>
  <c r="QMW83" i="30" s="1"/>
  <c r="QMY83" i="30" s="1"/>
  <c r="QNA83" i="30" s="1"/>
  <c r="QNC83" i="30" s="1"/>
  <c r="QNE83" i="30" s="1"/>
  <c r="QNG83" i="30" s="1"/>
  <c r="QNI83" i="30" s="1"/>
  <c r="QNK83" i="30" s="1"/>
  <c r="QNM83" i="30" s="1"/>
  <c r="QNO83" i="30" s="1"/>
  <c r="QNQ83" i="30" s="1"/>
  <c r="QNS83" i="30" s="1"/>
  <c r="QNU83" i="30" s="1"/>
  <c r="QNW83" i="30" s="1"/>
  <c r="QNY83" i="30" s="1"/>
  <c r="QOA83" i="30" s="1"/>
  <c r="QOC83" i="30" s="1"/>
  <c r="QOE83" i="30" s="1"/>
  <c r="QOG83" i="30" s="1"/>
  <c r="QOI83" i="30" s="1"/>
  <c r="QOK83" i="30" s="1"/>
  <c r="QOM83" i="30" s="1"/>
  <c r="QOO83" i="30" s="1"/>
  <c r="QOQ83" i="30" s="1"/>
  <c r="QOS83" i="30" s="1"/>
  <c r="QOU83" i="30" s="1"/>
  <c r="QOW83" i="30" s="1"/>
  <c r="QOY83" i="30" s="1"/>
  <c r="QPA83" i="30" s="1"/>
  <c r="QPC83" i="30" s="1"/>
  <c r="QPE83" i="30" s="1"/>
  <c r="QPG83" i="30" s="1"/>
  <c r="QPI83" i="30" s="1"/>
  <c r="QPK83" i="30" s="1"/>
  <c r="QPM83" i="30" s="1"/>
  <c r="QPO83" i="30" s="1"/>
  <c r="QPQ83" i="30" s="1"/>
  <c r="QPS83" i="30" s="1"/>
  <c r="QPU83" i="30" s="1"/>
  <c r="QPW83" i="30" s="1"/>
  <c r="QPY83" i="30" s="1"/>
  <c r="QQA83" i="30" s="1"/>
  <c r="QQC83" i="30" s="1"/>
  <c r="QQE83" i="30" s="1"/>
  <c r="QQG83" i="30" s="1"/>
  <c r="QQI83" i="30" s="1"/>
  <c r="QQK83" i="30" s="1"/>
  <c r="QQM83" i="30" s="1"/>
  <c r="QQO83" i="30" s="1"/>
  <c r="QQQ83" i="30" s="1"/>
  <c r="QQS83" i="30" s="1"/>
  <c r="QQU83" i="30" s="1"/>
  <c r="QQW83" i="30" s="1"/>
  <c r="QQY83" i="30" s="1"/>
  <c r="QRA83" i="30" s="1"/>
  <c r="QRC83" i="30" s="1"/>
  <c r="QRE83" i="30" s="1"/>
  <c r="QRG83" i="30" s="1"/>
  <c r="QRI83" i="30" s="1"/>
  <c r="QRK83" i="30" s="1"/>
  <c r="QRM83" i="30" s="1"/>
  <c r="QRO83" i="30" s="1"/>
  <c r="QRQ83" i="30" s="1"/>
  <c r="QRS83" i="30" s="1"/>
  <c r="QRU83" i="30" s="1"/>
  <c r="QRW83" i="30" s="1"/>
  <c r="QRY83" i="30" s="1"/>
  <c r="QSA83" i="30" s="1"/>
  <c r="QSC83" i="30" s="1"/>
  <c r="QSE83" i="30" s="1"/>
  <c r="QSG83" i="30" s="1"/>
  <c r="QSI83" i="30" s="1"/>
  <c r="QSK83" i="30" s="1"/>
  <c r="QSM83" i="30" s="1"/>
  <c r="QSO83" i="30" s="1"/>
  <c r="QSQ83" i="30" s="1"/>
  <c r="QSS83" i="30" s="1"/>
  <c r="QSU83" i="30" s="1"/>
  <c r="QSW83" i="30" s="1"/>
  <c r="QSY83" i="30" s="1"/>
  <c r="QTA83" i="30" s="1"/>
  <c r="QTC83" i="30" s="1"/>
  <c r="QTE83" i="30" s="1"/>
  <c r="QTG83" i="30" s="1"/>
  <c r="QTI83" i="30" s="1"/>
  <c r="QTK83" i="30" s="1"/>
  <c r="QTM83" i="30" s="1"/>
  <c r="QTO83" i="30" s="1"/>
  <c r="QTQ83" i="30" s="1"/>
  <c r="QTS83" i="30" s="1"/>
  <c r="QTU83" i="30" s="1"/>
  <c r="QTW83" i="30" s="1"/>
  <c r="QTY83" i="30" s="1"/>
  <c r="QUA83" i="30" s="1"/>
  <c r="QUC83" i="30" s="1"/>
  <c r="QUE83" i="30" s="1"/>
  <c r="QUG83" i="30" s="1"/>
  <c r="QUI83" i="30" s="1"/>
  <c r="QUK83" i="30" s="1"/>
  <c r="QUM83" i="30" s="1"/>
  <c r="QUO83" i="30" s="1"/>
  <c r="QUQ83" i="30" s="1"/>
  <c r="QUS83" i="30" s="1"/>
  <c r="QUU83" i="30" s="1"/>
  <c r="QUW83" i="30" s="1"/>
  <c r="QUY83" i="30" s="1"/>
  <c r="QVA83" i="30" s="1"/>
  <c r="QVC83" i="30" s="1"/>
  <c r="QVE83" i="30" s="1"/>
  <c r="QVG83" i="30" s="1"/>
  <c r="QVI83" i="30" s="1"/>
  <c r="QVK83" i="30" s="1"/>
  <c r="QVM83" i="30" s="1"/>
  <c r="QVO83" i="30" s="1"/>
  <c r="QVQ83" i="30" s="1"/>
  <c r="QVS83" i="30" s="1"/>
  <c r="QVU83" i="30" s="1"/>
  <c r="QVW83" i="30" s="1"/>
  <c r="QVY83" i="30" s="1"/>
  <c r="QWA83" i="30" s="1"/>
  <c r="QWC83" i="30" s="1"/>
  <c r="QWE83" i="30" s="1"/>
  <c r="QWG83" i="30" s="1"/>
  <c r="QWI83" i="30" s="1"/>
  <c r="QWK83" i="30" s="1"/>
  <c r="QWM83" i="30" s="1"/>
  <c r="QWO83" i="30" s="1"/>
  <c r="QWQ83" i="30" s="1"/>
  <c r="QWS83" i="30" s="1"/>
  <c r="QWU83" i="30" s="1"/>
  <c r="QWW83" i="30" s="1"/>
  <c r="QWY83" i="30" s="1"/>
  <c r="QXA83" i="30" s="1"/>
  <c r="QXC83" i="30" s="1"/>
  <c r="QXE83" i="30" s="1"/>
  <c r="QXG83" i="30" s="1"/>
  <c r="QXI83" i="30" s="1"/>
  <c r="QXK83" i="30" s="1"/>
  <c r="QXM83" i="30" s="1"/>
  <c r="QXO83" i="30" s="1"/>
  <c r="QXQ83" i="30" s="1"/>
  <c r="QXS83" i="30" s="1"/>
  <c r="QXU83" i="30" s="1"/>
  <c r="QXW83" i="30" s="1"/>
  <c r="QXY83" i="30" s="1"/>
  <c r="QYA83" i="30" s="1"/>
  <c r="QYC83" i="30" s="1"/>
  <c r="QYE83" i="30" s="1"/>
  <c r="QYG83" i="30" s="1"/>
  <c r="QYI83" i="30" s="1"/>
  <c r="QYK83" i="30" s="1"/>
  <c r="QYM83" i="30" s="1"/>
  <c r="QYO83" i="30" s="1"/>
  <c r="QYQ83" i="30" s="1"/>
  <c r="QYS83" i="30" s="1"/>
  <c r="QYU83" i="30" s="1"/>
  <c r="QYW83" i="30" s="1"/>
  <c r="QYY83" i="30" s="1"/>
  <c r="QZA83" i="30" s="1"/>
  <c r="QZC83" i="30" s="1"/>
  <c r="QZE83" i="30" s="1"/>
  <c r="QZG83" i="30" s="1"/>
  <c r="QZI83" i="30" s="1"/>
  <c r="QZK83" i="30" s="1"/>
  <c r="QZM83" i="30" s="1"/>
  <c r="QZO83" i="30" s="1"/>
  <c r="QZQ83" i="30" s="1"/>
  <c r="QZS83" i="30" s="1"/>
  <c r="QZU83" i="30" s="1"/>
  <c r="QZW83" i="30" s="1"/>
  <c r="QZY83" i="30" s="1"/>
  <c r="RAA83" i="30" s="1"/>
  <c r="RAC83" i="30" s="1"/>
  <c r="RAE83" i="30" s="1"/>
  <c r="RAG83" i="30" s="1"/>
  <c r="RAI83" i="30" s="1"/>
  <c r="RAK83" i="30" s="1"/>
  <c r="RAM83" i="30" s="1"/>
  <c r="RAO83" i="30" s="1"/>
  <c r="RAQ83" i="30" s="1"/>
  <c r="RAS83" i="30" s="1"/>
  <c r="RAU83" i="30" s="1"/>
  <c r="RAW83" i="30" s="1"/>
  <c r="RAY83" i="30" s="1"/>
  <c r="RBA83" i="30" s="1"/>
  <c r="RBC83" i="30" s="1"/>
  <c r="RBE83" i="30" s="1"/>
  <c r="RBG83" i="30" s="1"/>
  <c r="RBI83" i="30" s="1"/>
  <c r="RBK83" i="30" s="1"/>
  <c r="RBM83" i="30" s="1"/>
  <c r="RBO83" i="30" s="1"/>
  <c r="RBQ83" i="30" s="1"/>
  <c r="RBS83" i="30" s="1"/>
  <c r="RBU83" i="30" s="1"/>
  <c r="RBW83" i="30" s="1"/>
  <c r="RBY83" i="30" s="1"/>
  <c r="RCA83" i="30" s="1"/>
  <c r="RCC83" i="30" s="1"/>
  <c r="RCE83" i="30" s="1"/>
  <c r="RCG83" i="30" s="1"/>
  <c r="RCI83" i="30" s="1"/>
  <c r="RCK83" i="30" s="1"/>
  <c r="RCM83" i="30" s="1"/>
  <c r="RCO83" i="30" s="1"/>
  <c r="RCQ83" i="30" s="1"/>
  <c r="RCS83" i="30" s="1"/>
  <c r="RCU83" i="30" s="1"/>
  <c r="RCW83" i="30" s="1"/>
  <c r="RCY83" i="30" s="1"/>
  <c r="RDA83" i="30" s="1"/>
  <c r="RDC83" i="30" s="1"/>
  <c r="RDE83" i="30" s="1"/>
  <c r="RDG83" i="30" s="1"/>
  <c r="RDI83" i="30" s="1"/>
  <c r="RDK83" i="30" s="1"/>
  <c r="RDM83" i="30" s="1"/>
  <c r="RDO83" i="30" s="1"/>
  <c r="RDQ83" i="30" s="1"/>
  <c r="RDS83" i="30" s="1"/>
  <c r="RDU83" i="30" s="1"/>
  <c r="RDW83" i="30" s="1"/>
  <c r="RDY83" i="30" s="1"/>
  <c r="REA83" i="30" s="1"/>
  <c r="REC83" i="30" s="1"/>
  <c r="REE83" i="30" s="1"/>
  <c r="REG83" i="30" s="1"/>
  <c r="REI83" i="30" s="1"/>
  <c r="REK83" i="30" s="1"/>
  <c r="REM83" i="30" s="1"/>
  <c r="REO83" i="30" s="1"/>
  <c r="REQ83" i="30" s="1"/>
  <c r="RES83" i="30" s="1"/>
  <c r="REU83" i="30" s="1"/>
  <c r="REW83" i="30" s="1"/>
  <c r="REY83" i="30" s="1"/>
  <c r="RFA83" i="30" s="1"/>
  <c r="RFC83" i="30" s="1"/>
  <c r="RFE83" i="30" s="1"/>
  <c r="RFG83" i="30" s="1"/>
  <c r="RFI83" i="30" s="1"/>
  <c r="RFK83" i="30" s="1"/>
  <c r="RFM83" i="30" s="1"/>
  <c r="RFO83" i="30" s="1"/>
  <c r="RFQ83" i="30" s="1"/>
  <c r="RFS83" i="30" s="1"/>
  <c r="RFU83" i="30" s="1"/>
  <c r="RFW83" i="30" s="1"/>
  <c r="RFY83" i="30" s="1"/>
  <c r="RGA83" i="30" s="1"/>
  <c r="RGC83" i="30" s="1"/>
  <c r="RGE83" i="30" s="1"/>
  <c r="RGG83" i="30" s="1"/>
  <c r="RGI83" i="30" s="1"/>
  <c r="RGK83" i="30" s="1"/>
  <c r="RGM83" i="30" s="1"/>
  <c r="RGO83" i="30" s="1"/>
  <c r="RGQ83" i="30" s="1"/>
  <c r="RGS83" i="30" s="1"/>
  <c r="RGU83" i="30" s="1"/>
  <c r="RGW83" i="30" s="1"/>
  <c r="RGY83" i="30" s="1"/>
  <c r="RHA83" i="30" s="1"/>
  <c r="RHC83" i="30" s="1"/>
  <c r="RHE83" i="30" s="1"/>
  <c r="RHG83" i="30" s="1"/>
  <c r="RHI83" i="30" s="1"/>
  <c r="RHK83" i="30" s="1"/>
  <c r="RHM83" i="30" s="1"/>
  <c r="RHO83" i="30" s="1"/>
  <c r="RHQ83" i="30" s="1"/>
  <c r="RHS83" i="30" s="1"/>
  <c r="RHU83" i="30" s="1"/>
  <c r="RHW83" i="30" s="1"/>
  <c r="RHY83" i="30" s="1"/>
  <c r="RIA83" i="30" s="1"/>
  <c r="RIC83" i="30" s="1"/>
  <c r="RIE83" i="30" s="1"/>
  <c r="RIG83" i="30" s="1"/>
  <c r="RII83" i="30" s="1"/>
  <c r="RIK83" i="30" s="1"/>
  <c r="RIM83" i="30" s="1"/>
  <c r="RIO83" i="30" s="1"/>
  <c r="RIQ83" i="30" s="1"/>
  <c r="RIS83" i="30" s="1"/>
  <c r="RIU83" i="30" s="1"/>
  <c r="RIW83" i="30" s="1"/>
  <c r="RIY83" i="30" s="1"/>
  <c r="RJA83" i="30" s="1"/>
  <c r="RJC83" i="30" s="1"/>
  <c r="RJE83" i="30" s="1"/>
  <c r="RJG83" i="30" s="1"/>
  <c r="RJI83" i="30" s="1"/>
  <c r="RJK83" i="30" s="1"/>
  <c r="RJM83" i="30" s="1"/>
  <c r="RJO83" i="30" s="1"/>
  <c r="RJQ83" i="30" s="1"/>
  <c r="RJS83" i="30" s="1"/>
  <c r="RJU83" i="30" s="1"/>
  <c r="RJW83" i="30" s="1"/>
  <c r="RJY83" i="30" s="1"/>
  <c r="RKA83" i="30" s="1"/>
  <c r="RKC83" i="30" s="1"/>
  <c r="RKE83" i="30" s="1"/>
  <c r="RKG83" i="30" s="1"/>
  <c r="RKI83" i="30" s="1"/>
  <c r="RKK83" i="30" s="1"/>
  <c r="RKM83" i="30" s="1"/>
  <c r="RKO83" i="30" s="1"/>
  <c r="RKQ83" i="30" s="1"/>
  <c r="RKS83" i="30" s="1"/>
  <c r="RKU83" i="30" s="1"/>
  <c r="RKW83" i="30" s="1"/>
  <c r="RKY83" i="30" s="1"/>
  <c r="RLA83" i="30" s="1"/>
  <c r="RLC83" i="30" s="1"/>
  <c r="RLE83" i="30" s="1"/>
  <c r="RLG83" i="30" s="1"/>
  <c r="RLI83" i="30" s="1"/>
  <c r="RLK83" i="30" s="1"/>
  <c r="RLM83" i="30" s="1"/>
  <c r="RLO83" i="30" s="1"/>
  <c r="RLQ83" i="30" s="1"/>
  <c r="RLS83" i="30" s="1"/>
  <c r="RLU83" i="30" s="1"/>
  <c r="RLW83" i="30" s="1"/>
  <c r="RLY83" i="30" s="1"/>
  <c r="RMA83" i="30" s="1"/>
  <c r="RMC83" i="30" s="1"/>
  <c r="RME83" i="30" s="1"/>
  <c r="RMG83" i="30" s="1"/>
  <c r="RMI83" i="30" s="1"/>
  <c r="RMK83" i="30" s="1"/>
  <c r="RMM83" i="30" s="1"/>
  <c r="RMO83" i="30" s="1"/>
  <c r="RMQ83" i="30" s="1"/>
  <c r="RMS83" i="30" s="1"/>
  <c r="RMU83" i="30" s="1"/>
  <c r="RMW83" i="30" s="1"/>
  <c r="RMY83" i="30" s="1"/>
  <c r="RNA83" i="30" s="1"/>
  <c r="RNC83" i="30" s="1"/>
  <c r="RNE83" i="30" s="1"/>
  <c r="RNG83" i="30" s="1"/>
  <c r="RNI83" i="30" s="1"/>
  <c r="RNK83" i="30" s="1"/>
  <c r="RNM83" i="30" s="1"/>
  <c r="RNO83" i="30" s="1"/>
  <c r="RNQ83" i="30" s="1"/>
  <c r="RNS83" i="30" s="1"/>
  <c r="RNU83" i="30" s="1"/>
  <c r="RNW83" i="30" s="1"/>
  <c r="RNY83" i="30" s="1"/>
  <c r="ROA83" i="30" s="1"/>
  <c r="ROC83" i="30" s="1"/>
  <c r="ROE83" i="30" s="1"/>
  <c r="ROG83" i="30" s="1"/>
  <c r="ROI83" i="30" s="1"/>
  <c r="ROK83" i="30" s="1"/>
  <c r="ROM83" i="30" s="1"/>
  <c r="ROO83" i="30" s="1"/>
  <c r="ROQ83" i="30" s="1"/>
  <c r="ROS83" i="30" s="1"/>
  <c r="ROU83" i="30" s="1"/>
  <c r="ROW83" i="30" s="1"/>
  <c r="ROY83" i="30" s="1"/>
  <c r="RPA83" i="30" s="1"/>
  <c r="RPC83" i="30" s="1"/>
  <c r="RPE83" i="30" s="1"/>
  <c r="RPG83" i="30" s="1"/>
  <c r="RPI83" i="30" s="1"/>
  <c r="RPK83" i="30" s="1"/>
  <c r="RPM83" i="30" s="1"/>
  <c r="RPO83" i="30" s="1"/>
  <c r="RPQ83" i="30" s="1"/>
  <c r="RPS83" i="30" s="1"/>
  <c r="RPU83" i="30" s="1"/>
  <c r="RPW83" i="30" s="1"/>
  <c r="RPY83" i="30" s="1"/>
  <c r="RQA83" i="30" s="1"/>
  <c r="RQC83" i="30" s="1"/>
  <c r="RQE83" i="30" s="1"/>
  <c r="RQG83" i="30" s="1"/>
  <c r="RQI83" i="30" s="1"/>
  <c r="RQK83" i="30" s="1"/>
  <c r="RQM83" i="30" s="1"/>
  <c r="RQO83" i="30" s="1"/>
  <c r="RQQ83" i="30" s="1"/>
  <c r="RQS83" i="30" s="1"/>
  <c r="RQU83" i="30" s="1"/>
  <c r="RQW83" i="30" s="1"/>
  <c r="RQY83" i="30" s="1"/>
  <c r="RRA83" i="30" s="1"/>
  <c r="RRC83" i="30" s="1"/>
  <c r="RRE83" i="30" s="1"/>
  <c r="RRG83" i="30" s="1"/>
  <c r="RRI83" i="30" s="1"/>
  <c r="RRK83" i="30" s="1"/>
  <c r="RRM83" i="30" s="1"/>
  <c r="RRO83" i="30" s="1"/>
  <c r="RRQ83" i="30" s="1"/>
  <c r="RRS83" i="30" s="1"/>
  <c r="RRU83" i="30" s="1"/>
  <c r="RRW83" i="30" s="1"/>
  <c r="RRY83" i="30" s="1"/>
  <c r="RSA83" i="30" s="1"/>
  <c r="RSC83" i="30" s="1"/>
  <c r="RSE83" i="30" s="1"/>
  <c r="RSG83" i="30" s="1"/>
  <c r="RSI83" i="30" s="1"/>
  <c r="RSK83" i="30" s="1"/>
  <c r="RSM83" i="30" s="1"/>
  <c r="RSO83" i="30" s="1"/>
  <c r="RSQ83" i="30" s="1"/>
  <c r="RSS83" i="30" s="1"/>
  <c r="RSU83" i="30" s="1"/>
  <c r="RSW83" i="30" s="1"/>
  <c r="RSY83" i="30" s="1"/>
  <c r="RTA83" i="30" s="1"/>
  <c r="RTC83" i="30" s="1"/>
  <c r="RTE83" i="30" s="1"/>
  <c r="RTG83" i="30" s="1"/>
  <c r="RTI83" i="30" s="1"/>
  <c r="RTK83" i="30" s="1"/>
  <c r="RTM83" i="30" s="1"/>
  <c r="RTO83" i="30" s="1"/>
  <c r="RTQ83" i="30" s="1"/>
  <c r="RTS83" i="30" s="1"/>
  <c r="RTU83" i="30" s="1"/>
  <c r="RTW83" i="30" s="1"/>
  <c r="RTY83" i="30" s="1"/>
  <c r="RUA83" i="30" s="1"/>
  <c r="RUC83" i="30" s="1"/>
  <c r="RUE83" i="30" s="1"/>
  <c r="RUG83" i="30" s="1"/>
  <c r="RUI83" i="30" s="1"/>
  <c r="RUK83" i="30" s="1"/>
  <c r="RUM83" i="30" s="1"/>
  <c r="RUO83" i="30" s="1"/>
  <c r="RUQ83" i="30" s="1"/>
  <c r="RUS83" i="30" s="1"/>
  <c r="RUU83" i="30" s="1"/>
  <c r="RUW83" i="30" s="1"/>
  <c r="RUY83" i="30" s="1"/>
  <c r="RVA83" i="30" s="1"/>
  <c r="RVC83" i="30" s="1"/>
  <c r="RVE83" i="30" s="1"/>
  <c r="RVG83" i="30" s="1"/>
  <c r="RVI83" i="30" s="1"/>
  <c r="RVK83" i="30" s="1"/>
  <c r="RVM83" i="30" s="1"/>
  <c r="RVO83" i="30" s="1"/>
  <c r="RVQ83" i="30" s="1"/>
  <c r="RVS83" i="30" s="1"/>
  <c r="RVU83" i="30" s="1"/>
  <c r="RVW83" i="30" s="1"/>
  <c r="RVY83" i="30" s="1"/>
  <c r="RWA83" i="30" s="1"/>
  <c r="RWC83" i="30" s="1"/>
  <c r="RWE83" i="30" s="1"/>
  <c r="RWG83" i="30" s="1"/>
  <c r="RWI83" i="30" s="1"/>
  <c r="RWK83" i="30" s="1"/>
  <c r="RWM83" i="30" s="1"/>
  <c r="RWO83" i="30" s="1"/>
  <c r="RWQ83" i="30" s="1"/>
  <c r="RWS83" i="30" s="1"/>
  <c r="RWU83" i="30" s="1"/>
  <c r="RWW83" i="30" s="1"/>
  <c r="RWY83" i="30" s="1"/>
  <c r="RXA83" i="30" s="1"/>
  <c r="RXC83" i="30" s="1"/>
  <c r="RXE83" i="30" s="1"/>
  <c r="RXG83" i="30" s="1"/>
  <c r="RXI83" i="30" s="1"/>
  <c r="RXK83" i="30" s="1"/>
  <c r="RXM83" i="30" s="1"/>
  <c r="RXO83" i="30" s="1"/>
  <c r="RXQ83" i="30" s="1"/>
  <c r="RXS83" i="30" s="1"/>
  <c r="RXU83" i="30" s="1"/>
  <c r="RXW83" i="30" s="1"/>
  <c r="RXY83" i="30" s="1"/>
  <c r="RYA83" i="30" s="1"/>
  <c r="RYC83" i="30" s="1"/>
  <c r="RYE83" i="30" s="1"/>
  <c r="RYG83" i="30" s="1"/>
  <c r="RYI83" i="30" s="1"/>
  <c r="RYK83" i="30" s="1"/>
  <c r="RYM83" i="30" s="1"/>
  <c r="RYO83" i="30" s="1"/>
  <c r="RYQ83" i="30" s="1"/>
  <c r="RYS83" i="30" s="1"/>
  <c r="RYU83" i="30" s="1"/>
  <c r="RYW83" i="30" s="1"/>
  <c r="RYY83" i="30" s="1"/>
  <c r="RZA83" i="30" s="1"/>
  <c r="RZC83" i="30" s="1"/>
  <c r="RZE83" i="30" s="1"/>
  <c r="RZG83" i="30" s="1"/>
  <c r="RZI83" i="30" s="1"/>
  <c r="RZK83" i="30" s="1"/>
  <c r="RZM83" i="30" s="1"/>
  <c r="RZO83" i="30" s="1"/>
  <c r="RZQ83" i="30" s="1"/>
  <c r="RZS83" i="30" s="1"/>
  <c r="RZU83" i="30" s="1"/>
  <c r="RZW83" i="30" s="1"/>
  <c r="RZY83" i="30" s="1"/>
  <c r="SAA83" i="30" s="1"/>
  <c r="SAC83" i="30" s="1"/>
  <c r="SAE83" i="30" s="1"/>
  <c r="SAG83" i="30" s="1"/>
  <c r="SAI83" i="30" s="1"/>
  <c r="SAK83" i="30" s="1"/>
  <c r="SAM83" i="30" s="1"/>
  <c r="SAO83" i="30" s="1"/>
  <c r="SAQ83" i="30" s="1"/>
  <c r="SAS83" i="30" s="1"/>
  <c r="SAU83" i="30" s="1"/>
  <c r="SAW83" i="30" s="1"/>
  <c r="SAY83" i="30" s="1"/>
  <c r="SBA83" i="30" s="1"/>
  <c r="SBC83" i="30" s="1"/>
  <c r="SBE83" i="30" s="1"/>
  <c r="SBG83" i="30" s="1"/>
  <c r="SBI83" i="30" s="1"/>
  <c r="SBK83" i="30" s="1"/>
  <c r="SBM83" i="30" s="1"/>
  <c r="SBO83" i="30" s="1"/>
  <c r="SBQ83" i="30" s="1"/>
  <c r="SBS83" i="30" s="1"/>
  <c r="SBU83" i="30" s="1"/>
  <c r="SBW83" i="30" s="1"/>
  <c r="SBY83" i="30" s="1"/>
  <c r="SCA83" i="30" s="1"/>
  <c r="SCC83" i="30" s="1"/>
  <c r="SCE83" i="30" s="1"/>
  <c r="SCG83" i="30" s="1"/>
  <c r="SCI83" i="30" s="1"/>
  <c r="SCK83" i="30" s="1"/>
  <c r="SCM83" i="30" s="1"/>
  <c r="SCO83" i="30" s="1"/>
  <c r="SCQ83" i="30" s="1"/>
  <c r="SCS83" i="30" s="1"/>
  <c r="SCU83" i="30" s="1"/>
  <c r="SCW83" i="30" s="1"/>
  <c r="SCY83" i="30" s="1"/>
  <c r="SDA83" i="30" s="1"/>
  <c r="SDC83" i="30" s="1"/>
  <c r="SDE83" i="30" s="1"/>
  <c r="SDG83" i="30" s="1"/>
  <c r="SDI83" i="30" s="1"/>
  <c r="SDK83" i="30" s="1"/>
  <c r="SDM83" i="30" s="1"/>
  <c r="SDO83" i="30" s="1"/>
  <c r="SDQ83" i="30" s="1"/>
  <c r="SDS83" i="30" s="1"/>
  <c r="SDU83" i="30" s="1"/>
  <c r="SDW83" i="30" s="1"/>
  <c r="SDY83" i="30" s="1"/>
  <c r="SEA83" i="30" s="1"/>
  <c r="SEC83" i="30" s="1"/>
  <c r="SEE83" i="30" s="1"/>
  <c r="SEG83" i="30" s="1"/>
  <c r="SEI83" i="30" s="1"/>
  <c r="SEK83" i="30" s="1"/>
  <c r="SEM83" i="30" s="1"/>
  <c r="SEO83" i="30" s="1"/>
  <c r="SEQ83" i="30" s="1"/>
  <c r="SES83" i="30" s="1"/>
  <c r="SEU83" i="30" s="1"/>
  <c r="SEW83" i="30" s="1"/>
  <c r="SEY83" i="30" s="1"/>
  <c r="SFA83" i="30" s="1"/>
  <c r="SFC83" i="30" s="1"/>
  <c r="SFE83" i="30" s="1"/>
  <c r="SFG83" i="30" s="1"/>
  <c r="SFI83" i="30" s="1"/>
  <c r="SFK83" i="30" s="1"/>
  <c r="SFM83" i="30" s="1"/>
  <c r="SFO83" i="30" s="1"/>
  <c r="SFQ83" i="30" s="1"/>
  <c r="SFS83" i="30" s="1"/>
  <c r="SFU83" i="30" s="1"/>
  <c r="SFW83" i="30" s="1"/>
  <c r="SFY83" i="30" s="1"/>
  <c r="SGA83" i="30" s="1"/>
  <c r="SGC83" i="30" s="1"/>
  <c r="SGE83" i="30" s="1"/>
  <c r="SGG83" i="30" s="1"/>
  <c r="SGI83" i="30" s="1"/>
  <c r="SGK83" i="30" s="1"/>
  <c r="SGM83" i="30" s="1"/>
  <c r="SGO83" i="30" s="1"/>
  <c r="SGQ83" i="30" s="1"/>
  <c r="SGS83" i="30" s="1"/>
  <c r="SGU83" i="30" s="1"/>
  <c r="SGW83" i="30" s="1"/>
  <c r="SGY83" i="30" s="1"/>
  <c r="SHA83" i="30" s="1"/>
  <c r="SHC83" i="30" s="1"/>
  <c r="SHE83" i="30" s="1"/>
  <c r="SHG83" i="30" s="1"/>
  <c r="SHI83" i="30" s="1"/>
  <c r="SHK83" i="30" s="1"/>
  <c r="SHM83" i="30" s="1"/>
  <c r="SHO83" i="30" s="1"/>
  <c r="SHQ83" i="30" s="1"/>
  <c r="SHS83" i="30" s="1"/>
  <c r="SHU83" i="30" s="1"/>
  <c r="SHW83" i="30" s="1"/>
  <c r="SHY83" i="30" s="1"/>
  <c r="SIA83" i="30" s="1"/>
  <c r="SIC83" i="30" s="1"/>
  <c r="SIE83" i="30" s="1"/>
  <c r="SIG83" i="30" s="1"/>
  <c r="SII83" i="30" s="1"/>
  <c r="SIK83" i="30" s="1"/>
  <c r="SIM83" i="30" s="1"/>
  <c r="SIO83" i="30" s="1"/>
  <c r="SIQ83" i="30" s="1"/>
  <c r="SIS83" i="30" s="1"/>
  <c r="SIU83" i="30" s="1"/>
  <c r="SIW83" i="30" s="1"/>
  <c r="SIY83" i="30" s="1"/>
  <c r="SJA83" i="30" s="1"/>
  <c r="SJC83" i="30" s="1"/>
  <c r="SJE83" i="30" s="1"/>
  <c r="SJG83" i="30" s="1"/>
  <c r="SJI83" i="30" s="1"/>
  <c r="SJK83" i="30" s="1"/>
  <c r="SJM83" i="30" s="1"/>
  <c r="SJO83" i="30" s="1"/>
  <c r="SJQ83" i="30" s="1"/>
  <c r="SJS83" i="30" s="1"/>
  <c r="SJU83" i="30" s="1"/>
  <c r="SJW83" i="30" s="1"/>
  <c r="SJY83" i="30" s="1"/>
  <c r="SKA83" i="30" s="1"/>
  <c r="SKC83" i="30" s="1"/>
  <c r="SKE83" i="30" s="1"/>
  <c r="SKG83" i="30" s="1"/>
  <c r="SKI83" i="30" s="1"/>
  <c r="SKK83" i="30" s="1"/>
  <c r="SKM83" i="30" s="1"/>
  <c r="SKO83" i="30" s="1"/>
  <c r="SKQ83" i="30" s="1"/>
  <c r="SKS83" i="30" s="1"/>
  <c r="SKU83" i="30" s="1"/>
  <c r="SKW83" i="30" s="1"/>
  <c r="SKY83" i="30" s="1"/>
  <c r="SLA83" i="30" s="1"/>
  <c r="SLC83" i="30" s="1"/>
  <c r="SLE83" i="30" s="1"/>
  <c r="SLG83" i="30" s="1"/>
  <c r="SLI83" i="30" s="1"/>
  <c r="SLK83" i="30" s="1"/>
  <c r="SLM83" i="30" s="1"/>
  <c r="SLO83" i="30" s="1"/>
  <c r="SLQ83" i="30" s="1"/>
  <c r="SLS83" i="30" s="1"/>
  <c r="SLU83" i="30" s="1"/>
  <c r="SLW83" i="30" s="1"/>
  <c r="SLY83" i="30" s="1"/>
  <c r="SMA83" i="30" s="1"/>
  <c r="SMC83" i="30" s="1"/>
  <c r="SME83" i="30" s="1"/>
  <c r="SMG83" i="30" s="1"/>
  <c r="SMI83" i="30" s="1"/>
  <c r="SMK83" i="30" s="1"/>
  <c r="SMM83" i="30" s="1"/>
  <c r="SMO83" i="30" s="1"/>
  <c r="SMQ83" i="30" s="1"/>
  <c r="SMS83" i="30" s="1"/>
  <c r="SMU83" i="30" s="1"/>
  <c r="SMW83" i="30" s="1"/>
  <c r="SMY83" i="30" s="1"/>
  <c r="SNA83" i="30" s="1"/>
  <c r="SNC83" i="30" s="1"/>
  <c r="SNE83" i="30" s="1"/>
  <c r="SNG83" i="30" s="1"/>
  <c r="SNI83" i="30" s="1"/>
  <c r="SNK83" i="30" s="1"/>
  <c r="SNM83" i="30" s="1"/>
  <c r="SNO83" i="30" s="1"/>
  <c r="SNQ83" i="30" s="1"/>
  <c r="SNS83" i="30" s="1"/>
  <c r="SNU83" i="30" s="1"/>
  <c r="SNW83" i="30" s="1"/>
  <c r="SNY83" i="30" s="1"/>
  <c r="SOA83" i="30" s="1"/>
  <c r="SOC83" i="30" s="1"/>
  <c r="SOE83" i="30" s="1"/>
  <c r="SOG83" i="30" s="1"/>
  <c r="SOI83" i="30" s="1"/>
  <c r="SOK83" i="30" s="1"/>
  <c r="SOM83" i="30" s="1"/>
  <c r="SOO83" i="30" s="1"/>
  <c r="SOQ83" i="30" s="1"/>
  <c r="SOS83" i="30" s="1"/>
  <c r="SOU83" i="30" s="1"/>
  <c r="SOW83" i="30" s="1"/>
  <c r="SOY83" i="30" s="1"/>
  <c r="SPA83" i="30" s="1"/>
  <c r="SPC83" i="30" s="1"/>
  <c r="SPE83" i="30" s="1"/>
  <c r="SPG83" i="30" s="1"/>
  <c r="SPI83" i="30" s="1"/>
  <c r="SPK83" i="30" s="1"/>
  <c r="SPM83" i="30" s="1"/>
  <c r="SPO83" i="30" s="1"/>
  <c r="SPQ83" i="30" s="1"/>
  <c r="SPS83" i="30" s="1"/>
  <c r="SPU83" i="30" s="1"/>
  <c r="SPW83" i="30" s="1"/>
  <c r="SPY83" i="30" s="1"/>
  <c r="SQA83" i="30" s="1"/>
  <c r="SQC83" i="30" s="1"/>
  <c r="SQE83" i="30" s="1"/>
  <c r="SQG83" i="30" s="1"/>
  <c r="SQI83" i="30" s="1"/>
  <c r="SQK83" i="30" s="1"/>
  <c r="SQM83" i="30" s="1"/>
  <c r="SQO83" i="30" s="1"/>
  <c r="SQQ83" i="30" s="1"/>
  <c r="SQS83" i="30" s="1"/>
  <c r="SQU83" i="30" s="1"/>
  <c r="SQW83" i="30" s="1"/>
  <c r="SQY83" i="30" s="1"/>
  <c r="SRA83" i="30" s="1"/>
  <c r="SRC83" i="30" s="1"/>
  <c r="SRE83" i="30" s="1"/>
  <c r="SRG83" i="30" s="1"/>
  <c r="SRI83" i="30" s="1"/>
  <c r="SRK83" i="30" s="1"/>
  <c r="SRM83" i="30" s="1"/>
  <c r="SRO83" i="30" s="1"/>
  <c r="SRQ83" i="30" s="1"/>
  <c r="SRS83" i="30" s="1"/>
  <c r="SRU83" i="30" s="1"/>
  <c r="SRW83" i="30" s="1"/>
  <c r="SRY83" i="30" s="1"/>
  <c r="SSA83" i="30" s="1"/>
  <c r="SSC83" i="30" s="1"/>
  <c r="SSE83" i="30" s="1"/>
  <c r="SSG83" i="30" s="1"/>
  <c r="SSI83" i="30" s="1"/>
  <c r="SSK83" i="30" s="1"/>
  <c r="SSM83" i="30" s="1"/>
  <c r="SSO83" i="30" s="1"/>
  <c r="SSQ83" i="30" s="1"/>
  <c r="SSS83" i="30" s="1"/>
  <c r="SSU83" i="30" s="1"/>
  <c r="SSW83" i="30" s="1"/>
  <c r="SSY83" i="30" s="1"/>
  <c r="STA83" i="30" s="1"/>
  <c r="STC83" i="30" s="1"/>
  <c r="STE83" i="30" s="1"/>
  <c r="STG83" i="30" s="1"/>
  <c r="STI83" i="30" s="1"/>
  <c r="STK83" i="30" s="1"/>
  <c r="STM83" i="30" s="1"/>
  <c r="STO83" i="30" s="1"/>
  <c r="STQ83" i="30" s="1"/>
  <c r="STS83" i="30" s="1"/>
  <c r="STU83" i="30" s="1"/>
  <c r="STW83" i="30" s="1"/>
  <c r="STY83" i="30" s="1"/>
  <c r="SUA83" i="30" s="1"/>
  <c r="SUC83" i="30" s="1"/>
  <c r="SUE83" i="30" s="1"/>
  <c r="SUG83" i="30" s="1"/>
  <c r="SUI83" i="30" s="1"/>
  <c r="SUK83" i="30" s="1"/>
  <c r="SUM83" i="30" s="1"/>
  <c r="SUO83" i="30" s="1"/>
  <c r="SUQ83" i="30" s="1"/>
  <c r="SUS83" i="30" s="1"/>
  <c r="SUU83" i="30" s="1"/>
  <c r="SUW83" i="30" s="1"/>
  <c r="SUY83" i="30" s="1"/>
  <c r="SVA83" i="30" s="1"/>
  <c r="SVC83" i="30" s="1"/>
  <c r="SVE83" i="30" s="1"/>
  <c r="SVG83" i="30" s="1"/>
  <c r="SVI83" i="30" s="1"/>
  <c r="SVK83" i="30" s="1"/>
  <c r="SVM83" i="30" s="1"/>
  <c r="SVO83" i="30" s="1"/>
  <c r="SVQ83" i="30" s="1"/>
  <c r="SVS83" i="30" s="1"/>
  <c r="SVU83" i="30" s="1"/>
  <c r="SVW83" i="30" s="1"/>
  <c r="SVY83" i="30" s="1"/>
  <c r="SWA83" i="30" s="1"/>
  <c r="SWC83" i="30" s="1"/>
  <c r="SWE83" i="30" s="1"/>
  <c r="SWG83" i="30" s="1"/>
  <c r="SWI83" i="30" s="1"/>
  <c r="SWK83" i="30" s="1"/>
  <c r="SWM83" i="30" s="1"/>
  <c r="SWO83" i="30" s="1"/>
  <c r="SWQ83" i="30" s="1"/>
  <c r="SWS83" i="30" s="1"/>
  <c r="SWU83" i="30" s="1"/>
  <c r="SWW83" i="30" s="1"/>
  <c r="SWY83" i="30" s="1"/>
  <c r="SXA83" i="30" s="1"/>
  <c r="SXC83" i="30" s="1"/>
  <c r="SXE83" i="30" s="1"/>
  <c r="SXG83" i="30" s="1"/>
  <c r="SXI83" i="30" s="1"/>
  <c r="SXK83" i="30" s="1"/>
  <c r="SXM83" i="30" s="1"/>
  <c r="SXO83" i="30" s="1"/>
  <c r="SXQ83" i="30" s="1"/>
  <c r="SXS83" i="30" s="1"/>
  <c r="SXU83" i="30" s="1"/>
  <c r="SXW83" i="30" s="1"/>
  <c r="SXY83" i="30" s="1"/>
  <c r="SYA83" i="30" s="1"/>
  <c r="SYC83" i="30" s="1"/>
  <c r="SYE83" i="30" s="1"/>
  <c r="SYG83" i="30" s="1"/>
  <c r="SYI83" i="30" s="1"/>
  <c r="SYK83" i="30" s="1"/>
  <c r="SYM83" i="30" s="1"/>
  <c r="SYO83" i="30" s="1"/>
  <c r="SYQ83" i="30" s="1"/>
  <c r="SYS83" i="30" s="1"/>
  <c r="SYU83" i="30" s="1"/>
  <c r="SYW83" i="30" s="1"/>
  <c r="SYY83" i="30" s="1"/>
  <c r="SZA83" i="30" s="1"/>
  <c r="SZC83" i="30" s="1"/>
  <c r="SZE83" i="30" s="1"/>
  <c r="SZG83" i="30" s="1"/>
  <c r="SZI83" i="30" s="1"/>
  <c r="SZK83" i="30" s="1"/>
  <c r="SZM83" i="30" s="1"/>
  <c r="SZO83" i="30" s="1"/>
  <c r="SZQ83" i="30" s="1"/>
  <c r="SZS83" i="30" s="1"/>
  <c r="SZU83" i="30" s="1"/>
  <c r="SZW83" i="30" s="1"/>
  <c r="SZY83" i="30" s="1"/>
  <c r="TAA83" i="30" s="1"/>
  <c r="TAC83" i="30" s="1"/>
  <c r="TAE83" i="30" s="1"/>
  <c r="TAG83" i="30" s="1"/>
  <c r="TAI83" i="30" s="1"/>
  <c r="TAK83" i="30" s="1"/>
  <c r="TAM83" i="30" s="1"/>
  <c r="TAO83" i="30" s="1"/>
  <c r="TAQ83" i="30" s="1"/>
  <c r="TAS83" i="30" s="1"/>
  <c r="TAU83" i="30" s="1"/>
  <c r="TAW83" i="30" s="1"/>
  <c r="TAY83" i="30" s="1"/>
  <c r="TBA83" i="30" s="1"/>
  <c r="TBC83" i="30" s="1"/>
  <c r="TBE83" i="30" s="1"/>
  <c r="TBG83" i="30" s="1"/>
  <c r="TBI83" i="30" s="1"/>
  <c r="TBK83" i="30" s="1"/>
  <c r="TBM83" i="30" s="1"/>
  <c r="TBO83" i="30" s="1"/>
  <c r="TBQ83" i="30" s="1"/>
  <c r="TBS83" i="30" s="1"/>
  <c r="TBU83" i="30" s="1"/>
  <c r="TBW83" i="30" s="1"/>
  <c r="TBY83" i="30" s="1"/>
  <c r="TCA83" i="30" s="1"/>
  <c r="TCC83" i="30" s="1"/>
  <c r="TCE83" i="30" s="1"/>
  <c r="TCG83" i="30" s="1"/>
  <c r="TCI83" i="30" s="1"/>
  <c r="TCK83" i="30" s="1"/>
  <c r="TCM83" i="30" s="1"/>
  <c r="TCO83" i="30" s="1"/>
  <c r="TCQ83" i="30" s="1"/>
  <c r="TCS83" i="30" s="1"/>
  <c r="TCU83" i="30" s="1"/>
  <c r="TCW83" i="30" s="1"/>
  <c r="TCY83" i="30" s="1"/>
  <c r="TDA83" i="30" s="1"/>
  <c r="TDC83" i="30" s="1"/>
  <c r="TDE83" i="30" s="1"/>
  <c r="TDG83" i="30" s="1"/>
  <c r="TDI83" i="30" s="1"/>
  <c r="TDK83" i="30" s="1"/>
  <c r="TDM83" i="30" s="1"/>
  <c r="TDO83" i="30" s="1"/>
  <c r="TDQ83" i="30" s="1"/>
  <c r="TDS83" i="30" s="1"/>
  <c r="TDU83" i="30" s="1"/>
  <c r="TDW83" i="30" s="1"/>
  <c r="TDY83" i="30" s="1"/>
  <c r="TEA83" i="30" s="1"/>
  <c r="TEC83" i="30" s="1"/>
  <c r="TEE83" i="30" s="1"/>
  <c r="TEG83" i="30" s="1"/>
  <c r="TEI83" i="30" s="1"/>
  <c r="TEK83" i="30" s="1"/>
  <c r="TEM83" i="30" s="1"/>
  <c r="TEO83" i="30" s="1"/>
  <c r="TEQ83" i="30" s="1"/>
  <c r="TES83" i="30" s="1"/>
  <c r="TEU83" i="30" s="1"/>
  <c r="TEW83" i="30" s="1"/>
  <c r="TEY83" i="30" s="1"/>
  <c r="TFA83" i="30" s="1"/>
  <c r="TFC83" i="30" s="1"/>
  <c r="TFE83" i="30" s="1"/>
  <c r="TFG83" i="30" s="1"/>
  <c r="TFI83" i="30" s="1"/>
  <c r="TFK83" i="30" s="1"/>
  <c r="TFM83" i="30" s="1"/>
  <c r="TFO83" i="30" s="1"/>
  <c r="TFQ83" i="30" s="1"/>
  <c r="TFS83" i="30" s="1"/>
  <c r="TFU83" i="30" s="1"/>
  <c r="TFW83" i="30" s="1"/>
  <c r="TFY83" i="30" s="1"/>
  <c r="TGA83" i="30" s="1"/>
  <c r="TGC83" i="30" s="1"/>
  <c r="TGE83" i="30" s="1"/>
  <c r="TGG83" i="30" s="1"/>
  <c r="TGI83" i="30" s="1"/>
  <c r="TGK83" i="30" s="1"/>
  <c r="TGM83" i="30" s="1"/>
  <c r="TGO83" i="30" s="1"/>
  <c r="TGQ83" i="30" s="1"/>
  <c r="TGS83" i="30" s="1"/>
  <c r="TGU83" i="30" s="1"/>
  <c r="TGW83" i="30" s="1"/>
  <c r="TGY83" i="30" s="1"/>
  <c r="THA83" i="30" s="1"/>
  <c r="THC83" i="30" s="1"/>
  <c r="THE83" i="30" s="1"/>
  <c r="THG83" i="30" s="1"/>
  <c r="THI83" i="30" s="1"/>
  <c r="THK83" i="30" s="1"/>
  <c r="THM83" i="30" s="1"/>
  <c r="THO83" i="30" s="1"/>
  <c r="THQ83" i="30" s="1"/>
  <c r="THS83" i="30" s="1"/>
  <c r="THU83" i="30" s="1"/>
  <c r="THW83" i="30" s="1"/>
  <c r="THY83" i="30" s="1"/>
  <c r="TIA83" i="30" s="1"/>
  <c r="TIC83" i="30" s="1"/>
  <c r="TIE83" i="30" s="1"/>
  <c r="TIG83" i="30" s="1"/>
  <c r="TII83" i="30" s="1"/>
  <c r="TIK83" i="30" s="1"/>
  <c r="TIM83" i="30" s="1"/>
  <c r="TIO83" i="30" s="1"/>
  <c r="TIQ83" i="30" s="1"/>
  <c r="TIS83" i="30" s="1"/>
  <c r="TIU83" i="30" s="1"/>
  <c r="TIW83" i="30" s="1"/>
  <c r="TIY83" i="30" s="1"/>
  <c r="TJA83" i="30" s="1"/>
  <c r="TJC83" i="30" s="1"/>
  <c r="TJE83" i="30" s="1"/>
  <c r="TJG83" i="30" s="1"/>
  <c r="TJI83" i="30" s="1"/>
  <c r="TJK83" i="30" s="1"/>
  <c r="TJM83" i="30" s="1"/>
  <c r="TJO83" i="30" s="1"/>
  <c r="TJQ83" i="30" s="1"/>
  <c r="TJS83" i="30" s="1"/>
  <c r="TJU83" i="30" s="1"/>
  <c r="TJW83" i="30" s="1"/>
  <c r="TJY83" i="30" s="1"/>
  <c r="TKA83" i="30" s="1"/>
  <c r="TKC83" i="30" s="1"/>
  <c r="TKE83" i="30" s="1"/>
  <c r="TKG83" i="30" s="1"/>
  <c r="TKI83" i="30" s="1"/>
  <c r="TKK83" i="30" s="1"/>
  <c r="TKM83" i="30" s="1"/>
  <c r="TKO83" i="30" s="1"/>
  <c r="TKQ83" i="30" s="1"/>
  <c r="TKS83" i="30" s="1"/>
  <c r="TKU83" i="30" s="1"/>
  <c r="TKW83" i="30" s="1"/>
  <c r="TKY83" i="30" s="1"/>
  <c r="TLA83" i="30" s="1"/>
  <c r="TLC83" i="30" s="1"/>
  <c r="TLE83" i="30" s="1"/>
  <c r="TLG83" i="30" s="1"/>
  <c r="TLI83" i="30" s="1"/>
  <c r="TLK83" i="30" s="1"/>
  <c r="TLM83" i="30" s="1"/>
  <c r="TLO83" i="30" s="1"/>
  <c r="TLQ83" i="30" s="1"/>
  <c r="TLS83" i="30" s="1"/>
  <c r="TLU83" i="30" s="1"/>
  <c r="TLW83" i="30" s="1"/>
  <c r="TLY83" i="30" s="1"/>
  <c r="TMA83" i="30" s="1"/>
  <c r="TMC83" i="30" s="1"/>
  <c r="TME83" i="30" s="1"/>
  <c r="TMG83" i="30" s="1"/>
  <c r="TMI83" i="30" s="1"/>
  <c r="TMK83" i="30" s="1"/>
  <c r="TMM83" i="30" s="1"/>
  <c r="TMO83" i="30" s="1"/>
  <c r="TMQ83" i="30" s="1"/>
  <c r="TMS83" i="30" s="1"/>
  <c r="TMU83" i="30" s="1"/>
  <c r="TMW83" i="30" s="1"/>
  <c r="TMY83" i="30" s="1"/>
  <c r="TNA83" i="30" s="1"/>
  <c r="TNC83" i="30" s="1"/>
  <c r="TNE83" i="30" s="1"/>
  <c r="TNG83" i="30" s="1"/>
  <c r="TNI83" i="30" s="1"/>
  <c r="TNK83" i="30" s="1"/>
  <c r="TNM83" i="30" s="1"/>
  <c r="TNO83" i="30" s="1"/>
  <c r="TNQ83" i="30" s="1"/>
  <c r="TNS83" i="30" s="1"/>
  <c r="TNU83" i="30" s="1"/>
  <c r="TNW83" i="30" s="1"/>
  <c r="TNY83" i="30" s="1"/>
  <c r="TOA83" i="30" s="1"/>
  <c r="TOC83" i="30" s="1"/>
  <c r="TOE83" i="30" s="1"/>
  <c r="TOG83" i="30" s="1"/>
  <c r="TOI83" i="30" s="1"/>
  <c r="TOK83" i="30" s="1"/>
  <c r="TOM83" i="30" s="1"/>
  <c r="TOO83" i="30" s="1"/>
  <c r="TOQ83" i="30" s="1"/>
  <c r="TOS83" i="30" s="1"/>
  <c r="TOU83" i="30" s="1"/>
  <c r="TOW83" i="30" s="1"/>
  <c r="TOY83" i="30" s="1"/>
  <c r="TPA83" i="30" s="1"/>
  <c r="TPC83" i="30" s="1"/>
  <c r="TPE83" i="30" s="1"/>
  <c r="TPG83" i="30" s="1"/>
  <c r="TPI83" i="30" s="1"/>
  <c r="TPK83" i="30" s="1"/>
  <c r="TPM83" i="30" s="1"/>
  <c r="TPO83" i="30" s="1"/>
  <c r="TPQ83" i="30" s="1"/>
  <c r="TPS83" i="30" s="1"/>
  <c r="TPU83" i="30" s="1"/>
  <c r="TPW83" i="30" s="1"/>
  <c r="TPY83" i="30" s="1"/>
  <c r="TQA83" i="30" s="1"/>
  <c r="TQC83" i="30" s="1"/>
  <c r="TQE83" i="30" s="1"/>
  <c r="TQG83" i="30" s="1"/>
  <c r="TQI83" i="30" s="1"/>
  <c r="TQK83" i="30" s="1"/>
  <c r="TQM83" i="30" s="1"/>
  <c r="TQO83" i="30" s="1"/>
  <c r="TQQ83" i="30" s="1"/>
  <c r="TQS83" i="30" s="1"/>
  <c r="TQU83" i="30" s="1"/>
  <c r="TQW83" i="30" s="1"/>
  <c r="TQY83" i="30" s="1"/>
  <c r="TRA83" i="30" s="1"/>
  <c r="TRC83" i="30" s="1"/>
  <c r="TRE83" i="30" s="1"/>
  <c r="TRG83" i="30" s="1"/>
  <c r="TRI83" i="30" s="1"/>
  <c r="TRK83" i="30" s="1"/>
  <c r="TRM83" i="30" s="1"/>
  <c r="TRO83" i="30" s="1"/>
  <c r="TRQ83" i="30" s="1"/>
  <c r="TRS83" i="30" s="1"/>
  <c r="TRU83" i="30" s="1"/>
  <c r="TRW83" i="30" s="1"/>
  <c r="TRY83" i="30" s="1"/>
  <c r="TSA83" i="30" s="1"/>
  <c r="TSC83" i="30" s="1"/>
  <c r="TSE83" i="30" s="1"/>
  <c r="TSG83" i="30" s="1"/>
  <c r="TSI83" i="30" s="1"/>
  <c r="TSK83" i="30" s="1"/>
  <c r="TSM83" i="30" s="1"/>
  <c r="TSO83" i="30" s="1"/>
  <c r="TSQ83" i="30" s="1"/>
  <c r="TSS83" i="30" s="1"/>
  <c r="TSU83" i="30" s="1"/>
  <c r="TSW83" i="30" s="1"/>
  <c r="TSY83" i="30" s="1"/>
  <c r="TTA83" i="30" s="1"/>
  <c r="TTC83" i="30" s="1"/>
  <c r="TTE83" i="30" s="1"/>
  <c r="TTG83" i="30" s="1"/>
  <c r="TTI83" i="30" s="1"/>
  <c r="TTK83" i="30" s="1"/>
  <c r="TTM83" i="30" s="1"/>
  <c r="TTO83" i="30" s="1"/>
  <c r="TTQ83" i="30" s="1"/>
  <c r="TTS83" i="30" s="1"/>
  <c r="TTU83" i="30" s="1"/>
  <c r="TTW83" i="30" s="1"/>
  <c r="TTY83" i="30" s="1"/>
  <c r="TUA83" i="30" s="1"/>
  <c r="TUC83" i="30" s="1"/>
  <c r="TUE83" i="30" s="1"/>
  <c r="TUG83" i="30" s="1"/>
  <c r="TUI83" i="30" s="1"/>
  <c r="TUK83" i="30" s="1"/>
  <c r="TUM83" i="30" s="1"/>
  <c r="TUO83" i="30" s="1"/>
  <c r="TUQ83" i="30" s="1"/>
  <c r="TUS83" i="30" s="1"/>
  <c r="TUU83" i="30" s="1"/>
  <c r="TUW83" i="30" s="1"/>
  <c r="TUY83" i="30" s="1"/>
  <c r="TVA83" i="30" s="1"/>
  <c r="TVC83" i="30" s="1"/>
  <c r="TVE83" i="30" s="1"/>
  <c r="TVG83" i="30" s="1"/>
  <c r="TVI83" i="30" s="1"/>
  <c r="TVK83" i="30" s="1"/>
  <c r="TVM83" i="30" s="1"/>
  <c r="TVO83" i="30" s="1"/>
  <c r="TVQ83" i="30" s="1"/>
  <c r="TVS83" i="30" s="1"/>
  <c r="TVU83" i="30" s="1"/>
  <c r="TVW83" i="30" s="1"/>
  <c r="TVY83" i="30" s="1"/>
  <c r="TWA83" i="30" s="1"/>
  <c r="TWC83" i="30" s="1"/>
  <c r="TWE83" i="30" s="1"/>
  <c r="TWG83" i="30" s="1"/>
  <c r="TWI83" i="30" s="1"/>
  <c r="TWK83" i="30" s="1"/>
  <c r="TWM83" i="30" s="1"/>
  <c r="TWO83" i="30" s="1"/>
  <c r="TWQ83" i="30" s="1"/>
  <c r="TWS83" i="30" s="1"/>
  <c r="TWU83" i="30" s="1"/>
  <c r="TWW83" i="30" s="1"/>
  <c r="TWY83" i="30" s="1"/>
  <c r="TXA83" i="30" s="1"/>
  <c r="TXC83" i="30" s="1"/>
  <c r="TXE83" i="30" s="1"/>
  <c r="TXG83" i="30" s="1"/>
  <c r="TXI83" i="30" s="1"/>
  <c r="TXK83" i="30" s="1"/>
  <c r="TXM83" i="30" s="1"/>
  <c r="TXO83" i="30" s="1"/>
  <c r="TXQ83" i="30" s="1"/>
  <c r="TXS83" i="30" s="1"/>
  <c r="TXU83" i="30" s="1"/>
  <c r="TXW83" i="30" s="1"/>
  <c r="TXY83" i="30" s="1"/>
  <c r="TYA83" i="30" s="1"/>
  <c r="TYC83" i="30" s="1"/>
  <c r="TYE83" i="30" s="1"/>
  <c r="TYG83" i="30" s="1"/>
  <c r="TYI83" i="30" s="1"/>
  <c r="TYK83" i="30" s="1"/>
  <c r="TYM83" i="30" s="1"/>
  <c r="TYO83" i="30" s="1"/>
  <c r="TYQ83" i="30" s="1"/>
  <c r="TYS83" i="30" s="1"/>
  <c r="TYU83" i="30" s="1"/>
  <c r="TYW83" i="30" s="1"/>
  <c r="TYY83" i="30" s="1"/>
  <c r="TZA83" i="30" s="1"/>
  <c r="TZC83" i="30" s="1"/>
  <c r="TZE83" i="30" s="1"/>
  <c r="TZG83" i="30" s="1"/>
  <c r="TZI83" i="30" s="1"/>
  <c r="TZK83" i="30" s="1"/>
  <c r="TZM83" i="30" s="1"/>
  <c r="TZO83" i="30" s="1"/>
  <c r="TZQ83" i="30" s="1"/>
  <c r="TZS83" i="30" s="1"/>
  <c r="TZU83" i="30" s="1"/>
  <c r="TZW83" i="30" s="1"/>
  <c r="TZY83" i="30" s="1"/>
  <c r="UAA83" i="30" s="1"/>
  <c r="UAC83" i="30" s="1"/>
  <c r="UAE83" i="30" s="1"/>
  <c r="UAG83" i="30" s="1"/>
  <c r="UAI83" i="30" s="1"/>
  <c r="UAK83" i="30" s="1"/>
  <c r="UAM83" i="30" s="1"/>
  <c r="UAO83" i="30" s="1"/>
  <c r="UAQ83" i="30" s="1"/>
  <c r="UAS83" i="30" s="1"/>
  <c r="UAU83" i="30" s="1"/>
  <c r="UAW83" i="30" s="1"/>
  <c r="UAY83" i="30" s="1"/>
  <c r="UBA83" i="30" s="1"/>
  <c r="UBC83" i="30" s="1"/>
  <c r="UBE83" i="30" s="1"/>
  <c r="UBG83" i="30" s="1"/>
  <c r="UBI83" i="30" s="1"/>
  <c r="UBK83" i="30" s="1"/>
  <c r="UBM83" i="30" s="1"/>
  <c r="UBO83" i="30" s="1"/>
  <c r="UBQ83" i="30" s="1"/>
  <c r="UBS83" i="30" s="1"/>
  <c r="UBU83" i="30" s="1"/>
  <c r="UBW83" i="30" s="1"/>
  <c r="UBY83" i="30" s="1"/>
  <c r="UCA83" i="30" s="1"/>
  <c r="UCC83" i="30" s="1"/>
  <c r="UCE83" i="30" s="1"/>
  <c r="UCG83" i="30" s="1"/>
  <c r="UCI83" i="30" s="1"/>
  <c r="UCK83" i="30" s="1"/>
  <c r="UCM83" i="30" s="1"/>
  <c r="UCO83" i="30" s="1"/>
  <c r="UCQ83" i="30" s="1"/>
  <c r="UCS83" i="30" s="1"/>
  <c r="UCU83" i="30" s="1"/>
  <c r="UCW83" i="30" s="1"/>
  <c r="UCY83" i="30" s="1"/>
  <c r="UDA83" i="30" s="1"/>
  <c r="UDC83" i="30" s="1"/>
  <c r="UDE83" i="30" s="1"/>
  <c r="UDG83" i="30" s="1"/>
  <c r="UDI83" i="30" s="1"/>
  <c r="UDK83" i="30" s="1"/>
  <c r="UDM83" i="30" s="1"/>
  <c r="UDO83" i="30" s="1"/>
  <c r="UDQ83" i="30" s="1"/>
  <c r="UDS83" i="30" s="1"/>
  <c r="UDU83" i="30" s="1"/>
  <c r="UDW83" i="30" s="1"/>
  <c r="UDY83" i="30" s="1"/>
  <c r="UEA83" i="30" s="1"/>
  <c r="UEC83" i="30" s="1"/>
  <c r="UEE83" i="30" s="1"/>
  <c r="UEG83" i="30" s="1"/>
  <c r="UEI83" i="30" s="1"/>
  <c r="UEK83" i="30" s="1"/>
  <c r="UEM83" i="30" s="1"/>
  <c r="UEO83" i="30" s="1"/>
  <c r="UEQ83" i="30" s="1"/>
  <c r="UES83" i="30" s="1"/>
  <c r="UEU83" i="30" s="1"/>
  <c r="UEW83" i="30" s="1"/>
  <c r="UEY83" i="30" s="1"/>
  <c r="UFA83" i="30" s="1"/>
  <c r="UFC83" i="30" s="1"/>
  <c r="UFE83" i="30" s="1"/>
  <c r="UFG83" i="30" s="1"/>
  <c r="UFI83" i="30" s="1"/>
  <c r="UFK83" i="30" s="1"/>
  <c r="UFM83" i="30" s="1"/>
  <c r="UFO83" i="30" s="1"/>
  <c r="UFQ83" i="30" s="1"/>
  <c r="UFS83" i="30" s="1"/>
  <c r="UFU83" i="30" s="1"/>
  <c r="UFW83" i="30" s="1"/>
  <c r="UFY83" i="30" s="1"/>
  <c r="UGA83" i="30" s="1"/>
  <c r="UGC83" i="30" s="1"/>
  <c r="UGE83" i="30" s="1"/>
  <c r="UGG83" i="30" s="1"/>
  <c r="UGI83" i="30" s="1"/>
  <c r="UGK83" i="30" s="1"/>
  <c r="UGM83" i="30" s="1"/>
  <c r="UGO83" i="30" s="1"/>
  <c r="UGQ83" i="30" s="1"/>
  <c r="UGS83" i="30" s="1"/>
  <c r="UGU83" i="30" s="1"/>
  <c r="UGW83" i="30" s="1"/>
  <c r="UGY83" i="30" s="1"/>
  <c r="UHA83" i="30" s="1"/>
  <c r="UHC83" i="30" s="1"/>
  <c r="UHE83" i="30" s="1"/>
  <c r="UHG83" i="30" s="1"/>
  <c r="UHI83" i="30" s="1"/>
  <c r="UHK83" i="30" s="1"/>
  <c r="UHM83" i="30" s="1"/>
  <c r="UHO83" i="30" s="1"/>
  <c r="UHQ83" i="30" s="1"/>
  <c r="UHS83" i="30" s="1"/>
  <c r="UHU83" i="30" s="1"/>
  <c r="UHW83" i="30" s="1"/>
  <c r="UHY83" i="30" s="1"/>
  <c r="UIA83" i="30" s="1"/>
  <c r="UIC83" i="30" s="1"/>
  <c r="UIE83" i="30" s="1"/>
  <c r="UIG83" i="30" s="1"/>
  <c r="UII83" i="30" s="1"/>
  <c r="UIK83" i="30" s="1"/>
  <c r="UIM83" i="30" s="1"/>
  <c r="UIO83" i="30" s="1"/>
  <c r="UIQ83" i="30" s="1"/>
  <c r="UIS83" i="30" s="1"/>
  <c r="UIU83" i="30" s="1"/>
  <c r="UIW83" i="30" s="1"/>
  <c r="UIY83" i="30" s="1"/>
  <c r="UJA83" i="30" s="1"/>
  <c r="UJC83" i="30" s="1"/>
  <c r="UJE83" i="30" s="1"/>
  <c r="UJG83" i="30" s="1"/>
  <c r="UJI83" i="30" s="1"/>
  <c r="UJK83" i="30" s="1"/>
  <c r="UJM83" i="30" s="1"/>
  <c r="UJO83" i="30" s="1"/>
  <c r="UJQ83" i="30" s="1"/>
  <c r="UJS83" i="30" s="1"/>
  <c r="UJU83" i="30" s="1"/>
  <c r="UJW83" i="30" s="1"/>
  <c r="UJY83" i="30" s="1"/>
  <c r="UKA83" i="30" s="1"/>
  <c r="UKC83" i="30" s="1"/>
  <c r="UKE83" i="30" s="1"/>
  <c r="UKG83" i="30" s="1"/>
  <c r="UKI83" i="30" s="1"/>
  <c r="UKK83" i="30" s="1"/>
  <c r="UKM83" i="30" s="1"/>
  <c r="UKO83" i="30" s="1"/>
  <c r="UKQ83" i="30" s="1"/>
  <c r="UKS83" i="30" s="1"/>
  <c r="UKU83" i="30" s="1"/>
  <c r="UKW83" i="30" s="1"/>
  <c r="UKY83" i="30" s="1"/>
  <c r="ULA83" i="30" s="1"/>
  <c r="ULC83" i="30" s="1"/>
  <c r="ULE83" i="30" s="1"/>
  <c r="ULG83" i="30" s="1"/>
  <c r="ULI83" i="30" s="1"/>
  <c r="ULK83" i="30" s="1"/>
  <c r="ULM83" i="30" s="1"/>
  <c r="ULO83" i="30" s="1"/>
  <c r="ULQ83" i="30" s="1"/>
  <c r="ULS83" i="30" s="1"/>
  <c r="ULU83" i="30" s="1"/>
  <c r="ULW83" i="30" s="1"/>
  <c r="ULY83" i="30" s="1"/>
  <c r="UMA83" i="30" s="1"/>
  <c r="UMC83" i="30" s="1"/>
  <c r="UME83" i="30" s="1"/>
  <c r="UMG83" i="30" s="1"/>
  <c r="UMI83" i="30" s="1"/>
  <c r="UMK83" i="30" s="1"/>
  <c r="UMM83" i="30" s="1"/>
  <c r="UMO83" i="30" s="1"/>
  <c r="UMQ83" i="30" s="1"/>
  <c r="UMS83" i="30" s="1"/>
  <c r="UMU83" i="30" s="1"/>
  <c r="UMW83" i="30" s="1"/>
  <c r="UMY83" i="30" s="1"/>
  <c r="UNA83" i="30" s="1"/>
  <c r="UNC83" i="30" s="1"/>
  <c r="UNE83" i="30" s="1"/>
  <c r="UNG83" i="30" s="1"/>
  <c r="UNI83" i="30" s="1"/>
  <c r="UNK83" i="30" s="1"/>
  <c r="UNM83" i="30" s="1"/>
  <c r="UNO83" i="30" s="1"/>
  <c r="UNQ83" i="30" s="1"/>
  <c r="UNS83" i="30" s="1"/>
  <c r="UNU83" i="30" s="1"/>
  <c r="UNW83" i="30" s="1"/>
  <c r="UNY83" i="30" s="1"/>
  <c r="UOA83" i="30" s="1"/>
  <c r="UOC83" i="30" s="1"/>
  <c r="UOE83" i="30" s="1"/>
  <c r="UOG83" i="30" s="1"/>
  <c r="UOI83" i="30" s="1"/>
  <c r="UOK83" i="30" s="1"/>
  <c r="UOM83" i="30" s="1"/>
  <c r="UOO83" i="30" s="1"/>
  <c r="UOQ83" i="30" s="1"/>
  <c r="UOS83" i="30" s="1"/>
  <c r="UOU83" i="30" s="1"/>
  <c r="UOW83" i="30" s="1"/>
  <c r="UOY83" i="30" s="1"/>
  <c r="UPA83" i="30" s="1"/>
  <c r="UPC83" i="30" s="1"/>
  <c r="UPE83" i="30" s="1"/>
  <c r="UPG83" i="30" s="1"/>
  <c r="UPI83" i="30" s="1"/>
  <c r="UPK83" i="30" s="1"/>
  <c r="UPM83" i="30" s="1"/>
  <c r="UPO83" i="30" s="1"/>
  <c r="UPQ83" i="30" s="1"/>
  <c r="UPS83" i="30" s="1"/>
  <c r="UPU83" i="30" s="1"/>
  <c r="UPW83" i="30" s="1"/>
  <c r="UPY83" i="30" s="1"/>
  <c r="UQA83" i="30" s="1"/>
  <c r="UQC83" i="30" s="1"/>
  <c r="UQE83" i="30" s="1"/>
  <c r="UQG83" i="30" s="1"/>
  <c r="UQI83" i="30" s="1"/>
  <c r="UQK83" i="30" s="1"/>
  <c r="UQM83" i="30" s="1"/>
  <c r="UQO83" i="30" s="1"/>
  <c r="UQQ83" i="30" s="1"/>
  <c r="UQS83" i="30" s="1"/>
  <c r="UQU83" i="30" s="1"/>
  <c r="UQW83" i="30" s="1"/>
  <c r="UQY83" i="30" s="1"/>
  <c r="URA83" i="30" s="1"/>
  <c r="URC83" i="30" s="1"/>
  <c r="URE83" i="30" s="1"/>
  <c r="URG83" i="30" s="1"/>
  <c r="URI83" i="30" s="1"/>
  <c r="URK83" i="30" s="1"/>
  <c r="URM83" i="30" s="1"/>
  <c r="URO83" i="30" s="1"/>
  <c r="URQ83" i="30" s="1"/>
  <c r="URS83" i="30" s="1"/>
  <c r="URU83" i="30" s="1"/>
  <c r="URW83" i="30" s="1"/>
  <c r="URY83" i="30" s="1"/>
  <c r="USA83" i="30" s="1"/>
  <c r="USC83" i="30" s="1"/>
  <c r="USE83" i="30" s="1"/>
  <c r="USG83" i="30" s="1"/>
  <c r="USI83" i="30" s="1"/>
  <c r="USK83" i="30" s="1"/>
  <c r="USM83" i="30" s="1"/>
  <c r="USO83" i="30" s="1"/>
  <c r="USQ83" i="30" s="1"/>
  <c r="USS83" i="30" s="1"/>
  <c r="USU83" i="30" s="1"/>
  <c r="USW83" i="30" s="1"/>
  <c r="USY83" i="30" s="1"/>
  <c r="UTA83" i="30" s="1"/>
  <c r="UTC83" i="30" s="1"/>
  <c r="UTE83" i="30" s="1"/>
  <c r="UTG83" i="30" s="1"/>
  <c r="UTI83" i="30" s="1"/>
  <c r="UTK83" i="30" s="1"/>
  <c r="UTM83" i="30" s="1"/>
  <c r="UTO83" i="30" s="1"/>
  <c r="UTQ83" i="30" s="1"/>
  <c r="UTS83" i="30" s="1"/>
  <c r="UTU83" i="30" s="1"/>
  <c r="UTW83" i="30" s="1"/>
  <c r="UTY83" i="30" s="1"/>
  <c r="UUA83" i="30" s="1"/>
  <c r="UUC83" i="30" s="1"/>
  <c r="UUE83" i="30" s="1"/>
  <c r="UUG83" i="30" s="1"/>
  <c r="UUI83" i="30" s="1"/>
  <c r="UUK83" i="30" s="1"/>
  <c r="UUM83" i="30" s="1"/>
  <c r="UUO83" i="30" s="1"/>
  <c r="UUQ83" i="30" s="1"/>
  <c r="UUS83" i="30" s="1"/>
  <c r="UUU83" i="30" s="1"/>
  <c r="UUW83" i="30" s="1"/>
  <c r="UUY83" i="30" s="1"/>
  <c r="UVA83" i="30" s="1"/>
  <c r="UVC83" i="30" s="1"/>
  <c r="UVE83" i="30" s="1"/>
  <c r="UVG83" i="30" s="1"/>
  <c r="UVI83" i="30" s="1"/>
  <c r="UVK83" i="30" s="1"/>
  <c r="UVM83" i="30" s="1"/>
  <c r="UVO83" i="30" s="1"/>
  <c r="UVQ83" i="30" s="1"/>
  <c r="UVS83" i="30" s="1"/>
  <c r="UVU83" i="30" s="1"/>
  <c r="UVW83" i="30" s="1"/>
  <c r="UVY83" i="30" s="1"/>
  <c r="UWA83" i="30" s="1"/>
  <c r="UWC83" i="30" s="1"/>
  <c r="UWE83" i="30" s="1"/>
  <c r="UWG83" i="30" s="1"/>
  <c r="UWI83" i="30" s="1"/>
  <c r="UWK83" i="30" s="1"/>
  <c r="UWM83" i="30" s="1"/>
  <c r="UWO83" i="30" s="1"/>
  <c r="UWQ83" i="30" s="1"/>
  <c r="UWS83" i="30" s="1"/>
  <c r="UWU83" i="30" s="1"/>
  <c r="UWW83" i="30" s="1"/>
  <c r="UWY83" i="30" s="1"/>
  <c r="UXA83" i="30" s="1"/>
  <c r="UXC83" i="30" s="1"/>
  <c r="UXE83" i="30" s="1"/>
  <c r="UXG83" i="30" s="1"/>
  <c r="UXI83" i="30" s="1"/>
  <c r="UXK83" i="30" s="1"/>
  <c r="UXM83" i="30" s="1"/>
  <c r="UXO83" i="30" s="1"/>
  <c r="UXQ83" i="30" s="1"/>
  <c r="UXS83" i="30" s="1"/>
  <c r="UXU83" i="30" s="1"/>
  <c r="UXW83" i="30" s="1"/>
  <c r="UXY83" i="30" s="1"/>
  <c r="UYA83" i="30" s="1"/>
  <c r="UYC83" i="30" s="1"/>
  <c r="UYE83" i="30" s="1"/>
  <c r="UYG83" i="30" s="1"/>
  <c r="UYI83" i="30" s="1"/>
  <c r="UYK83" i="30" s="1"/>
  <c r="UYM83" i="30" s="1"/>
  <c r="UYO83" i="30" s="1"/>
  <c r="UYQ83" i="30" s="1"/>
  <c r="UYS83" i="30" s="1"/>
  <c r="UYU83" i="30" s="1"/>
  <c r="UYW83" i="30" s="1"/>
  <c r="UYY83" i="30" s="1"/>
  <c r="UZA83" i="30" s="1"/>
  <c r="UZC83" i="30" s="1"/>
  <c r="UZE83" i="30" s="1"/>
  <c r="UZG83" i="30" s="1"/>
  <c r="UZI83" i="30" s="1"/>
  <c r="UZK83" i="30" s="1"/>
  <c r="UZM83" i="30" s="1"/>
  <c r="UZO83" i="30" s="1"/>
  <c r="UZQ83" i="30" s="1"/>
  <c r="UZS83" i="30" s="1"/>
  <c r="UZU83" i="30" s="1"/>
  <c r="UZW83" i="30" s="1"/>
  <c r="UZY83" i="30" s="1"/>
  <c r="VAA83" i="30" s="1"/>
  <c r="VAC83" i="30" s="1"/>
  <c r="VAE83" i="30" s="1"/>
  <c r="VAG83" i="30" s="1"/>
  <c r="VAI83" i="30" s="1"/>
  <c r="VAK83" i="30" s="1"/>
  <c r="VAM83" i="30" s="1"/>
  <c r="VAO83" i="30" s="1"/>
  <c r="VAQ83" i="30" s="1"/>
  <c r="VAS83" i="30" s="1"/>
  <c r="VAU83" i="30" s="1"/>
  <c r="VAW83" i="30" s="1"/>
  <c r="VAY83" i="30" s="1"/>
  <c r="VBA83" i="30" s="1"/>
  <c r="VBC83" i="30" s="1"/>
  <c r="VBE83" i="30" s="1"/>
  <c r="VBG83" i="30" s="1"/>
  <c r="VBI83" i="30" s="1"/>
  <c r="VBK83" i="30" s="1"/>
  <c r="VBM83" i="30" s="1"/>
  <c r="VBO83" i="30" s="1"/>
  <c r="VBQ83" i="30" s="1"/>
  <c r="VBS83" i="30" s="1"/>
  <c r="VBU83" i="30" s="1"/>
  <c r="VBW83" i="30" s="1"/>
  <c r="VBY83" i="30" s="1"/>
  <c r="VCA83" i="30" s="1"/>
  <c r="VCC83" i="30" s="1"/>
  <c r="VCE83" i="30" s="1"/>
  <c r="VCG83" i="30" s="1"/>
  <c r="VCI83" i="30" s="1"/>
  <c r="VCK83" i="30" s="1"/>
  <c r="VCM83" i="30" s="1"/>
  <c r="VCO83" i="30" s="1"/>
  <c r="VCQ83" i="30" s="1"/>
  <c r="VCS83" i="30" s="1"/>
  <c r="VCU83" i="30" s="1"/>
  <c r="VCW83" i="30" s="1"/>
  <c r="VCY83" i="30" s="1"/>
  <c r="VDA83" i="30" s="1"/>
  <c r="VDC83" i="30" s="1"/>
  <c r="VDE83" i="30" s="1"/>
  <c r="VDG83" i="30" s="1"/>
  <c r="VDI83" i="30" s="1"/>
  <c r="VDK83" i="30" s="1"/>
  <c r="VDM83" i="30" s="1"/>
  <c r="VDO83" i="30" s="1"/>
  <c r="VDQ83" i="30" s="1"/>
  <c r="VDS83" i="30" s="1"/>
  <c r="VDU83" i="30" s="1"/>
  <c r="VDW83" i="30" s="1"/>
  <c r="VDY83" i="30" s="1"/>
  <c r="VEA83" i="30" s="1"/>
  <c r="VEC83" i="30" s="1"/>
  <c r="VEE83" i="30" s="1"/>
  <c r="VEG83" i="30" s="1"/>
  <c r="VEI83" i="30" s="1"/>
  <c r="VEK83" i="30" s="1"/>
  <c r="VEM83" i="30" s="1"/>
  <c r="VEO83" i="30" s="1"/>
  <c r="VEQ83" i="30" s="1"/>
  <c r="VES83" i="30" s="1"/>
  <c r="VEU83" i="30" s="1"/>
  <c r="VEW83" i="30" s="1"/>
  <c r="VEY83" i="30" s="1"/>
  <c r="VFA83" i="30" s="1"/>
  <c r="VFC83" i="30" s="1"/>
  <c r="VFE83" i="30" s="1"/>
  <c r="VFG83" i="30" s="1"/>
  <c r="VFI83" i="30" s="1"/>
  <c r="VFK83" i="30" s="1"/>
  <c r="VFM83" i="30" s="1"/>
  <c r="VFO83" i="30" s="1"/>
  <c r="VFQ83" i="30" s="1"/>
  <c r="VFS83" i="30" s="1"/>
  <c r="VFU83" i="30" s="1"/>
  <c r="VFW83" i="30" s="1"/>
  <c r="VFY83" i="30" s="1"/>
  <c r="VGA83" i="30" s="1"/>
  <c r="VGC83" i="30" s="1"/>
  <c r="VGE83" i="30" s="1"/>
  <c r="VGG83" i="30" s="1"/>
  <c r="VGI83" i="30" s="1"/>
  <c r="VGK83" i="30" s="1"/>
  <c r="VGM83" i="30" s="1"/>
  <c r="VGO83" i="30" s="1"/>
  <c r="VGQ83" i="30" s="1"/>
  <c r="VGS83" i="30" s="1"/>
  <c r="VGU83" i="30" s="1"/>
  <c r="VGW83" i="30" s="1"/>
  <c r="VGY83" i="30" s="1"/>
  <c r="VHA83" i="30" s="1"/>
  <c r="VHC83" i="30" s="1"/>
  <c r="VHE83" i="30" s="1"/>
  <c r="VHG83" i="30" s="1"/>
  <c r="VHI83" i="30" s="1"/>
  <c r="VHK83" i="30" s="1"/>
  <c r="VHM83" i="30" s="1"/>
  <c r="VHO83" i="30" s="1"/>
  <c r="VHQ83" i="30" s="1"/>
  <c r="VHS83" i="30" s="1"/>
  <c r="VHU83" i="30" s="1"/>
  <c r="VHW83" i="30" s="1"/>
  <c r="VHY83" i="30" s="1"/>
  <c r="VIA83" i="30" s="1"/>
  <c r="VIC83" i="30" s="1"/>
  <c r="VIE83" i="30" s="1"/>
  <c r="VIG83" i="30" s="1"/>
  <c r="VII83" i="30" s="1"/>
  <c r="VIK83" i="30" s="1"/>
  <c r="VIM83" i="30" s="1"/>
  <c r="VIO83" i="30" s="1"/>
  <c r="VIQ83" i="30" s="1"/>
  <c r="VIS83" i="30" s="1"/>
  <c r="VIU83" i="30" s="1"/>
  <c r="VIW83" i="30" s="1"/>
  <c r="VIY83" i="30" s="1"/>
  <c r="VJA83" i="30" s="1"/>
  <c r="VJC83" i="30" s="1"/>
  <c r="VJE83" i="30" s="1"/>
  <c r="VJG83" i="30" s="1"/>
  <c r="VJI83" i="30" s="1"/>
  <c r="VJK83" i="30" s="1"/>
  <c r="VJM83" i="30" s="1"/>
  <c r="VJO83" i="30" s="1"/>
  <c r="VJQ83" i="30" s="1"/>
  <c r="VJS83" i="30" s="1"/>
  <c r="VJU83" i="30" s="1"/>
  <c r="VJW83" i="30" s="1"/>
  <c r="VJY83" i="30" s="1"/>
  <c r="VKA83" i="30" s="1"/>
  <c r="VKC83" i="30" s="1"/>
  <c r="VKE83" i="30" s="1"/>
  <c r="VKG83" i="30" s="1"/>
  <c r="VKI83" i="30" s="1"/>
  <c r="VKK83" i="30" s="1"/>
  <c r="VKM83" i="30" s="1"/>
  <c r="VKO83" i="30" s="1"/>
  <c r="VKQ83" i="30" s="1"/>
  <c r="VKS83" i="30" s="1"/>
  <c r="VKU83" i="30" s="1"/>
  <c r="VKW83" i="30" s="1"/>
  <c r="VKY83" i="30" s="1"/>
  <c r="VLA83" i="30" s="1"/>
  <c r="VLC83" i="30" s="1"/>
  <c r="VLE83" i="30" s="1"/>
  <c r="VLG83" i="30" s="1"/>
  <c r="VLI83" i="30" s="1"/>
  <c r="VLK83" i="30" s="1"/>
  <c r="VLM83" i="30" s="1"/>
  <c r="VLO83" i="30" s="1"/>
  <c r="VLQ83" i="30" s="1"/>
  <c r="VLS83" i="30" s="1"/>
  <c r="VLU83" i="30" s="1"/>
  <c r="VLW83" i="30" s="1"/>
  <c r="VLY83" i="30" s="1"/>
  <c r="VMA83" i="30" s="1"/>
  <c r="VMC83" i="30" s="1"/>
  <c r="VME83" i="30" s="1"/>
  <c r="VMG83" i="30" s="1"/>
  <c r="VMI83" i="30" s="1"/>
  <c r="VMK83" i="30" s="1"/>
  <c r="VMM83" i="30" s="1"/>
  <c r="VMO83" i="30" s="1"/>
  <c r="VMQ83" i="30" s="1"/>
  <c r="VMS83" i="30" s="1"/>
  <c r="VMU83" i="30" s="1"/>
  <c r="VMW83" i="30" s="1"/>
  <c r="VMY83" i="30" s="1"/>
  <c r="VNA83" i="30" s="1"/>
  <c r="VNC83" i="30" s="1"/>
  <c r="VNE83" i="30" s="1"/>
  <c r="VNG83" i="30" s="1"/>
  <c r="VNI83" i="30" s="1"/>
  <c r="VNK83" i="30" s="1"/>
  <c r="VNM83" i="30" s="1"/>
  <c r="VNO83" i="30" s="1"/>
  <c r="VNQ83" i="30" s="1"/>
  <c r="VNS83" i="30" s="1"/>
  <c r="VNU83" i="30" s="1"/>
  <c r="VNW83" i="30" s="1"/>
  <c r="VNY83" i="30" s="1"/>
  <c r="VOA83" i="30" s="1"/>
  <c r="VOC83" i="30" s="1"/>
  <c r="VOE83" i="30" s="1"/>
  <c r="VOG83" i="30" s="1"/>
  <c r="VOI83" i="30" s="1"/>
  <c r="VOK83" i="30" s="1"/>
  <c r="VOM83" i="30" s="1"/>
  <c r="VOO83" i="30" s="1"/>
  <c r="VOQ83" i="30" s="1"/>
  <c r="VOS83" i="30" s="1"/>
  <c r="VOU83" i="30" s="1"/>
  <c r="VOW83" i="30" s="1"/>
  <c r="VOY83" i="30" s="1"/>
  <c r="VPA83" i="30" s="1"/>
  <c r="VPC83" i="30" s="1"/>
  <c r="VPE83" i="30" s="1"/>
  <c r="VPG83" i="30" s="1"/>
  <c r="VPI83" i="30" s="1"/>
  <c r="VPK83" i="30" s="1"/>
  <c r="VPM83" i="30" s="1"/>
  <c r="VPO83" i="30" s="1"/>
  <c r="VPQ83" i="30" s="1"/>
  <c r="VPS83" i="30" s="1"/>
  <c r="VPU83" i="30" s="1"/>
  <c r="VPW83" i="30" s="1"/>
  <c r="VPY83" i="30" s="1"/>
  <c r="VQA83" i="30" s="1"/>
  <c r="VQC83" i="30" s="1"/>
  <c r="VQE83" i="30" s="1"/>
  <c r="VQG83" i="30" s="1"/>
  <c r="VQI83" i="30" s="1"/>
  <c r="VQK83" i="30" s="1"/>
  <c r="VQM83" i="30" s="1"/>
  <c r="VQO83" i="30" s="1"/>
  <c r="VQQ83" i="30" s="1"/>
  <c r="VQS83" i="30" s="1"/>
  <c r="VQU83" i="30" s="1"/>
  <c r="VQW83" i="30" s="1"/>
  <c r="VQY83" i="30" s="1"/>
  <c r="VRA83" i="30" s="1"/>
  <c r="VRC83" i="30" s="1"/>
  <c r="VRE83" i="30" s="1"/>
  <c r="VRG83" i="30" s="1"/>
  <c r="VRI83" i="30" s="1"/>
  <c r="VRK83" i="30" s="1"/>
  <c r="VRM83" i="30" s="1"/>
  <c r="VRO83" i="30" s="1"/>
  <c r="VRQ83" i="30" s="1"/>
  <c r="VRS83" i="30" s="1"/>
  <c r="VRU83" i="30" s="1"/>
  <c r="VRW83" i="30" s="1"/>
  <c r="VRY83" i="30" s="1"/>
  <c r="VSA83" i="30" s="1"/>
  <c r="VSC83" i="30" s="1"/>
  <c r="VSE83" i="30" s="1"/>
  <c r="VSG83" i="30" s="1"/>
  <c r="VSI83" i="30" s="1"/>
  <c r="VSK83" i="30" s="1"/>
  <c r="VSM83" i="30" s="1"/>
  <c r="VSO83" i="30" s="1"/>
  <c r="VSQ83" i="30" s="1"/>
  <c r="VSS83" i="30" s="1"/>
  <c r="VSU83" i="30" s="1"/>
  <c r="VSW83" i="30" s="1"/>
  <c r="VSY83" i="30" s="1"/>
  <c r="VTA83" i="30" s="1"/>
  <c r="VTC83" i="30" s="1"/>
  <c r="VTE83" i="30" s="1"/>
  <c r="VTG83" i="30" s="1"/>
  <c r="VTI83" i="30" s="1"/>
  <c r="VTK83" i="30" s="1"/>
  <c r="VTM83" i="30" s="1"/>
  <c r="VTO83" i="30" s="1"/>
  <c r="VTQ83" i="30" s="1"/>
  <c r="VTS83" i="30" s="1"/>
  <c r="VTU83" i="30" s="1"/>
  <c r="VTW83" i="30" s="1"/>
  <c r="VTY83" i="30" s="1"/>
  <c r="VUA83" i="30" s="1"/>
  <c r="VUC83" i="30" s="1"/>
  <c r="VUE83" i="30" s="1"/>
  <c r="VUG83" i="30" s="1"/>
  <c r="VUI83" i="30" s="1"/>
  <c r="VUK83" i="30" s="1"/>
  <c r="VUM83" i="30" s="1"/>
  <c r="VUO83" i="30" s="1"/>
  <c r="VUQ83" i="30" s="1"/>
  <c r="VUS83" i="30" s="1"/>
  <c r="VUU83" i="30" s="1"/>
  <c r="VUW83" i="30" s="1"/>
  <c r="VUY83" i="30" s="1"/>
  <c r="VVA83" i="30" s="1"/>
  <c r="VVC83" i="30" s="1"/>
  <c r="VVE83" i="30" s="1"/>
  <c r="VVG83" i="30" s="1"/>
  <c r="VVI83" i="30" s="1"/>
  <c r="VVK83" i="30" s="1"/>
  <c r="VVM83" i="30" s="1"/>
  <c r="VVO83" i="30" s="1"/>
  <c r="VVQ83" i="30" s="1"/>
  <c r="VVS83" i="30" s="1"/>
  <c r="VVU83" i="30" s="1"/>
  <c r="VVW83" i="30" s="1"/>
  <c r="VVY83" i="30" s="1"/>
  <c r="VWA83" i="30" s="1"/>
  <c r="VWC83" i="30" s="1"/>
  <c r="VWE83" i="30" s="1"/>
  <c r="VWG83" i="30" s="1"/>
  <c r="VWI83" i="30" s="1"/>
  <c r="VWK83" i="30" s="1"/>
  <c r="VWM83" i="30" s="1"/>
  <c r="VWO83" i="30" s="1"/>
  <c r="VWQ83" i="30" s="1"/>
  <c r="VWS83" i="30" s="1"/>
  <c r="VWU83" i="30" s="1"/>
  <c r="VWW83" i="30" s="1"/>
  <c r="VWY83" i="30" s="1"/>
  <c r="VXA83" i="30" s="1"/>
  <c r="VXC83" i="30" s="1"/>
  <c r="VXE83" i="30" s="1"/>
  <c r="VXG83" i="30" s="1"/>
  <c r="VXI83" i="30" s="1"/>
  <c r="VXK83" i="30" s="1"/>
  <c r="VXM83" i="30" s="1"/>
  <c r="VXO83" i="30" s="1"/>
  <c r="VXQ83" i="30" s="1"/>
  <c r="VXS83" i="30" s="1"/>
  <c r="VXU83" i="30" s="1"/>
  <c r="VXW83" i="30" s="1"/>
  <c r="VXY83" i="30" s="1"/>
  <c r="VYA83" i="30" s="1"/>
  <c r="VYC83" i="30" s="1"/>
  <c r="VYE83" i="30" s="1"/>
  <c r="VYG83" i="30" s="1"/>
  <c r="VYI83" i="30" s="1"/>
  <c r="VYK83" i="30" s="1"/>
  <c r="VYM83" i="30" s="1"/>
  <c r="VYO83" i="30" s="1"/>
  <c r="VYQ83" i="30" s="1"/>
  <c r="VYS83" i="30" s="1"/>
  <c r="VYU83" i="30" s="1"/>
  <c r="VYW83" i="30" s="1"/>
  <c r="VYY83" i="30" s="1"/>
  <c r="VZA83" i="30" s="1"/>
  <c r="VZC83" i="30" s="1"/>
  <c r="VZE83" i="30" s="1"/>
  <c r="VZG83" i="30" s="1"/>
  <c r="VZI83" i="30" s="1"/>
  <c r="VZK83" i="30" s="1"/>
  <c r="VZM83" i="30" s="1"/>
  <c r="VZO83" i="30" s="1"/>
  <c r="VZQ83" i="30" s="1"/>
  <c r="VZS83" i="30" s="1"/>
  <c r="VZU83" i="30" s="1"/>
  <c r="VZW83" i="30" s="1"/>
  <c r="VZY83" i="30" s="1"/>
  <c r="WAA83" i="30" s="1"/>
  <c r="WAC83" i="30" s="1"/>
  <c r="WAE83" i="30" s="1"/>
  <c r="WAG83" i="30" s="1"/>
  <c r="WAI83" i="30" s="1"/>
  <c r="WAK83" i="30" s="1"/>
  <c r="WAM83" i="30" s="1"/>
  <c r="WAO83" i="30" s="1"/>
  <c r="WAQ83" i="30" s="1"/>
  <c r="WAS83" i="30" s="1"/>
  <c r="WAU83" i="30" s="1"/>
  <c r="WAW83" i="30" s="1"/>
  <c r="WAY83" i="30" s="1"/>
  <c r="WBA83" i="30" s="1"/>
  <c r="WBC83" i="30" s="1"/>
  <c r="WBE83" i="30" s="1"/>
  <c r="WBG83" i="30" s="1"/>
  <c r="WBI83" i="30" s="1"/>
  <c r="WBK83" i="30" s="1"/>
  <c r="WBM83" i="30" s="1"/>
  <c r="WBO83" i="30" s="1"/>
  <c r="WBQ83" i="30" s="1"/>
  <c r="WBS83" i="30" s="1"/>
  <c r="WBU83" i="30" s="1"/>
  <c r="WBW83" i="30" s="1"/>
  <c r="WBY83" i="30" s="1"/>
  <c r="WCA83" i="30" s="1"/>
  <c r="WCC83" i="30" s="1"/>
  <c r="WCE83" i="30" s="1"/>
  <c r="WCG83" i="30" s="1"/>
  <c r="WCI83" i="30" s="1"/>
  <c r="WCK83" i="30" s="1"/>
  <c r="WCM83" i="30" s="1"/>
  <c r="WCO83" i="30" s="1"/>
  <c r="WCQ83" i="30" s="1"/>
  <c r="WCS83" i="30" s="1"/>
  <c r="WCU83" i="30" s="1"/>
  <c r="WCW83" i="30" s="1"/>
  <c r="WCY83" i="30" s="1"/>
  <c r="WDA83" i="30" s="1"/>
  <c r="WDC83" i="30" s="1"/>
  <c r="WDE83" i="30" s="1"/>
  <c r="WDG83" i="30" s="1"/>
  <c r="WDI83" i="30" s="1"/>
  <c r="WDK83" i="30" s="1"/>
  <c r="WDM83" i="30" s="1"/>
  <c r="WDO83" i="30" s="1"/>
  <c r="WDQ83" i="30" s="1"/>
  <c r="WDS83" i="30" s="1"/>
  <c r="WDU83" i="30" s="1"/>
  <c r="WDW83" i="30" s="1"/>
  <c r="WDY83" i="30" s="1"/>
  <c r="WEA83" i="30" s="1"/>
  <c r="WEC83" i="30" s="1"/>
  <c r="WEE83" i="30" s="1"/>
  <c r="WEG83" i="30" s="1"/>
  <c r="WEI83" i="30" s="1"/>
  <c r="WEK83" i="30" s="1"/>
  <c r="WEM83" i="30" s="1"/>
  <c r="WEO83" i="30" s="1"/>
  <c r="WEQ83" i="30" s="1"/>
  <c r="WES83" i="30" s="1"/>
  <c r="WEU83" i="30" s="1"/>
  <c r="WEW83" i="30" s="1"/>
  <c r="WEY83" i="30" s="1"/>
  <c r="WFA83" i="30" s="1"/>
  <c r="WFC83" i="30" s="1"/>
  <c r="WFE83" i="30" s="1"/>
  <c r="WFG83" i="30" s="1"/>
  <c r="WFI83" i="30" s="1"/>
  <c r="WFK83" i="30" s="1"/>
  <c r="WFM83" i="30" s="1"/>
  <c r="WFO83" i="30" s="1"/>
  <c r="WFQ83" i="30" s="1"/>
  <c r="WFS83" i="30" s="1"/>
  <c r="WFU83" i="30" s="1"/>
  <c r="WFW83" i="30" s="1"/>
  <c r="WFY83" i="30" s="1"/>
  <c r="WGA83" i="30" s="1"/>
  <c r="WGC83" i="30" s="1"/>
  <c r="WGE83" i="30" s="1"/>
  <c r="WGG83" i="30" s="1"/>
  <c r="WGI83" i="30" s="1"/>
  <c r="WGK83" i="30" s="1"/>
  <c r="WGM83" i="30" s="1"/>
  <c r="WGO83" i="30" s="1"/>
  <c r="WGQ83" i="30" s="1"/>
  <c r="WGS83" i="30" s="1"/>
  <c r="WGU83" i="30" s="1"/>
  <c r="WGW83" i="30" s="1"/>
  <c r="WGY83" i="30" s="1"/>
  <c r="WHA83" i="30" s="1"/>
  <c r="WHC83" i="30" s="1"/>
  <c r="WHE83" i="30" s="1"/>
  <c r="WHG83" i="30" s="1"/>
  <c r="WHI83" i="30" s="1"/>
  <c r="WHK83" i="30" s="1"/>
  <c r="WHM83" i="30" s="1"/>
  <c r="WHO83" i="30" s="1"/>
  <c r="WHQ83" i="30" s="1"/>
  <c r="WHS83" i="30" s="1"/>
  <c r="WHU83" i="30" s="1"/>
  <c r="WHW83" i="30" s="1"/>
  <c r="WHY83" i="30" s="1"/>
  <c r="WIA83" i="30" s="1"/>
  <c r="WIC83" i="30" s="1"/>
  <c r="WIE83" i="30" s="1"/>
  <c r="WIG83" i="30" s="1"/>
  <c r="WII83" i="30" s="1"/>
  <c r="WIK83" i="30" s="1"/>
  <c r="WIM83" i="30" s="1"/>
  <c r="WIO83" i="30" s="1"/>
  <c r="WIQ83" i="30" s="1"/>
  <c r="WIS83" i="30" s="1"/>
  <c r="WIU83" i="30" s="1"/>
  <c r="WIW83" i="30" s="1"/>
  <c r="WIY83" i="30" s="1"/>
  <c r="WJA83" i="30" s="1"/>
  <c r="WJC83" i="30" s="1"/>
  <c r="WJE83" i="30" s="1"/>
  <c r="WJG83" i="30" s="1"/>
  <c r="WJI83" i="30" s="1"/>
  <c r="WJK83" i="30" s="1"/>
  <c r="WJM83" i="30" s="1"/>
  <c r="WJO83" i="30" s="1"/>
  <c r="WJQ83" i="30" s="1"/>
  <c r="WJS83" i="30" s="1"/>
  <c r="WJU83" i="30" s="1"/>
  <c r="WJW83" i="30" s="1"/>
  <c r="WJY83" i="30" s="1"/>
  <c r="WKA83" i="30" s="1"/>
  <c r="WKC83" i="30" s="1"/>
  <c r="WKE83" i="30" s="1"/>
  <c r="WKG83" i="30" s="1"/>
  <c r="WKI83" i="30" s="1"/>
  <c r="WKK83" i="30" s="1"/>
  <c r="WKM83" i="30" s="1"/>
  <c r="WKO83" i="30" s="1"/>
  <c r="WKQ83" i="30" s="1"/>
  <c r="WKS83" i="30" s="1"/>
  <c r="WKU83" i="30" s="1"/>
  <c r="WKW83" i="30" s="1"/>
  <c r="WKY83" i="30" s="1"/>
  <c r="WLA83" i="30" s="1"/>
  <c r="WLC83" i="30" s="1"/>
  <c r="WLE83" i="30" s="1"/>
  <c r="WLG83" i="30" s="1"/>
  <c r="WLI83" i="30" s="1"/>
  <c r="WLK83" i="30" s="1"/>
  <c r="WLM83" i="30" s="1"/>
  <c r="WLO83" i="30" s="1"/>
  <c r="WLQ83" i="30" s="1"/>
  <c r="WLS83" i="30" s="1"/>
  <c r="WLU83" i="30" s="1"/>
  <c r="WLW83" i="30" s="1"/>
  <c r="WLY83" i="30" s="1"/>
  <c r="WMA83" i="30" s="1"/>
  <c r="WMC83" i="30" s="1"/>
  <c r="WME83" i="30" s="1"/>
  <c r="WMG83" i="30" s="1"/>
  <c r="WMI83" i="30" s="1"/>
  <c r="WMK83" i="30" s="1"/>
  <c r="WMM83" i="30" s="1"/>
  <c r="WMO83" i="30" s="1"/>
  <c r="WMQ83" i="30" s="1"/>
  <c r="WMS83" i="30" s="1"/>
  <c r="WMU83" i="30" s="1"/>
  <c r="WMW83" i="30" s="1"/>
  <c r="WMY83" i="30" s="1"/>
  <c r="WNA83" i="30" s="1"/>
  <c r="WNC83" i="30" s="1"/>
  <c r="WNE83" i="30" s="1"/>
  <c r="WNG83" i="30" s="1"/>
  <c r="WNI83" i="30" s="1"/>
  <c r="WNK83" i="30" s="1"/>
  <c r="WNM83" i="30" s="1"/>
  <c r="WNO83" i="30" s="1"/>
  <c r="WNQ83" i="30" s="1"/>
  <c r="WNS83" i="30" s="1"/>
  <c r="WNU83" i="30" s="1"/>
  <c r="WNW83" i="30" s="1"/>
  <c r="WNY83" i="30" s="1"/>
  <c r="WOA83" i="30" s="1"/>
  <c r="WOC83" i="30" s="1"/>
  <c r="WOE83" i="30" s="1"/>
  <c r="WOG83" i="30" s="1"/>
  <c r="WOI83" i="30" s="1"/>
  <c r="WOK83" i="30" s="1"/>
  <c r="WOM83" i="30" s="1"/>
  <c r="WOO83" i="30" s="1"/>
  <c r="WOQ83" i="30" s="1"/>
  <c r="WOS83" i="30" s="1"/>
  <c r="WOU83" i="30" s="1"/>
  <c r="WOW83" i="30" s="1"/>
  <c r="WOY83" i="30" s="1"/>
  <c r="WPA83" i="30" s="1"/>
  <c r="WPC83" i="30" s="1"/>
  <c r="WPE83" i="30" s="1"/>
  <c r="WPG83" i="30" s="1"/>
  <c r="WPI83" i="30" s="1"/>
  <c r="WPK83" i="30" s="1"/>
  <c r="WPM83" i="30" s="1"/>
  <c r="WPO83" i="30" s="1"/>
  <c r="WPQ83" i="30" s="1"/>
  <c r="WPS83" i="30" s="1"/>
  <c r="WPU83" i="30" s="1"/>
  <c r="WPW83" i="30" s="1"/>
  <c r="WPY83" i="30" s="1"/>
  <c r="WQA83" i="30" s="1"/>
  <c r="WQC83" i="30" s="1"/>
  <c r="WQE83" i="30" s="1"/>
  <c r="WQG83" i="30" s="1"/>
  <c r="WQI83" i="30" s="1"/>
  <c r="WQK83" i="30" s="1"/>
  <c r="WQM83" i="30" s="1"/>
  <c r="WQO83" i="30" s="1"/>
  <c r="WQQ83" i="30" s="1"/>
  <c r="WQS83" i="30" s="1"/>
  <c r="WQU83" i="30" s="1"/>
  <c r="WQW83" i="30" s="1"/>
  <c r="WQY83" i="30" s="1"/>
  <c r="WRA83" i="30" s="1"/>
  <c r="WRC83" i="30" s="1"/>
  <c r="WRE83" i="30" s="1"/>
  <c r="WRG83" i="30" s="1"/>
  <c r="WRI83" i="30" s="1"/>
  <c r="WRK83" i="30" s="1"/>
  <c r="WRM83" i="30" s="1"/>
  <c r="WRO83" i="30" s="1"/>
  <c r="WRQ83" i="30" s="1"/>
  <c r="WRS83" i="30" s="1"/>
  <c r="WRU83" i="30" s="1"/>
  <c r="WRW83" i="30" s="1"/>
  <c r="WRY83" i="30" s="1"/>
  <c r="WSA83" i="30" s="1"/>
  <c r="WSC83" i="30" s="1"/>
  <c r="WSE83" i="30" s="1"/>
  <c r="WSG83" i="30" s="1"/>
  <c r="WSI83" i="30" s="1"/>
  <c r="WSK83" i="30" s="1"/>
  <c r="WSM83" i="30" s="1"/>
  <c r="WSO83" i="30" s="1"/>
  <c r="WSQ83" i="30" s="1"/>
  <c r="WSS83" i="30" s="1"/>
  <c r="WSU83" i="30" s="1"/>
  <c r="WSW83" i="30" s="1"/>
  <c r="WSY83" i="30" s="1"/>
  <c r="WTA83" i="30" s="1"/>
  <c r="WTC83" i="30" s="1"/>
  <c r="WTE83" i="30" s="1"/>
  <c r="WTG83" i="30" s="1"/>
  <c r="WTI83" i="30" s="1"/>
  <c r="WTK83" i="30" s="1"/>
  <c r="WTM83" i="30" s="1"/>
  <c r="WTO83" i="30" s="1"/>
  <c r="WTQ83" i="30" s="1"/>
  <c r="WTS83" i="30" s="1"/>
  <c r="WTU83" i="30" s="1"/>
  <c r="WTW83" i="30" s="1"/>
  <c r="WTY83" i="30" s="1"/>
  <c r="WUA83" i="30" s="1"/>
  <c r="WUC83" i="30" s="1"/>
  <c r="WUE83" i="30" s="1"/>
  <c r="WUG83" i="30" s="1"/>
  <c r="WUI83" i="30" s="1"/>
  <c r="WUK83" i="30" s="1"/>
  <c r="WUM83" i="30" s="1"/>
  <c r="WUO83" i="30" s="1"/>
  <c r="WUQ83" i="30" s="1"/>
  <c r="WUS83" i="30" s="1"/>
  <c r="WUU83" i="30" s="1"/>
  <c r="WUW83" i="30" s="1"/>
  <c r="WUY83" i="30" s="1"/>
  <c r="WVA83" i="30" s="1"/>
  <c r="WVC83" i="30" s="1"/>
  <c r="WVE83" i="30" s="1"/>
  <c r="WVG83" i="30" s="1"/>
  <c r="WVI83" i="30" s="1"/>
  <c r="WVK83" i="30" s="1"/>
  <c r="WVM83" i="30" s="1"/>
  <c r="WVO83" i="30" s="1"/>
  <c r="WVQ83" i="30" s="1"/>
  <c r="WVS83" i="30" s="1"/>
  <c r="WVU83" i="30" s="1"/>
  <c r="WVW83" i="30" s="1"/>
  <c r="WVY83" i="30" s="1"/>
  <c r="WWA83" i="30" s="1"/>
  <c r="WWC83" i="30" s="1"/>
  <c r="WWE83" i="30" s="1"/>
  <c r="WWG83" i="30" s="1"/>
  <c r="WWI83" i="30" s="1"/>
  <c r="WWK83" i="30" s="1"/>
  <c r="WWM83" i="30" s="1"/>
  <c r="WWO83" i="30" s="1"/>
  <c r="WWQ83" i="30" s="1"/>
  <c r="WWS83" i="30" s="1"/>
  <c r="WWU83" i="30" s="1"/>
  <c r="WWW83" i="30" s="1"/>
  <c r="WWY83" i="30" s="1"/>
  <c r="WXA83" i="30" s="1"/>
  <c r="WXC83" i="30" s="1"/>
  <c r="WXE83" i="30" s="1"/>
  <c r="WXG83" i="30" s="1"/>
  <c r="WXI83" i="30" s="1"/>
  <c r="WXK83" i="30" s="1"/>
  <c r="WXM83" i="30" s="1"/>
  <c r="WXO83" i="30" s="1"/>
  <c r="WXQ83" i="30" s="1"/>
  <c r="WXS83" i="30" s="1"/>
  <c r="WXU83" i="30" s="1"/>
  <c r="WXW83" i="30" s="1"/>
  <c r="WXY83" i="30" s="1"/>
  <c r="WYA83" i="30" s="1"/>
  <c r="WYC83" i="30" s="1"/>
  <c r="WYE83" i="30" s="1"/>
  <c r="WYG83" i="30" s="1"/>
  <c r="WYI83" i="30" s="1"/>
  <c r="WYK83" i="30" s="1"/>
  <c r="WYM83" i="30" s="1"/>
  <c r="WYO83" i="30" s="1"/>
  <c r="WYQ83" i="30" s="1"/>
  <c r="WYS83" i="30" s="1"/>
  <c r="WYU83" i="30" s="1"/>
  <c r="WYW83" i="30" s="1"/>
  <c r="WYY83" i="30" s="1"/>
  <c r="WZA83" i="30" s="1"/>
  <c r="WZC83" i="30" s="1"/>
  <c r="WZE83" i="30" s="1"/>
  <c r="WZG83" i="30" s="1"/>
  <c r="WZI83" i="30" s="1"/>
  <c r="WZK83" i="30" s="1"/>
  <c r="WZM83" i="30" s="1"/>
  <c r="WZO83" i="30" s="1"/>
  <c r="WZQ83" i="30" s="1"/>
  <c r="WZS83" i="30" s="1"/>
  <c r="WZU83" i="30" s="1"/>
  <c r="WZW83" i="30" s="1"/>
  <c r="WZY83" i="30" s="1"/>
  <c r="XAA83" i="30" s="1"/>
  <c r="XAC83" i="30" s="1"/>
  <c r="XAE83" i="30" s="1"/>
  <c r="XAG83" i="30" s="1"/>
  <c r="XAI83" i="30" s="1"/>
  <c r="XAK83" i="30" s="1"/>
  <c r="XAM83" i="30" s="1"/>
  <c r="XAO83" i="30" s="1"/>
  <c r="XAQ83" i="30" s="1"/>
  <c r="XAS83" i="30" s="1"/>
  <c r="XAU83" i="30" s="1"/>
  <c r="XAW83" i="30" s="1"/>
  <c r="XAY83" i="30" s="1"/>
  <c r="XBA83" i="30" s="1"/>
  <c r="XBC83" i="30" s="1"/>
  <c r="XBE83" i="30" s="1"/>
  <c r="XBG83" i="30" s="1"/>
  <c r="XBI83" i="30" s="1"/>
  <c r="XBK83" i="30" s="1"/>
  <c r="XBM83" i="30" s="1"/>
  <c r="XBO83" i="30" s="1"/>
  <c r="XBQ83" i="30" s="1"/>
  <c r="XBS83" i="30" s="1"/>
  <c r="XBU83" i="30" s="1"/>
  <c r="XBW83" i="30" s="1"/>
  <c r="XBY83" i="30" s="1"/>
  <c r="XCA83" i="30" s="1"/>
  <c r="XCC83" i="30" s="1"/>
  <c r="XCE83" i="30" s="1"/>
  <c r="XCG83" i="30" s="1"/>
  <c r="XCI83" i="30" s="1"/>
  <c r="XCK83" i="30" s="1"/>
  <c r="XCM83" i="30" s="1"/>
  <c r="XCO83" i="30" s="1"/>
  <c r="XCQ83" i="30" s="1"/>
  <c r="XCS83" i="30" s="1"/>
  <c r="XCU83" i="30" s="1"/>
  <c r="XCW83" i="30" s="1"/>
  <c r="XCY83" i="30" s="1"/>
  <c r="XDA83" i="30" s="1"/>
  <c r="XDC83" i="30" s="1"/>
  <c r="XDE83" i="30" s="1"/>
  <c r="XDG83" i="30" s="1"/>
  <c r="XDI83" i="30" s="1"/>
  <c r="XDK83" i="30" s="1"/>
  <c r="XDM83" i="30" s="1"/>
  <c r="XDO83" i="30" s="1"/>
  <c r="XDQ83" i="30" s="1"/>
  <c r="XDS83" i="30" s="1"/>
  <c r="XDU83" i="30" s="1"/>
  <c r="XDW83" i="30" s="1"/>
  <c r="XDY83" i="30" s="1"/>
  <c r="XEA83" i="30" s="1"/>
  <c r="XEC83" i="30" s="1"/>
  <c r="XEE83" i="30" s="1"/>
  <c r="XEG83" i="30" s="1"/>
  <c r="XEI83" i="30" s="1"/>
  <c r="XEK83" i="30" s="1"/>
  <c r="XEM83" i="30" s="1"/>
  <c r="XEO83" i="30" s="1"/>
  <c r="L15" i="11"/>
  <c r="L16" i="11" s="1"/>
  <c r="K15" i="11"/>
  <c r="K16" i="11" s="1"/>
  <c r="J15" i="11"/>
  <c r="J16" i="11" s="1"/>
  <c r="J10" i="11"/>
  <c r="E7" i="5"/>
  <c r="G1" i="5"/>
  <c r="S147" i="37"/>
  <c r="S150" i="37"/>
  <c r="S99" i="37"/>
  <c r="S119" i="37" s="1"/>
  <c r="D15" i="33"/>
  <c r="F15" i="33" s="1"/>
  <c r="M72" i="9"/>
  <c r="M73" i="9"/>
  <c r="G9" i="33"/>
  <c r="Y15" i="23"/>
  <c r="V14" i="23"/>
  <c r="Y14" i="23" s="1"/>
  <c r="V13" i="23"/>
  <c r="Y13" i="23" s="1"/>
  <c r="V12" i="23"/>
  <c r="Y12" i="23" s="1"/>
  <c r="V9" i="23"/>
  <c r="Y9" i="23" s="1"/>
  <c r="V8" i="23"/>
  <c r="Y8" i="23" s="1"/>
  <c r="V7" i="23"/>
  <c r="Y7" i="23" s="1"/>
  <c r="V6" i="23"/>
  <c r="Y6" i="23" s="1"/>
  <c r="H20" i="37"/>
  <c r="S70" i="37"/>
  <c r="S90" i="37" s="1"/>
  <c r="V12" i="37"/>
  <c r="V13" i="37"/>
  <c r="V14" i="37"/>
  <c r="V16" i="37"/>
  <c r="V17" i="37"/>
  <c r="V18" i="37"/>
  <c r="V19" i="37"/>
  <c r="V20" i="37"/>
  <c r="V21" i="37"/>
  <c r="W11" i="37"/>
  <c r="W23" i="37" s="1"/>
  <c r="S11" i="37"/>
  <c r="V6" i="33"/>
  <c r="F22" i="34"/>
  <c r="F15" i="34"/>
  <c r="F14" i="34"/>
  <c r="D12" i="33"/>
  <c r="E12" i="34"/>
  <c r="F13" i="34"/>
  <c r="L4" i="34"/>
  <c r="L6" i="34" s="1"/>
  <c r="L7" i="34" s="1"/>
  <c r="I1" i="34"/>
  <c r="P4" i="33"/>
  <c r="D14" i="33"/>
  <c r="F14" i="33" s="1"/>
  <c r="D13" i="33"/>
  <c r="F13" i="33" s="1"/>
  <c r="F22" i="33"/>
  <c r="F21" i="33"/>
  <c r="F20" i="33"/>
  <c r="F19" i="33"/>
  <c r="F18" i="33"/>
  <c r="F17" i="33"/>
  <c r="P10" i="33"/>
  <c r="P8" i="33"/>
  <c r="I1" i="33"/>
  <c r="I10" i="5"/>
  <c r="E16" i="33" l="1"/>
  <c r="F16" i="33" s="1"/>
  <c r="E104" i="37"/>
  <c r="F106" i="37" s="1"/>
  <c r="G20" i="37"/>
  <c r="G39" i="37"/>
  <c r="H14" i="37"/>
  <c r="H26" i="37" s="1"/>
  <c r="H33" i="37"/>
  <c r="M7" i="5"/>
  <c r="K7" i="5"/>
  <c r="F12" i="34"/>
  <c r="F25" i="34" s="1" a="1"/>
  <c r="F25" i="34" s="1"/>
  <c r="E36" i="37"/>
  <c r="G36" i="37" s="1"/>
  <c r="C20" i="23"/>
  <c r="E20" i="23"/>
  <c r="C19" i="23"/>
  <c r="E19" i="23"/>
  <c r="J12" i="11"/>
  <c r="J13" i="11"/>
  <c r="Z15" i="23"/>
  <c r="AB15" i="23"/>
  <c r="Z12" i="23"/>
  <c r="AB12" i="23"/>
  <c r="Z9" i="23"/>
  <c r="AB9" i="23"/>
  <c r="Z8" i="23"/>
  <c r="AB8" i="23"/>
  <c r="Z7" i="23"/>
  <c r="AB7" i="23"/>
  <c r="Z6" i="23"/>
  <c r="AB6" i="23"/>
  <c r="AB14" i="23"/>
  <c r="Z14" i="23"/>
  <c r="I13" i="33"/>
  <c r="K6" i="5"/>
  <c r="M6" i="5"/>
  <c r="S23" i="37"/>
  <c r="V6" i="37" s="1"/>
  <c r="V11" i="37"/>
  <c r="V23" i="37" s="1"/>
  <c r="L10" i="5"/>
  <c r="I14" i="33"/>
  <c r="Z13" i="23"/>
  <c r="AB13" i="23"/>
  <c r="F12" i="33"/>
  <c r="L11" i="33" s="1"/>
  <c r="J5" i="37"/>
  <c r="L5" i="37"/>
  <c r="E14" i="37" s="1"/>
  <c r="I15" i="33"/>
  <c r="B14" i="37" l="1"/>
  <c r="E26" i="37"/>
  <c r="G26" i="37" s="1"/>
  <c r="E33" i="37"/>
  <c r="H45" i="37"/>
  <c r="F104" i="37"/>
  <c r="K10" i="5"/>
  <c r="D13" i="5" s="1"/>
  <c r="F27" i="33"/>
  <c r="L14" i="33" s="1"/>
  <c r="B33" i="37"/>
  <c r="G14" i="37" l="1"/>
  <c r="G33" i="37"/>
  <c r="E45" i="37"/>
  <c r="O10" i="5"/>
  <c r="D22" i="5" a="1"/>
  <c r="D22" i="5" s="1"/>
  <c r="N10" i="5"/>
  <c r="P10" i="5" s="1"/>
  <c r="J11" i="33"/>
  <c r="L12" i="33"/>
  <c r="G45" i="37" l="1"/>
  <c r="J36" i="37" s="1"/>
  <c r="J35" i="37"/>
  <c r="J17" i="37"/>
  <c r="J16" i="37"/>
  <c r="Q10" i="5"/>
  <c r="J37" i="37" l="1"/>
  <c r="K37" i="37" s="1"/>
  <c r="J18" i="37"/>
  <c r="K18" i="3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<sst xmlns="http://schemas.openxmlformats.org/spreadsheetml/2006/main" count="4059" uniqueCount="1404">
  <si>
    <t>Web Quote</t>
  </si>
  <si>
    <t>Tracking</t>
  </si>
  <si>
    <t>Google Sheet</t>
  </si>
  <si>
    <t>HAPAG</t>
  </si>
  <si>
    <t>MSC</t>
  </si>
  <si>
    <t>DSR</t>
  </si>
  <si>
    <t>BUSINESS</t>
  </si>
  <si>
    <t>QUOTE REQUEST</t>
  </si>
  <si>
    <t>INDEX</t>
  </si>
  <si>
    <t>CMA</t>
  </si>
  <si>
    <t>UNIFEEDER</t>
  </si>
  <si>
    <t>DOCS SHEET</t>
  </si>
  <si>
    <t>SEA</t>
  </si>
  <si>
    <t>MAERSK</t>
  </si>
  <si>
    <t>KMTC</t>
  </si>
  <si>
    <t>NIRYAT</t>
  </si>
  <si>
    <t>AIR</t>
  </si>
  <si>
    <t>MASTER SHEET</t>
  </si>
  <si>
    <t>ONE</t>
  </si>
  <si>
    <t>HMM</t>
  </si>
  <si>
    <t>GMAIL</t>
  </si>
  <si>
    <t>IMPORT YETI</t>
  </si>
  <si>
    <t>LCL</t>
  </si>
  <si>
    <t>MARKETING SHEET</t>
  </si>
  <si>
    <t>EMIRATES</t>
  </si>
  <si>
    <t>MAP</t>
  </si>
  <si>
    <t>IMPORT GENIUS</t>
  </si>
  <si>
    <t xml:space="preserve">CONFIRM </t>
  </si>
  <si>
    <t>PANJIVA</t>
  </si>
  <si>
    <t>MASTER LIST</t>
  </si>
  <si>
    <t>MARINE TRAFFIC</t>
  </si>
  <si>
    <t>IMPORT KEY</t>
  </si>
  <si>
    <t>TODO</t>
  </si>
  <si>
    <t>VESSEL FINDER</t>
  </si>
  <si>
    <t>USA TRK</t>
  </si>
  <si>
    <t>MARKETING</t>
  </si>
  <si>
    <t>SHIPMNTS SOFTWARE</t>
  </si>
  <si>
    <t>FLIGHTRADAR24</t>
  </si>
  <si>
    <t>QUOTE NO :</t>
  </si>
  <si>
    <t>OFFICE NO.523, TOWER 1A, 73, EAST AVENUE,</t>
  </si>
  <si>
    <t xml:space="preserve"> </t>
  </si>
  <si>
    <t>OFT</t>
  </si>
  <si>
    <t>MFR</t>
  </si>
  <si>
    <t>OTHER</t>
  </si>
  <si>
    <t>HAZ</t>
  </si>
  <si>
    <t>OW</t>
  </si>
  <si>
    <t>TRK</t>
  </si>
  <si>
    <t>NR. GENDA CIRCLE, SARA BHAI CAMPUS</t>
  </si>
  <si>
    <t>20 GP</t>
  </si>
  <si>
    <t>DDP</t>
  </si>
  <si>
    <t>VADODARA, GUJARAT 390007 - INDIA</t>
  </si>
  <si>
    <t>40 HC</t>
  </si>
  <si>
    <t>POL</t>
  </si>
  <si>
    <t>NHAVA SHEVA, IN</t>
  </si>
  <si>
    <t>BUY</t>
  </si>
  <si>
    <t>MARGIN</t>
  </si>
  <si>
    <t>SELL</t>
  </si>
  <si>
    <t>CFS</t>
  </si>
  <si>
    <t>YES</t>
  </si>
  <si>
    <t>POD</t>
  </si>
  <si>
    <t>ABIDJAN, CI</t>
  </si>
  <si>
    <t>RATES</t>
  </si>
  <si>
    <t>NO</t>
  </si>
  <si>
    <t>CONTAINER</t>
  </si>
  <si>
    <t>QUOTE DATE</t>
  </si>
  <si>
    <t>LOCAL</t>
  </si>
  <si>
    <t>COMMODITY</t>
  </si>
  <si>
    <t>QUOTE VALID TILL</t>
  </si>
  <si>
    <t>GROSS WEIGHT</t>
  </si>
  <si>
    <t>INCOTERMS</t>
  </si>
  <si>
    <t>CIF</t>
  </si>
  <si>
    <t>PROFIT</t>
  </si>
  <si>
    <t>CARRIER</t>
  </si>
  <si>
    <t>TRANSIT TIME</t>
  </si>
  <si>
    <t>SR. NO</t>
  </si>
  <si>
    <t>CHARGE TYPE</t>
  </si>
  <si>
    <t>REMARKS</t>
  </si>
  <si>
    <t>CODE</t>
  </si>
  <si>
    <t>CARGO</t>
  </si>
  <si>
    <t xml:space="preserve">FROM </t>
  </si>
  <si>
    <t>TILL</t>
  </si>
  <si>
    <t>FREIGHT</t>
  </si>
  <si>
    <t>CNTR</t>
  </si>
  <si>
    <t>THC</t>
  </si>
  <si>
    <t>AT ACTUAL</t>
  </si>
  <si>
    <t>SEAL</t>
  </si>
  <si>
    <t>MUC</t>
  </si>
  <si>
    <t>DOCS</t>
  </si>
  <si>
    <t>ETS</t>
  </si>
  <si>
    <t>HAZ DOCS</t>
  </si>
  <si>
    <t>AMS</t>
  </si>
  <si>
    <t>TOTAL</t>
  </si>
  <si>
    <t>. + GST</t>
  </si>
  <si>
    <t>CLEARANCE</t>
  </si>
  <si>
    <t>VGM</t>
  </si>
  <si>
    <t>$25</t>
  </si>
  <si>
    <t>TOLL</t>
  </si>
  <si>
    <t>LASHING &amp; CHOKING</t>
  </si>
  <si>
    <t>HAZ STCKER</t>
  </si>
  <si>
    <t>TRANSPORATATION</t>
  </si>
  <si>
    <t>LOLO</t>
  </si>
  <si>
    <t>ADDITIONAL SERVICE</t>
  </si>
  <si>
    <t>UNLOADING</t>
  </si>
  <si>
    <t>VEHICAL</t>
  </si>
  <si>
    <t>ADC NOC</t>
  </si>
  <si>
    <t>PALLET</t>
  </si>
  <si>
    <t>EACH</t>
  </si>
  <si>
    <t>PLY</t>
  </si>
  <si>
    <t>VEHICAL DETENTION</t>
  </si>
  <si>
    <t>PER DAY</t>
  </si>
  <si>
    <t>Remarks,</t>
  </si>
  <si>
    <t>1.      Rates are valid as per vessel sailing.</t>
  </si>
  <si>
    <r>
      <t xml:space="preserve">2.      Rates are subject to </t>
    </r>
    <r>
      <rPr>
        <b/>
        <sz val="10"/>
        <color rgb="FFFF0000"/>
        <rFont val="Calibri"/>
        <family val="2"/>
      </rPr>
      <t>ACD, SEAL, GRI, PSS, Toll + Local Charges</t>
    </r>
    <r>
      <rPr>
        <b/>
        <sz val="10"/>
        <color rgb="FF000000"/>
        <rFont val="Calibri"/>
        <family val="2"/>
      </rPr>
      <t>.</t>
    </r>
  </si>
  <si>
    <t>4.      Rates are Subject to cargo acceptance and Haz approval.</t>
  </si>
  <si>
    <t>5.      All Govt. taxes are applicable at the time of shipment (GST Applicable).</t>
  </si>
  <si>
    <r>
      <t xml:space="preserve">6.      Booking cancellation charges will be applicable as per carrier guidelines for general &amp; </t>
    </r>
    <r>
      <rPr>
        <b/>
        <sz val="10"/>
        <color rgb="FFFF0000"/>
        <rFont val="Calibri"/>
        <family val="2"/>
      </rPr>
      <t xml:space="preserve">SPOT </t>
    </r>
    <r>
      <rPr>
        <b/>
        <sz val="10"/>
        <color theme="1"/>
        <rFont val="Calibri"/>
        <family val="2"/>
      </rPr>
      <t>booking.</t>
    </r>
  </si>
  <si>
    <t>7.      Rates are subject to THC as per tariff if container pick-up from ICD locations.</t>
  </si>
  <si>
    <t>8.      Rates are subject to Standard free time and for additional free time charges will be applicable.</t>
  </si>
  <si>
    <t>9.      Rates are subject to POL - THC, Documentation charges and local charges, as per Tariff.</t>
  </si>
  <si>
    <r>
      <t xml:space="preserve">10.   </t>
    </r>
    <r>
      <rPr>
        <b/>
        <sz val="10"/>
        <color rgb="FFFF0000"/>
        <rFont val="Calibri"/>
        <family val="2"/>
      </rPr>
      <t>SPOT rates are subject to change at the time of booking.</t>
    </r>
  </si>
  <si>
    <t>PREPARED BY:</t>
  </si>
  <si>
    <t>SHAIKH SHAHID</t>
  </si>
  <si>
    <t>RQ250825-1040</t>
  </si>
  <si>
    <t xml:space="preserve">UMALAXMI ORGANICS </t>
  </si>
  <si>
    <t>MUNDRA, IN</t>
  </si>
  <si>
    <t>CONSTANTA, RO</t>
  </si>
  <si>
    <t>RATES APPROVED</t>
  </si>
  <si>
    <t>DUPLICATE</t>
  </si>
  <si>
    <t>NON HAZ</t>
  </si>
  <si>
    <t>LINER FREIGHT</t>
  </si>
  <si>
    <t xml:space="preserve"> RECIPIENT:</t>
  </si>
  <si>
    <t>ORIGIN</t>
  </si>
  <si>
    <t>DESTINATION</t>
  </si>
  <si>
    <t>BUSINESS VERTICAL</t>
  </si>
  <si>
    <t>APPROX CBM</t>
  </si>
  <si>
    <t>EX. RATE</t>
  </si>
  <si>
    <t>PARTICULARS</t>
  </si>
  <si>
    <t>BASIS</t>
  </si>
  <si>
    <t>QTY</t>
  </si>
  <si>
    <t>PER CMB</t>
  </si>
  <si>
    <t>W/M</t>
  </si>
  <si>
    <t>BL</t>
  </si>
  <si>
    <t>$20</t>
  </si>
  <si>
    <t>ACD</t>
  </si>
  <si>
    <t>DDC</t>
  </si>
  <si>
    <t>DEST.</t>
  </si>
  <si>
    <t xml:space="preserve">HAZ </t>
  </si>
  <si>
    <t>REGISTRATOIN</t>
  </si>
  <si>
    <t>PALLETIZATION</t>
  </si>
  <si>
    <t>TRANSPORTATION</t>
  </si>
  <si>
    <t>.+ GST</t>
  </si>
  <si>
    <t>1.      Rates are valid as per vessel sailing.</t>
  </si>
  <si>
    <r>
      <t xml:space="preserve">2.      Rates are subject to </t>
    </r>
    <r>
      <rPr>
        <b/>
        <sz val="11"/>
        <color rgb="FFFF0000"/>
        <rFont val="Calibri"/>
        <family val="2"/>
      </rPr>
      <t>GRI, PSS Basis.</t>
    </r>
  </si>
  <si>
    <t>3.     Rates are Subject to cargo acceptance and Haz approval.</t>
  </si>
  <si>
    <t>4.      All Govt. taxes are applicable at the time of shipment (GST Applicable).</t>
  </si>
  <si>
    <t>5.      Rates are subject to Standard free time and for additional free time charges will be applicable.</t>
  </si>
  <si>
    <t>L</t>
  </si>
  <si>
    <t>W</t>
  </si>
  <si>
    <t>H</t>
  </si>
  <si>
    <t>NO. OF DRUMS</t>
  </si>
  <si>
    <t>CM</t>
  </si>
  <si>
    <t>PER DRUM WEIGHT</t>
  </si>
  <si>
    <t>ORIGIN :</t>
  </si>
  <si>
    <t>MUMBAI, IN</t>
  </si>
  <si>
    <t>WEIGHT CAPACITY</t>
  </si>
  <si>
    <t>DESTINATION :</t>
  </si>
  <si>
    <t>TOTAL WEIGHT</t>
  </si>
  <si>
    <t xml:space="preserve">SHIPMENT : </t>
  </si>
  <si>
    <t>COMMODITY :</t>
  </si>
  <si>
    <t>INCOTERMS :</t>
  </si>
  <si>
    <t>GROSS WEIGHT :</t>
  </si>
  <si>
    <t>NO. OF PALLETS</t>
  </si>
  <si>
    <t>CARRIER :</t>
  </si>
  <si>
    <t>QUOTE VALID TILL :</t>
  </si>
  <si>
    <t>AIR - 1</t>
  </si>
  <si>
    <t>FRT</t>
  </si>
  <si>
    <t>PALLET WEIGHT</t>
  </si>
  <si>
    <t>MRG</t>
  </si>
  <si>
    <t>#</t>
  </si>
  <si>
    <t>AIR FREIGHT</t>
  </si>
  <si>
    <t>Chargable weight</t>
  </si>
  <si>
    <t>CARTAGE</t>
  </si>
  <si>
    <t>MINIMUM ₹ 450</t>
  </si>
  <si>
    <t>SR.NO</t>
  </si>
  <si>
    <t>RATES.</t>
  </si>
  <si>
    <t>GRS. PRO</t>
  </si>
  <si>
    <t>Gross weight</t>
  </si>
  <si>
    <t>MCC</t>
  </si>
  <si>
    <t>MINIMUM ₹ 550</t>
  </si>
  <si>
    <t>PER KG</t>
  </si>
  <si>
    <t>XRAY</t>
  </si>
  <si>
    <t>MINIMUM ₹ 850</t>
  </si>
  <si>
    <t>GATE PASS</t>
  </si>
  <si>
    <t>2% - TDS</t>
  </si>
  <si>
    <t>ASI GMAX</t>
  </si>
  <si>
    <t>CUSTOM CLEARANCE</t>
  </si>
  <si>
    <t>SHIPMENT</t>
  </si>
  <si>
    <t>TERMINAL TRANSFER</t>
  </si>
  <si>
    <t>AWB FEES</t>
  </si>
  <si>
    <t>TEDI</t>
  </si>
  <si>
    <t xml:space="preserve">DRUM </t>
  </si>
  <si>
    <t>ADMIN</t>
  </si>
  <si>
    <t xml:space="preserve">REPACKING </t>
  </si>
  <si>
    <t xml:space="preserve">IF REQUIRED </t>
  </si>
  <si>
    <t>DG FEE</t>
  </si>
  <si>
    <t>HAZ INCL</t>
  </si>
  <si>
    <t>PALLETISATION</t>
  </si>
  <si>
    <t>TRANSPORATION</t>
  </si>
  <si>
    <t>LOADING &amp; UNLOADING</t>
  </si>
  <si>
    <t>CARBOY</t>
  </si>
  <si>
    <t>WITH TRANSPORATION</t>
  </si>
  <si>
    <t>DG FEES</t>
  </si>
  <si>
    <t>INCL AGENT FEE</t>
  </si>
  <si>
    <t>*</t>
  </si>
  <si>
    <t>Rate Subject To Booking Acceptance</t>
  </si>
  <si>
    <t xml:space="preserve">  100% Of Total Freight Charges applicable  if Shipments Cancelled Within 48 Hours Before The Delivery Cut-Off Time</t>
  </si>
  <si>
    <t>GST At Actual</t>
  </si>
  <si>
    <t>Rest other charges if any at actual as per receipt.</t>
  </si>
  <si>
    <t>Above rates are valid for 3 days</t>
  </si>
  <si>
    <t>THC:0.95/KG – ac actual </t>
  </si>
  <si>
    <t>Surcharges are at cost and subject to change. This rate QUOTED for prepaid shipment.</t>
  </si>
  <si>
    <t>This rate is quote valid for 1.1 General cargo, Stackable and Normal dimension cargo.</t>
  </si>
  <si>
    <t>This rate is not valid for DG/UB /ODC / Fragile/ Special cargo.</t>
  </si>
  <si>
    <t>Acceptance of shipment would be subject to space availability at the time of booking .</t>
  </si>
  <si>
    <t>EY reserves the right to select routing as per space availability</t>
  </si>
  <si>
    <t>Spot rates offered are valid only for two days from the date of quotation.</t>
  </si>
  <si>
    <t>Under current scenario rates are subject to change without prior notice .</t>
  </si>
  <si>
    <t xml:space="preserve">  CIF  -  NHAVA SHEVA, IN  TO  DURBAN, SA // NON HAZ //  FCL RATES</t>
  </si>
  <si>
    <t xml:space="preserve"> ~  20 GP // 19800 KGS</t>
  </si>
  <si>
    <t xml:space="preserve"> EX.RATE </t>
  </si>
  <si>
    <t>NEW YORK, NY, US</t>
  </si>
  <si>
    <t xml:space="preserve"> TRANSPORTATION FROM MAHAD TO NHAVA SHEVA, IN - 1 VEHICELS</t>
  </si>
  <si>
    <t>-</t>
  </si>
  <si>
    <t xml:space="preserve"> WARAI  - UNLOADING-FORKLIFT-LABOUR-CARTING</t>
  </si>
  <si>
    <t xml:space="preserve">  CIF  -  NHAVA SHEVA, IN  TO  ALTAMIRA, MX // NON HAZ //  FCL RATES</t>
  </si>
  <si>
    <t xml:space="preserve"> SEA FREIGHT  - CIF  $400</t>
  </si>
  <si>
    <t xml:space="preserve"> HAZ SURCHARGE INCL</t>
  </si>
  <si>
    <t xml:space="preserve"> TERMINAL HANDLING  </t>
  </si>
  <si>
    <t xml:space="preserve"> VGM  @ $20</t>
  </si>
  <si>
    <t xml:space="preserve"> ENS </t>
  </si>
  <si>
    <t xml:space="preserve"> SEA FREIGHT  - CIF  $2750</t>
  </si>
  <si>
    <t xml:space="preserve"> CONSOLE-STUFFING,CFS, FORKLIFT,,LABOR</t>
  </si>
  <si>
    <t xml:space="preserve"> PALLETIZATION : 20 </t>
  </si>
  <si>
    <t xml:space="preserve"> THC</t>
  </si>
  <si>
    <t xml:space="preserve"> BILL OF LADING </t>
  </si>
  <si>
    <t xml:space="preserve"> HAZ DOC</t>
  </si>
  <si>
    <t xml:space="preserve"> HAZ SURCHARGE</t>
  </si>
  <si>
    <t xml:space="preserve"> CLEARANCE  AT  POL</t>
  </si>
  <si>
    <t xml:space="preserve"> EXAMINATION,  DOCUMENTATION, HANDLING, LBELLING --CHOCKING ETC.</t>
  </si>
  <si>
    <r>
      <t xml:space="preserve"> VGM  @ </t>
    </r>
    <r>
      <rPr>
        <b/>
        <i/>
        <sz val="10"/>
        <color rgb="FFFF0000"/>
        <rFont val="Aptos"/>
        <family val="2"/>
      </rPr>
      <t>$20</t>
    </r>
  </si>
  <si>
    <t xml:space="preserve"> PALLETIZATION 20</t>
  </si>
  <si>
    <t xml:space="preserve"> CERTIFICATE OF ORIGIN</t>
  </si>
  <si>
    <t xml:space="preserve"> ENS  @</t>
  </si>
  <si>
    <t xml:space="preserve"> TOTAL</t>
  </si>
  <si>
    <t xml:space="preserve">  CIF  -  NHAVA SHEVA, IN  TO  FELIXSTOWE, UK // NON HAZ //  FCL RATES</t>
  </si>
  <si>
    <t>FROM - CHATRAL TO NHAVA SHEVA, IN – TO JAKARTA, ID- NON HAZ CARGO</t>
  </si>
  <si>
    <t>CIF -20 GP</t>
  </si>
  <si>
    <t>NON HAZ CARGO – DRUMS</t>
  </si>
  <si>
    <t>FCL RATES</t>
  </si>
  <si>
    <t xml:space="preserve"> TRANSPORTATION FROM - TO NHAVA SHEVA, IN - 1 VEHICELS</t>
  </si>
  <si>
    <t>EX.RATE</t>
  </si>
  <si>
    <t>TRANSPORTATION FROM EX- CHATRAL TO NHAVA SHEVA = NET WT 8,000 KGS</t>
  </si>
  <si>
    <t xml:space="preserve"> SEA FREIGHT  - CIF  $3026</t>
  </si>
  <si>
    <t>WARAI CHARGES - UNLOADING-FORKLIFT-LABOUR-CARTING AT NHAVA SHEVA ( 1 VEHICLES)</t>
  </si>
  <si>
    <r>
      <t>SEA FREIGHT - CIF $</t>
    </r>
    <r>
      <rPr>
        <b/>
        <i/>
        <sz val="10"/>
        <color rgb="FFEE0000"/>
        <rFont val="Times New Roman"/>
        <family val="1"/>
      </rPr>
      <t>160* 88.50</t>
    </r>
  </si>
  <si>
    <t>HAZ SURCHARGE $</t>
  </si>
  <si>
    <t>TERMINAL HANDLING CHARGES</t>
  </si>
  <si>
    <t>VGM CHARGES @ $20</t>
  </si>
  <si>
    <t>ISF CHARGES @</t>
  </si>
  <si>
    <t xml:space="preserve"> PALLETIZATION : 28 </t>
  </si>
  <si>
    <t>CONSOLE-STUFFING,CFS, FORKLIFT,,LABOR CHARGES</t>
  </si>
  <si>
    <r>
      <t>PALLETIZATION CHARGES -</t>
    </r>
    <r>
      <rPr>
        <b/>
        <i/>
        <sz val="10"/>
        <color rgb="FFFF0000"/>
        <rFont val="Times New Roman"/>
        <family val="1"/>
      </rPr>
      <t> INR - 1450 PER PALLET</t>
    </r>
  </si>
  <si>
    <t xml:space="preserve"> ENS  </t>
  </si>
  <si>
    <t>PLY CHARGES</t>
  </si>
  <si>
    <t>BILL OF LADING CHARGES</t>
  </si>
  <si>
    <t>CLEARANCE CHARGES AT   NHAVA SHEVA</t>
  </si>
  <si>
    <t>EXAMINATION,  DOCUMENTATION CHARGES, HANDLING, LBELLING CHARGES --CHOCKING ETC.</t>
  </si>
  <si>
    <t>CERTIFICATE OF ORIGIN</t>
  </si>
  <si>
    <t>TOTAL COST</t>
  </si>
  <si>
    <t>FROM - CHATRAL TO NHAVA SHEVA, IN – TO SURABAYA, ID- NON HAZ CARGO</t>
  </si>
  <si>
    <t xml:space="preserve"> CIF - NHAVA SHEVA, IN TO JAKARTA (TANJUNG PRIOK), ID // NON HAZ // FCL RATES</t>
  </si>
  <si>
    <t xml:space="preserve">FROM - EX-NHAVASHEVA TO GEBZE, TK -  NON HAZ CARGO </t>
  </si>
  <si>
    <t>ISO TANK</t>
  </si>
  <si>
    <t>JNP- 25MTS</t>
  </si>
  <si>
    <t xml:space="preserve"> TRANSPORTATION FROM CHATRAL TO NHAVA SHEVA, IN - 1 VEHICELS</t>
  </si>
  <si>
    <r>
      <t>SEA FREIGHT - CIF $</t>
    </r>
    <r>
      <rPr>
        <b/>
        <i/>
        <sz val="10"/>
        <color rgb="FFEE0000"/>
        <rFont val="Aptos"/>
        <family val="2"/>
      </rPr>
      <t>160* 90</t>
    </r>
  </si>
  <si>
    <t>QTY-ISO TANK || 24 MTS || GROSS 32 MTS || EX RATE</t>
  </si>
  <si>
    <t>ISO TANK-T20</t>
  </si>
  <si>
    <t xml:space="preserve">TRANSPORTATION FROM EX-MUMBAI TO ****  &amp; BACK  ( FTL )- 30 TONS </t>
  </si>
  <si>
    <t xml:space="preserve"> SEA FREIGHT  - CIF  $160</t>
  </si>
  <si>
    <t xml:space="preserve">LIFT OFF/LIFT ON CHARGES </t>
  </si>
  <si>
    <t xml:space="preserve">PUMP </t>
  </si>
  <si>
    <t>OVERLOAD CHARGES -</t>
  </si>
  <si>
    <r>
      <t>PALLETIZATION CHARGES -</t>
    </r>
    <r>
      <rPr>
        <b/>
        <i/>
        <sz val="10"/>
        <color rgb="FFFF0000"/>
        <rFont val="Aptos"/>
        <family val="2"/>
      </rPr>
      <t> INR - 1450 PER PALLET</t>
    </r>
  </si>
  <si>
    <t xml:space="preserve">EXPORT THC NHAVA SHEVA </t>
  </si>
  <si>
    <t xml:space="preserve">BILL OF LADING CHARGES ( MBL &amp; HBL ) </t>
  </si>
  <si>
    <t xml:space="preserve"> PALLETIZATION 0</t>
  </si>
  <si>
    <t>VGM NHAVA SHEVA CHARGES @ $20</t>
  </si>
  <si>
    <t>LOADED T20 RETURN OFFLOADED IN CFS NHAVA SHEVA</t>
  </si>
  <si>
    <t xml:space="preserve">CHASSIS CHARGES </t>
  </si>
  <si>
    <t xml:space="preserve">ACD CHARGES </t>
  </si>
  <si>
    <t xml:space="preserve">ON WHEEL INSPECTION -EXAMINATION CHARGES BY CUSTOMS AT NHAVA SHEVA </t>
  </si>
  <si>
    <t xml:space="preserve">FROM - EX-NHAVASHEVA TO JALGAON TO JNP TO LIVERPOOL-UNITED KINGDOM -  NON HAZ CARGO </t>
  </si>
  <si>
    <r>
      <t xml:space="preserve">METHYL SALICYLATE - </t>
    </r>
    <r>
      <rPr>
        <b/>
        <i/>
        <sz val="9"/>
        <color rgb="FFFF0000"/>
        <rFont val="Aptos"/>
        <family val="2"/>
      </rPr>
      <t>  NON HAZ CARGO</t>
    </r>
  </si>
  <si>
    <t>TRANSPORTATION FROM INNOSPEC FACTORY AFTER UNLOADING</t>
  </si>
  <si>
    <t>TO BE BRONE BY CUSTOMER</t>
  </si>
  <si>
    <t xml:space="preserve">TRANSPORTATION FROM EX-MUMBAI TO JALGAON &amp; BACK  ( FTL )- 30 TONS </t>
  </si>
  <si>
    <t xml:space="preserve">14 DAYS FREE DETENTION AT LIVERPOOL AFTER THAT USD </t>
  </si>
  <si>
    <t>$60</t>
  </si>
  <si>
    <t>FEE CROSS PAYMENT,PROV SURCHARGE, CLEANING</t>
  </si>
  <si>
    <r>
      <t>SEAFREIGHT FROM JNP TO LIVER POOL (FOR ISO TANK )--</t>
    </r>
    <r>
      <rPr>
        <b/>
        <i/>
        <sz val="9"/>
        <color rgb="FFFF0000"/>
        <rFont val="Aptos"/>
        <family val="2"/>
      </rPr>
      <t xml:space="preserve"> $3,450 *89.5</t>
    </r>
  </si>
  <si>
    <t>DOCUMENTATION, HANDLING ,  TOLL, MUC CHARGES</t>
  </si>
  <si>
    <t>CERTIFICATE OF ORIGIN CHARGES (GSP CHARGES)</t>
  </si>
  <si>
    <t xml:space="preserve">TOTAL COST - UPTO LIVERPOOL PORT ONLY </t>
  </si>
  <si>
    <r>
      <t xml:space="preserve">LIVER POOL PORT TO FACTORY - </t>
    </r>
    <r>
      <rPr>
        <b/>
        <i/>
        <sz val="9"/>
        <color rgb="FFFF0000"/>
        <rFont val="Aptos"/>
        <family val="2"/>
      </rPr>
      <t>TO BE ARRANGED BY CUSTOMER</t>
    </r>
  </si>
  <si>
    <r>
      <t xml:space="preserve">LIVER POOL LOCAL CHARGES - </t>
    </r>
    <r>
      <rPr>
        <b/>
        <i/>
        <sz val="9"/>
        <color rgb="FFFF0000"/>
        <rFont val="Aptos"/>
        <family val="2"/>
      </rPr>
      <t>TO BE BORNE BY CUSTOMER</t>
    </r>
  </si>
  <si>
    <r>
      <t xml:space="preserve">LIVER POOL SHIPPING LINE LOCAL CHARGES - </t>
    </r>
    <r>
      <rPr>
        <b/>
        <i/>
        <sz val="9"/>
        <color rgb="FFFF0000"/>
        <rFont val="Aptos"/>
        <family val="2"/>
      </rPr>
      <t>TO BE BORNE BY CUSTOMER</t>
    </r>
  </si>
  <si>
    <t>LOADED T20 RETURN OFFLOADED IN CFS NHAVA SHEVA -SEALING &amp; CUSTOMS PASSING</t>
  </si>
  <si>
    <r>
      <t xml:space="preserve">LIVER POOL DEPOT CHARGES IF ANY - </t>
    </r>
    <r>
      <rPr>
        <b/>
        <i/>
        <sz val="9"/>
        <color rgb="FFFF0000"/>
        <rFont val="Aptos"/>
        <family val="2"/>
      </rPr>
      <t xml:space="preserve">TO BE BORNE BY CUSTOMER </t>
    </r>
  </si>
  <si>
    <t>TRANSPORTATION FROM INNOSPEC FACTORY AFTER UNLOADING TO DEPOT-LIVERPOOL-FELIXSTOWE -</t>
  </si>
  <si>
    <t xml:space="preserve">FROM - EX-NHAVASHEVA TO MAHAD TO JNP TO PORT KALANG, MY-UNITED KINGDOM -  NON HAZ CARGO </t>
  </si>
  <si>
    <t xml:space="preserve">TRANSPORTATION FROM EX-MUMBAI TO MAHAD &amp; BACK  ( FTL ) - 30 TONS </t>
  </si>
  <si>
    <t>TRANSPORTATION FROM INNOSPEC FACTORY AFTER UNLOADING TO DEPOT-PORT KALANG, MY-FELIXSTOWE -</t>
  </si>
  <si>
    <t xml:space="preserve">14 DAYS FREE DETENTION AT PORT KALANG, MY AFTER THAT USD </t>
  </si>
  <si>
    <t>CLEARANCE CHARGES AT NHAVA SHEVA</t>
  </si>
  <si>
    <t xml:space="preserve">TOTAL COST - UPTO PORT KALANG, MY PORT ONLY </t>
  </si>
  <si>
    <t>CIF - NHAVA SHEVA, IN TO NEW YORK, NY, US. // NON HAZ // FCL RATES</t>
  </si>
  <si>
    <t>RQ 111025-1100</t>
  </si>
  <si>
    <t>~  20 GP // 19,800 KGS</t>
  </si>
  <si>
    <t>   10 Oct, 2025</t>
  </si>
  <si>
    <t xml:space="preserve">EX.RATE </t>
  </si>
  <si>
    <t>TRANSPORTATION FROM MAHAD TO NHAVA SHEVA, IN - 1 VEHICELS</t>
  </si>
  <si>
    <t>WARAI  - UNLOADING-FORKLIFT-LABOUR-CARTING</t>
  </si>
  <si>
    <t>SEA FREIGHT  - CIF  $3250</t>
  </si>
  <si>
    <t>HAZ SURCHARGE INCL</t>
  </si>
  <si>
    <r>
      <t xml:space="preserve">VGM  @ </t>
    </r>
    <r>
      <rPr>
        <b/>
        <i/>
        <sz val="10"/>
        <color rgb="FFFF0000"/>
        <rFont val="Calibri"/>
        <family val="2"/>
        <scheme val="minor"/>
      </rPr>
      <t>$20</t>
    </r>
  </si>
  <si>
    <t>ENS  @</t>
  </si>
  <si>
    <t>CONSOLE-STUFFING,CFS, FORKLIFT,,LABOR</t>
  </si>
  <si>
    <t>PALLETIZATION 20</t>
  </si>
  <si>
    <t xml:space="preserve">BILL OF LADING </t>
  </si>
  <si>
    <t>HAZ DOC</t>
  </si>
  <si>
    <t>CLEARANCE  AT  POL</t>
  </si>
  <si>
    <t>EXAMINATION,  DOCUMENTATION, HANDLING, LBELLING --CHOCKING ETC.</t>
  </si>
  <si>
    <t xml:space="preserve"> CIF - NHAVA SHEVA, IN TO BARCELONA, ES // NON HAZ // FCL RATES</t>
  </si>
  <si>
    <t xml:space="preserve"> ~  20 GP // 17900 KGS</t>
  </si>
  <si>
    <t xml:space="preserve"> TRANSPORTATION FROM  TO NHAVA SHEVA, IN - 1 VEHICELS</t>
  </si>
  <si>
    <t xml:space="preserve"> SEA FREIGHT  - CIF  $1600</t>
  </si>
  <si>
    <t>CHICAGO, IL</t>
  </si>
  <si>
    <t>MUN/NSA</t>
  </si>
  <si>
    <t>COSCO</t>
  </si>
  <si>
    <t>HZA</t>
  </si>
  <si>
    <t xml:space="preserve">OOCL </t>
  </si>
  <si>
    <t>TACOMA, WA</t>
  </si>
  <si>
    <t>MILES</t>
  </si>
  <si>
    <t>CLEAR</t>
  </si>
  <si>
    <t>No. of Drums</t>
  </si>
  <si>
    <t>Sea</t>
  </si>
  <si>
    <t>Per Drum Weight</t>
  </si>
  <si>
    <t>PARTICULAR</t>
  </si>
  <si>
    <t>PLANNING : 1</t>
  </si>
  <si>
    <t>PLANNING : 2</t>
  </si>
  <si>
    <t>PLANNING : 3</t>
  </si>
  <si>
    <t>PLANNING : 4</t>
  </si>
  <si>
    <t>DETAILS</t>
  </si>
  <si>
    <t>Dear Sir / Madam,</t>
  </si>
  <si>
    <t>Weight Capacity</t>
  </si>
  <si>
    <t>SHIPPING LINE</t>
  </si>
  <si>
    <t> WAN HAI</t>
  </si>
  <si>
    <t xml:space="preserve"> WAN HAI </t>
  </si>
  <si>
    <t>Air</t>
  </si>
  <si>
    <t>Pallet Row - W</t>
  </si>
  <si>
    <t xml:space="preserve">POD </t>
  </si>
  <si>
    <t>JEBEL ALI, UAE</t>
  </si>
  <si>
    <t>Please assist to quote the rates as per below.</t>
  </si>
  <si>
    <t>Pallet Row - L</t>
  </si>
  <si>
    <t xml:space="preserve"> STUFFING </t>
  </si>
  <si>
    <t xml:space="preserve">Stackable </t>
  </si>
  <si>
    <t>CLEARNANCE</t>
  </si>
  <si>
    <t>SAILING</t>
  </si>
  <si>
    <t>Drums Per Pallet</t>
  </si>
  <si>
    <t>Estimated ETA</t>
  </si>
  <si>
    <t>NO. of Pallet</t>
  </si>
  <si>
    <t>Drums Weight</t>
  </si>
  <si>
    <t>Pallet Weight</t>
  </si>
  <si>
    <t>INVENTORY</t>
  </si>
  <si>
    <t>Total Weight</t>
  </si>
  <si>
    <t>Per Drum</t>
  </si>
  <si>
    <t>Per Pallet</t>
  </si>
  <si>
    <t>DOOR</t>
  </si>
  <si>
    <t>Column224</t>
  </si>
  <si>
    <t>LOCALS</t>
  </si>
  <si>
    <t>FROM</t>
  </si>
  <si>
    <t>VALID</t>
  </si>
  <si>
    <t>EXP</t>
  </si>
  <si>
    <t>Column22</t>
  </si>
  <si>
    <t>OFT-1</t>
  </si>
  <si>
    <t>OTHER-1</t>
  </si>
  <si>
    <t>HAZ-1</t>
  </si>
  <si>
    <t>OW-1</t>
  </si>
  <si>
    <t>Column222</t>
  </si>
  <si>
    <t xml:space="preserve">SEA WAY </t>
  </si>
  <si>
    <t>THC 40 HC</t>
  </si>
  <si>
    <t>Column2232</t>
  </si>
  <si>
    <t>ABU DHABI, AE</t>
  </si>
  <si>
    <t>ACAJUTLA, SV</t>
  </si>
  <si>
    <t>ACCRA (TEMA), GH</t>
  </si>
  <si>
    <t>ADELAIDE, AU</t>
  </si>
  <si>
    <t>ADEN, YE</t>
  </si>
  <si>
    <t>AGADIR, MA</t>
  </si>
  <si>
    <t>AL HODEIDAH, YE</t>
  </si>
  <si>
    <t>AL MUKALLA, YE</t>
  </si>
  <si>
    <t>AL SOKHNA, EG</t>
  </si>
  <si>
    <t>ALEXANDRIA, EG</t>
  </si>
  <si>
    <t>ALGECIRAS, ES</t>
  </si>
  <si>
    <t>ALGIERS, DZ</t>
  </si>
  <si>
    <t>ALSIP, IL, 12560</t>
  </si>
  <si>
    <t>ALTAMIRA, MX</t>
  </si>
  <si>
    <t>ANNABA, DZ</t>
  </si>
  <si>
    <t>ANTWERP, BE</t>
  </si>
  <si>
    <t>ARICA, CL</t>
  </si>
  <si>
    <t>ASH SHIHR, YE</t>
  </si>
  <si>
    <t>ASHDOD, EL</t>
  </si>
  <si>
    <t>AUCKLAND, NZ</t>
  </si>
  <si>
    <t>BAGAMOYO, TZ</t>
  </si>
  <si>
    <t>BAHIA BLANCA, AR</t>
  </si>
  <si>
    <t>BAHRAIN, BH</t>
  </si>
  <si>
    <t>BALIKPAPAN, ID</t>
  </si>
  <si>
    <t>BALTIMORE, MD</t>
  </si>
  <si>
    <t>BANDAR ABBAS, IR</t>
  </si>
  <si>
    <t>BANGKOK PAT, TH</t>
  </si>
  <si>
    <t>BANGKOK, TH</t>
  </si>
  <si>
    <t>BARCELONA, ES</t>
  </si>
  <si>
    <t>BARRANQUILLA, CO</t>
  </si>
  <si>
    <t>BASRA, IQ</t>
  </si>
  <si>
    <t>BATAM, ID</t>
  </si>
  <si>
    <t>BATANGAS, LUZON, PH</t>
  </si>
  <si>
    <t>BEICUN, CN</t>
  </si>
  <si>
    <t>BEIJAO, CN</t>
  </si>
  <si>
    <t>BEIRA, MZ</t>
  </si>
  <si>
    <t>BELAWAN, ID</t>
  </si>
  <si>
    <t>BERBERA, SO</t>
  </si>
  <si>
    <t>BILBAO, ES</t>
  </si>
  <si>
    <t>BINTULU, MY</t>
  </si>
  <si>
    <t>BIZERTE, TN</t>
  </si>
  <si>
    <t>BOSASO, SO</t>
  </si>
  <si>
    <t>BREMERHAVEN, DE</t>
  </si>
  <si>
    <t>BRISBANE, AU</t>
  </si>
  <si>
    <t>BUDAPEST, HU</t>
  </si>
  <si>
    <t>BUENAVENTURA, CO</t>
  </si>
  <si>
    <t>BUENOS AIRES, AR</t>
  </si>
  <si>
    <t>BUSAN, KE</t>
  </si>
  <si>
    <t>CAGAYAN DE ORO, PH</t>
  </si>
  <si>
    <t>CAI MEP, VN</t>
  </si>
  <si>
    <t>CALLAO, PE</t>
  </si>
  <si>
    <t>CAPE TOWN, ZA</t>
  </si>
  <si>
    <t>CARTAGENA, CO</t>
  </si>
  <si>
    <t>CASABLANCA, MA</t>
  </si>
  <si>
    <t>CAT LAI, HCMC, VN</t>
  </si>
  <si>
    <t>CAUCEDO, DO</t>
  </si>
  <si>
    <t>CEBU, PH</t>
  </si>
  <si>
    <t>CHANGSHA, CN</t>
  </si>
  <si>
    <t>CHANGZHOU, CN</t>
  </si>
  <si>
    <t>CHARLESTON, SC</t>
  </si>
  <si>
    <t>CHATTOGRAM, BD</t>
  </si>
  <si>
    <t>CHIMBOTE, PE</t>
  </si>
  <si>
    <t>CHITTAGONG, BD</t>
  </si>
  <si>
    <t>CHIWAN, SHEKOU, CN</t>
  </si>
  <si>
    <t>CHONGQING, CN</t>
  </si>
  <si>
    <t>COLOMBO, LK</t>
  </si>
  <si>
    <t>COMUNION , CO</t>
  </si>
  <si>
    <t>CONAKRY, GN</t>
  </si>
  <si>
    <t>CORINTO, NI</t>
  </si>
  <si>
    <t>COTONOU, BJ</t>
  </si>
  <si>
    <t>DAKAR, SE</t>
  </si>
  <si>
    <t>DALIAN, CN</t>
  </si>
  <si>
    <t>DAMIETTA, EG</t>
  </si>
  <si>
    <t>DAMMAM, SA</t>
  </si>
  <si>
    <t>DAMMAN, SA</t>
  </si>
  <si>
    <t>DANANG, VN</t>
  </si>
  <si>
    <t>DAR ES SALAAM, TZ</t>
  </si>
  <si>
    <t>DAVAO, PH</t>
  </si>
  <si>
    <t>DJIBOUTI, DJ</t>
  </si>
  <si>
    <t>DOU MEN, ZUHAI PROVINCE, CN</t>
  </si>
  <si>
    <t>DOUALA, CM</t>
  </si>
  <si>
    <t>DURBAN, ZA</t>
  </si>
  <si>
    <t>ELKHART, IN 46516</t>
  </si>
  <si>
    <t>ENSENADA, MX</t>
  </si>
  <si>
    <t>FELIXSTOWE, GB</t>
  </si>
  <si>
    <t>FELIXTOWE, GB</t>
  </si>
  <si>
    <t>FORT PAYNE, AL 35968</t>
  </si>
  <si>
    <t>FORTALEZA, BR</t>
  </si>
  <si>
    <t>FOS SUR MER, FR</t>
  </si>
  <si>
    <t>FOSHAN JIUJIANG, CN</t>
  </si>
  <si>
    <t>FREMANTLE, AU</t>
  </si>
  <si>
    <t>FUKUYAMA, JP</t>
  </si>
  <si>
    <t>GABZE, TR</t>
  </si>
  <si>
    <t>GAO MING, CN</t>
  </si>
  <si>
    <t>GAO YAO, CN</t>
  </si>
  <si>
    <t>GAOLAN, ZUHAI PROVINCE, CN</t>
  </si>
  <si>
    <t>GAOSHA, CN</t>
  </si>
  <si>
    <t>GDANSK, PL</t>
  </si>
  <si>
    <t>GDYNIA, PL</t>
  </si>
  <si>
    <t>GEMLIK, TR</t>
  </si>
  <si>
    <t>GENERAL SANTOS, PH</t>
  </si>
  <si>
    <t>GENOA, IT</t>
  </si>
  <si>
    <t>GENOVA, IT</t>
  </si>
  <si>
    <t>GIOIA TAURO, IT</t>
  </si>
  <si>
    <t>GLADSTONE, AU</t>
  </si>
  <si>
    <t>GOTHENBURG, SE</t>
  </si>
  <si>
    <t>GUAYAQUIL, EC</t>
  </si>
  <si>
    <t>GWANGYANG, KR</t>
  </si>
  <si>
    <t>HAIFA, ISRAEL</t>
  </si>
  <si>
    <t>HAIKOU, CN</t>
  </si>
  <si>
    <t>HAIPHONG, VN</t>
  </si>
  <si>
    <t>HAIPHONG, VT</t>
  </si>
  <si>
    <t>HAKATA, JP</t>
  </si>
  <si>
    <t>HALIFAX, CA</t>
  </si>
  <si>
    <t>HAMAD, QA</t>
  </si>
  <si>
    <t>HAMBANTOTA, LK</t>
  </si>
  <si>
    <t>HAMBURG, DE</t>
  </si>
  <si>
    <t>HAVANA, CU</t>
  </si>
  <si>
    <t>HEFEI, CN</t>
  </si>
  <si>
    <t>HELSINKI, FI</t>
  </si>
  <si>
    <t>HERAKLION, GR</t>
  </si>
  <si>
    <t>HIROSHIMA, JP</t>
  </si>
  <si>
    <t>HO CHI MINH (CAT LAI), VN</t>
  </si>
  <si>
    <t>HOCHIMINH VICT, VN</t>
  </si>
  <si>
    <t>HONG KONG, HK</t>
  </si>
  <si>
    <t>HONGWAN, ZUHAI PROVINCE, CN</t>
  </si>
  <si>
    <t>HOUSTON, TX</t>
  </si>
  <si>
    <t>HUADU, CN</t>
  </si>
  <si>
    <t>HUANGPU, CN</t>
  </si>
  <si>
    <t>HUMEN, CN</t>
  </si>
  <si>
    <t>ICD DHAKA, BD</t>
  </si>
  <si>
    <t>ICD PHUOC LONG 1, VN</t>
  </si>
  <si>
    <t>ICD PHUOC LONG 3, VN</t>
  </si>
  <si>
    <t>INCHON, KR</t>
  </si>
  <si>
    <t>IQUIQUE, CL</t>
  </si>
  <si>
    <t>ISKENDERUN, TR</t>
  </si>
  <si>
    <t>ISTANBUL, TK</t>
  </si>
  <si>
    <t>ISTANBUL, TR</t>
  </si>
  <si>
    <t>ITAJAI, BR</t>
  </si>
  <si>
    <t>IZMIR, TR</t>
  </si>
  <si>
    <t>JACKSONVILLE, FL</t>
  </si>
  <si>
    <t>JAKARTA (TANJUNG PRIOK), ID</t>
  </si>
  <si>
    <t>JEBEL ALI, AE</t>
  </si>
  <si>
    <t>JEDDAH, SA</t>
  </si>
  <si>
    <t>JIANGMEN NEW PORT, CN</t>
  </si>
  <si>
    <t>JIANGYIN, FUJIAN, CN</t>
  </si>
  <si>
    <t>JIAOXIN, CN</t>
  </si>
  <si>
    <t>JIUJIANG, CN</t>
  </si>
  <si>
    <t>JOHANNESBURG, SA</t>
  </si>
  <si>
    <t>KAMPALA, UG</t>
  </si>
  <si>
    <t>KAOHSIUNG, TW</t>
  </si>
  <si>
    <t>KARACHI, PK</t>
  </si>
  <si>
    <t>KAWASAKI, JP</t>
  </si>
  <si>
    <t>KEELUNG, TW</t>
  </si>
  <si>
    <t>KHALIFA PORT, AE</t>
  </si>
  <si>
    <t>KINGSTON, JM</t>
  </si>
  <si>
    <t>KISMAYO, SO</t>
  </si>
  <si>
    <t>KLAIPEDA, LT</t>
  </si>
  <si>
    <t>KOBE, JP</t>
  </si>
  <si>
    <t>KOTA KINABALU, MY</t>
  </si>
  <si>
    <t>KUCHING, MY</t>
  </si>
  <si>
    <t>KUWAIT, KW</t>
  </si>
  <si>
    <t>KWANGYANG, KR</t>
  </si>
  <si>
    <t>LA GUAIRA, VE</t>
  </si>
  <si>
    <t>LAEM CHABANG, TH</t>
  </si>
  <si>
    <t>LAGOS (APAPA/TINCAN), NG</t>
  </si>
  <si>
    <t>LAMU, KE</t>
  </si>
  <si>
    <t>LAT KRABANG, TH</t>
  </si>
  <si>
    <t>LAZARO CARDENAS, MX</t>
  </si>
  <si>
    <t>LE HAVRE, FR</t>
  </si>
  <si>
    <t>LIAN HUA SHAN, CN</t>
  </si>
  <si>
    <t>LIANYUNGANG, CN</t>
  </si>
  <si>
    <t>LIBREVILLE, GA</t>
  </si>
  <si>
    <t>LISBON, PT</t>
  </si>
  <si>
    <t>LIVERPOOL, GB</t>
  </si>
  <si>
    <t>LOBITO, AO</t>
  </si>
  <si>
    <t>LOME, TG</t>
  </si>
  <si>
    <t>LONDON GATEWAY, GB</t>
  </si>
  <si>
    <t>LONG BEACH, CA</t>
  </si>
  <si>
    <t>LOS ANGELES, CA</t>
  </si>
  <si>
    <t>LUANDA, AO</t>
  </si>
  <si>
    <t>LYTTELTON, NZ</t>
  </si>
  <si>
    <t>MALABO, GQ</t>
  </si>
  <si>
    <t>MANILA NORTH, PH</t>
  </si>
  <si>
    <t>MANILA SOUTH, PH</t>
  </si>
  <si>
    <t>MANILA, PH</t>
  </si>
  <si>
    <t>MANTA, EC</t>
  </si>
  <si>
    <t>MANZANILLO, MX</t>
  </si>
  <si>
    <t>MAPUTO, MZ</t>
  </si>
  <si>
    <t>MARACAIBO, VE</t>
  </si>
  <si>
    <t>MARIEL, CU</t>
  </si>
  <si>
    <t>MARSEILLE, FR</t>
  </si>
  <si>
    <t>MASSAWA, ER</t>
  </si>
  <si>
    <t>MATADI, CD</t>
  </si>
  <si>
    <t>MATARANI, PE</t>
  </si>
  <si>
    <t>MATSUYAMA, JP</t>
  </si>
  <si>
    <t>MAWEI, FUZHOU, CN</t>
  </si>
  <si>
    <t>MELBOURNE, AU</t>
  </si>
  <si>
    <t>MERCA, SO</t>
  </si>
  <si>
    <t>MERSIN, TR</t>
  </si>
  <si>
    <t>MIAMI, US</t>
  </si>
  <si>
    <t>MINNEAPOLIS, US</t>
  </si>
  <si>
    <t>MIRI, MY</t>
  </si>
  <si>
    <t>MIZUSHIMA, JP</t>
  </si>
  <si>
    <t>MOGADISHU, SO</t>
  </si>
  <si>
    <t>MOJI, JP</t>
  </si>
  <si>
    <t>MOKHA, YE</t>
  </si>
  <si>
    <t>MOMBASA, KE</t>
  </si>
  <si>
    <t>MONTEVIDEO, UY</t>
  </si>
  <si>
    <t>MONTREAL, CA</t>
  </si>
  <si>
    <t>NACALA, MZ</t>
  </si>
  <si>
    <t>NAGOYA, JP</t>
  </si>
  <si>
    <t>NAHA OKINAWA, JP</t>
  </si>
  <si>
    <t>NANCHANG, CN</t>
  </si>
  <si>
    <t>NANJING, CN</t>
  </si>
  <si>
    <t>NANSHA NEW PORT, CN</t>
  </si>
  <si>
    <t>NANTONG, CN</t>
  </si>
  <si>
    <t>NAPIER, NZ</t>
  </si>
  <si>
    <t>NAPLES, IT</t>
  </si>
  <si>
    <t>NASHTOON, YE</t>
  </si>
  <si>
    <t>NAVEGANTES, BR</t>
  </si>
  <si>
    <t>NEW ORLEANS, US</t>
  </si>
  <si>
    <t>NEW YORK, NY</t>
  </si>
  <si>
    <t>NEWCASTLE, AU</t>
  </si>
  <si>
    <t>NINGBO, CN</t>
  </si>
  <si>
    <t>NORFOLK, US</t>
  </si>
  <si>
    <t>NOVOROSSISYK, RU</t>
  </si>
  <si>
    <t>NUEVA PALMIRA, UY</t>
  </si>
  <si>
    <t>OAKLAND, CA</t>
  </si>
  <si>
    <t>ONNE, NG</t>
  </si>
  <si>
    <t>ORAN, DZ</t>
  </si>
  <si>
    <t>OSAKA, JP</t>
  </si>
  <si>
    <t>PAITA, PE</t>
  </si>
  <si>
    <t>PALEMBANG, ID</t>
  </si>
  <si>
    <t>PANJANG, ID</t>
  </si>
  <si>
    <t>PARANAGUA, BR</t>
  </si>
  <si>
    <t>PASIR GUDANG, MY</t>
  </si>
  <si>
    <t>PECEM, BR</t>
  </si>
  <si>
    <t>PENANG, MY</t>
  </si>
  <si>
    <t>PHILADELPHIA, US</t>
  </si>
  <si>
    <t>PHNOM PENH, KH</t>
  </si>
  <si>
    <t>PIRAEUS, GR</t>
  </si>
  <si>
    <t>POINTE-NOIRE, CG</t>
  </si>
  <si>
    <t>PONTIANAK, ID</t>
  </si>
  <si>
    <t>PORT ELIZABETH, ZA</t>
  </si>
  <si>
    <t>PORT EVERGLADES, FL</t>
  </si>
  <si>
    <t>PORT HARCOURT, NG</t>
  </si>
  <si>
    <t>PORT HEDLAND, AU</t>
  </si>
  <si>
    <t>PORT KLANG, MY</t>
  </si>
  <si>
    <t>PORT LOUIS, MU</t>
  </si>
  <si>
    <t>PORT OF BELIZE CITY, BZ</t>
  </si>
  <si>
    <t>PORT SAID, EG</t>
  </si>
  <si>
    <t>PORT SUDAN, SD</t>
  </si>
  <si>
    <t>PRINCE RUPERT, CA</t>
  </si>
  <si>
    <t>PSA, DONGGUAN, CN</t>
  </si>
  <si>
    <t>PUERTO BELGRANO, AR</t>
  </si>
  <si>
    <t>PUERTO BOLIVAR, EC</t>
  </si>
  <si>
    <t>PUERTO CABELLO, VE</t>
  </si>
  <si>
    <t>PUERTO CALDERA, CR</t>
  </si>
  <si>
    <t>PUERTO CORTES, HN</t>
  </si>
  <si>
    <t>PUERTO LIMON, CR</t>
  </si>
  <si>
    <t>PUERTO QUETZAL, GT</t>
  </si>
  <si>
    <t>PUSAN, KR</t>
  </si>
  <si>
    <t>QINGDAO, CN</t>
  </si>
  <si>
    <t>QINGYUAN, CN</t>
  </si>
  <si>
    <t>QINZHOU, CN</t>
  </si>
  <si>
    <t>QUY NHON, VN</t>
  </si>
  <si>
    <t>RADES, TN</t>
  </si>
  <si>
    <t>RAS ISA, YE</t>
  </si>
  <si>
    <t>RAVENNA, IT</t>
  </si>
  <si>
    <t>RICHARDS BAY, ZA</t>
  </si>
  <si>
    <t>RIGA, LV</t>
  </si>
  <si>
    <t>RIO DE JANEIRO, BR</t>
  </si>
  <si>
    <t>RIYADH, SA</t>
  </si>
  <si>
    <t>ROSARIO, AR</t>
  </si>
  <si>
    <t>ROTTERDAM, NL</t>
  </si>
  <si>
    <t>SALALAH, OM</t>
  </si>
  <si>
    <t>SALEEF, YE</t>
  </si>
  <si>
    <t>SALONIKA, GR</t>
  </si>
  <si>
    <t xml:space="preserve">SALT LAKE CITY, UT 84104 </t>
  </si>
  <si>
    <t>SAN ANTONIO, CL</t>
  </si>
  <si>
    <t>SAN JUAN, PR</t>
  </si>
  <si>
    <t>SAN PEDRO, CI</t>
  </si>
  <si>
    <t>SANDAKAN, MY</t>
  </si>
  <si>
    <t>SANSHAN, CN</t>
  </si>
  <si>
    <t>SANSHUI NEW PORT, CN</t>
  </si>
  <si>
    <t>SANTOS, BR</t>
  </si>
  <si>
    <t>SAVANNAH, GA</t>
  </si>
  <si>
    <t>SEATTLE, WA</t>
  </si>
  <si>
    <t>SEMARANG, ID</t>
  </si>
  <si>
    <t>SENDAI, MIYAGI, JP</t>
  </si>
  <si>
    <t>SFAX, TN</t>
  </si>
  <si>
    <t>SHANGHAI, CN</t>
  </si>
  <si>
    <t>SHANTOU, CN</t>
  </si>
  <si>
    <t>SHARJAH, AE</t>
  </si>
  <si>
    <t>SHATIAN, CN</t>
  </si>
  <si>
    <t>SHEKOU, SHENZHEN, CN</t>
  </si>
  <si>
    <t>SHENZHEN, CN</t>
  </si>
  <si>
    <t>SHIMIZU, JP</t>
  </si>
  <si>
    <t>SHUAIBA, KW</t>
  </si>
  <si>
    <t>SHUNDE LELIU WHARF, CN</t>
  </si>
  <si>
    <t>SHUNDE NEW PORT, CN</t>
  </si>
  <si>
    <t>SI HUI (MA FANG), CN</t>
  </si>
  <si>
    <t>SIBU, MY</t>
  </si>
  <si>
    <t>SIHANOUKVILLE, KH</t>
  </si>
  <si>
    <t>SINES, PT</t>
  </si>
  <si>
    <t>SINGAPORE, SG</t>
  </si>
  <si>
    <t>SOCOTRA, YE</t>
  </si>
  <si>
    <t>SOHAR, OM</t>
  </si>
  <si>
    <t>SOUTHAMPTON, GB</t>
  </si>
  <si>
    <t>ST. PETERSBURG, RU</t>
  </si>
  <si>
    <t>SUAPE, BR</t>
  </si>
  <si>
    <t>SUBIC BAY, PH</t>
  </si>
  <si>
    <t>SURABAYA, ID</t>
  </si>
  <si>
    <t>SYDNEY, AU</t>
  </si>
  <si>
    <t>TAICANG, CN</t>
  </si>
  <si>
    <t>TAICHUNG, TW</t>
  </si>
  <si>
    <t>TAIPEI, TW</t>
  </si>
  <si>
    <t>TAKORADI, GH</t>
  </si>
  <si>
    <t>TAMPICO, MX</t>
  </si>
  <si>
    <t>TANGER MED, MA</t>
  </si>
  <si>
    <t>TANJUNG PELEPAS, MY</t>
  </si>
  <si>
    <t>TAOYUAN, TW</t>
  </si>
  <si>
    <t>TAURANGA, NZ</t>
  </si>
  <si>
    <t>TAWAO, MY</t>
  </si>
  <si>
    <t>THESSALONIKI, GR</t>
  </si>
  <si>
    <t>TIANJIN, CN</t>
  </si>
  <si>
    <t>TIANJIN, XINGANG, CN</t>
  </si>
  <si>
    <t>TITUSVILLE, FL</t>
  </si>
  <si>
    <t>TOAMASINA, MG</t>
  </si>
  <si>
    <t>TOKUYAMA, JP</t>
  </si>
  <si>
    <t>TOKYO, JP</t>
  </si>
  <si>
    <t>TORONTO, ON</t>
  </si>
  <si>
    <t xml:space="preserve">TORONTON, ON </t>
  </si>
  <si>
    <t>TRIESTE, IT</t>
  </si>
  <si>
    <t>ULSAN, KR</t>
  </si>
  <si>
    <t>UMM QASR, IQ</t>
  </si>
  <si>
    <t>VALENCIA, ES</t>
  </si>
  <si>
    <t>VALPARAISO, CL</t>
  </si>
  <si>
    <t>VANCOUVER, CA</t>
  </si>
  <si>
    <t>VERACRUZ, MX</t>
  </si>
  <si>
    <t>VIENNA, AT</t>
  </si>
  <si>
    <t>VIGO, ES</t>
  </si>
  <si>
    <t>VILA DO CONDE, BR</t>
  </si>
  <si>
    <t>VLADIVOSTOK, RU</t>
  </si>
  <si>
    <t>VUNG TAU, VN</t>
  </si>
  <si>
    <t>WALVIS BAY, NA</t>
  </si>
  <si>
    <t>WELLINGTON, NZ</t>
  </si>
  <si>
    <t>WENZHOU, CN</t>
  </si>
  <si>
    <t>WILMINGTON, IL 60481</t>
  </si>
  <si>
    <t xml:space="preserve">WIXOM, MI - 48393 </t>
  </si>
  <si>
    <t>WU ZHOU, CN</t>
  </si>
  <si>
    <t>WUHAN, CN</t>
  </si>
  <si>
    <t>WUHU, CN</t>
  </si>
  <si>
    <t>XIAMEN, CN</t>
  </si>
  <si>
    <t>XIAOLAN, CN</t>
  </si>
  <si>
    <t>XINHUI, CN</t>
  </si>
  <si>
    <t>YANBU, SA</t>
  </si>
  <si>
    <t>YANG ZHOU, CN</t>
  </si>
  <si>
    <t>YANGON, MM</t>
  </si>
  <si>
    <t>YANGPU PT, CN</t>
  </si>
  <si>
    <t>YANTIAN, CN</t>
  </si>
  <si>
    <t>YICHANG, CN</t>
  </si>
  <si>
    <t>YOKKAICHI, JP</t>
  </si>
  <si>
    <t>YOKOHAMA, JP</t>
  </si>
  <si>
    <t>YUEYANG, CN</t>
  </si>
  <si>
    <t>ZANZIBAR, TZ</t>
  </si>
  <si>
    <t>ZHANGJIAGANG, CN</t>
  </si>
  <si>
    <t>ZHANJIANG, CN</t>
  </si>
  <si>
    <t>ZHAOQING, CN</t>
  </si>
  <si>
    <t>ZHAPU, CN</t>
  </si>
  <si>
    <t>ZHONGSHAN, CN</t>
  </si>
  <si>
    <t>HAZIRA, IN</t>
  </si>
  <si>
    <t>40 GP</t>
  </si>
  <si>
    <t>DATE</t>
  </si>
  <si>
    <t>CARGO STATUS</t>
  </si>
  <si>
    <t>DOCS STATUS</t>
  </si>
  <si>
    <t>INCOTERM</t>
  </si>
  <si>
    <t>USER</t>
  </si>
  <si>
    <t>EMAIL - CC</t>
  </si>
  <si>
    <t>DOCS RECEIVED</t>
  </si>
  <si>
    <t>EXW</t>
  </si>
  <si>
    <t>REQUEST</t>
  </si>
  <si>
    <t>RATES RECEIVED</t>
  </si>
  <si>
    <t>CHECKLIST PENDING</t>
  </si>
  <si>
    <t>AHMEDABAD, IN</t>
  </si>
  <si>
    <t>SUBHASH ROY</t>
  </si>
  <si>
    <t>ops@gatewayexim.com;rajan@gatewayexim.com;docs1@gatewayexim.com</t>
  </si>
  <si>
    <t>RATES QUOTED</t>
  </si>
  <si>
    <t>CHECKLIST SHARED</t>
  </si>
  <si>
    <t>HYDERABAD, IN</t>
  </si>
  <si>
    <t>CFR</t>
  </si>
  <si>
    <t>KUNJ PATEL</t>
  </si>
  <si>
    <t>INQUERY</t>
  </si>
  <si>
    <t>CHECKLIST CORRECTION</t>
  </si>
  <si>
    <t>FOB</t>
  </si>
  <si>
    <t>RAJAN JOSHI</t>
  </si>
  <si>
    <t xml:space="preserve">SEA </t>
  </si>
  <si>
    <t>LOST</t>
  </si>
  <si>
    <t>CHECKLIST APPROVED</t>
  </si>
  <si>
    <t>EVER GREEN</t>
  </si>
  <si>
    <t>DAP</t>
  </si>
  <si>
    <t>DHARMESH V.</t>
  </si>
  <si>
    <t>NO SERVICE</t>
  </si>
  <si>
    <t>LEO RECEIVED</t>
  </si>
  <si>
    <t>20 TK</t>
  </si>
  <si>
    <t>WAN HAI</t>
  </si>
  <si>
    <t>DDU</t>
  </si>
  <si>
    <t>HIGH RATES</t>
  </si>
  <si>
    <t>SI SUBMITED</t>
  </si>
  <si>
    <t>ANKLESWAR, IN</t>
  </si>
  <si>
    <t>20 RF</t>
  </si>
  <si>
    <t>UNI FEEDER</t>
  </si>
  <si>
    <t>DRAFT SHARED</t>
  </si>
  <si>
    <t>VADODRA, IN</t>
  </si>
  <si>
    <t>40 RF</t>
  </si>
  <si>
    <t>SAMSARA</t>
  </si>
  <si>
    <t>docs1@gatewayexim.com;rajan@gatewayexim.com;dharmesh@gatewayexim.com</t>
  </si>
  <si>
    <t>BOOKING PLACED</t>
  </si>
  <si>
    <t>BL CORRECTION</t>
  </si>
  <si>
    <t>PIPAVAV, IN</t>
  </si>
  <si>
    <t>20 OT</t>
  </si>
  <si>
    <t>ESL</t>
  </si>
  <si>
    <t>BOOKING RECEIVED</t>
  </si>
  <si>
    <t>BL APPROVED</t>
  </si>
  <si>
    <t>CHENNAI, IN</t>
  </si>
  <si>
    <t>40 OT</t>
  </si>
  <si>
    <t>AIYER</t>
  </si>
  <si>
    <t>BOOKING SENT</t>
  </si>
  <si>
    <t>SELL GIVEN</t>
  </si>
  <si>
    <t>JAIPUR, IN</t>
  </si>
  <si>
    <t>SCI</t>
  </si>
  <si>
    <t>cs@gatewayexim.com;rajan@gatewayexim.com;</t>
  </si>
  <si>
    <t>CARGO PICKED</t>
  </si>
  <si>
    <t>INVOICE PENDING</t>
  </si>
  <si>
    <t>WIN WIN</t>
  </si>
  <si>
    <t>PERFORMA INVOICE SENT</t>
  </si>
  <si>
    <t>SEA BRIDGE</t>
  </si>
  <si>
    <t>ALGECIRAS, ES.</t>
  </si>
  <si>
    <t>AT CFS</t>
  </si>
  <si>
    <t>INVOICE APPROVED</t>
  </si>
  <si>
    <t>SEA HORSE</t>
  </si>
  <si>
    <t>UNDER CLEARANCE</t>
  </si>
  <si>
    <t>TAX INVOICE SEND</t>
  </si>
  <si>
    <t>ECON</t>
  </si>
  <si>
    <t>CONTAINER GATEIN</t>
  </si>
  <si>
    <t>BY ROAD MOVEMENT</t>
  </si>
  <si>
    <t>PIL</t>
  </si>
  <si>
    <t>BY RAIL MOVEMENT</t>
  </si>
  <si>
    <t>OOCL</t>
  </si>
  <si>
    <t>SOB DONE</t>
  </si>
  <si>
    <t>SINOKOR</t>
  </si>
  <si>
    <t>COMPLETED</t>
  </si>
  <si>
    <t>PLANNING</t>
  </si>
  <si>
    <t>SAMUDERA</t>
  </si>
  <si>
    <t>ANL</t>
  </si>
  <si>
    <t>GOOD RICH</t>
  </si>
  <si>
    <t>SEA LEAD</t>
  </si>
  <si>
    <t>INTER ASIA</t>
  </si>
  <si>
    <t>BALTIMORE, US</t>
  </si>
  <si>
    <t>SIMA MARINE</t>
  </si>
  <si>
    <t>RCL</t>
  </si>
  <si>
    <t>YML</t>
  </si>
  <si>
    <t>T S LINE</t>
  </si>
  <si>
    <t>BEN LINE</t>
  </si>
  <si>
    <t>ZIM</t>
  </si>
  <si>
    <t>FESCO</t>
  </si>
  <si>
    <t>Z LINE</t>
  </si>
  <si>
    <t>SEMA MARINE</t>
  </si>
  <si>
    <t>QNL / MILAHA</t>
  </si>
  <si>
    <t>GIGA</t>
  </si>
  <si>
    <t>GOLD</t>
  </si>
  <si>
    <t>DGR</t>
  </si>
  <si>
    <t>NVOCC</t>
  </si>
  <si>
    <t>ALADIN EXP</t>
  </si>
  <si>
    <t>SEAPOL</t>
  </si>
  <si>
    <t>CHARLESTON, SC, US</t>
  </si>
  <si>
    <t>CHARLESTON, US</t>
  </si>
  <si>
    <t>CHICAGO, US</t>
  </si>
  <si>
    <t>CHICAGO, US.</t>
  </si>
  <si>
    <t>HOUSTON, TX, US</t>
  </si>
  <si>
    <t>HOUSTON, TX, US.</t>
  </si>
  <si>
    <t>HOUSTON, US</t>
  </si>
  <si>
    <t>LONG BEACH, US</t>
  </si>
  <si>
    <t>LOS ANGELES, US</t>
  </si>
  <si>
    <t>NEW YORK, US</t>
  </si>
  <si>
    <t>NORFOLK, OR, US</t>
  </si>
  <si>
    <t>OAKLAND, US</t>
  </si>
  <si>
    <t>PORT EVERGLADES, FL, US</t>
  </si>
  <si>
    <t>PORT EVERGLADES, FL, US.</t>
  </si>
  <si>
    <t>PORT EVERGLADES, FL.</t>
  </si>
  <si>
    <t>PORT EVERGLADES, US</t>
  </si>
  <si>
    <t>ROTTERDAM, NL.</t>
  </si>
  <si>
    <t>SAVANNAH, GA, US</t>
  </si>
  <si>
    <t>SAVANNAH, US</t>
  </si>
  <si>
    <t>SEATTLE, US</t>
  </si>
  <si>
    <t>SOUTHAMPTON, GB.</t>
  </si>
  <si>
    <t>TACOMA, US</t>
  </si>
  <si>
    <t>TANGER MED, MA.</t>
  </si>
  <si>
    <t>TANGIER MED, MA</t>
  </si>
  <si>
    <t>QUOTE NO.</t>
  </si>
  <si>
    <t>LINER</t>
  </si>
  <si>
    <t>OBL</t>
  </si>
  <si>
    <t>SEA WAY</t>
  </si>
  <si>
    <t>AMS / OTHER</t>
  </si>
  <si>
    <t>INVETORY</t>
  </si>
  <si>
    <t>OTHER LOCALS</t>
  </si>
  <si>
    <t>RR240825-1942</t>
  </si>
  <si>
    <t>$10</t>
  </si>
  <si>
    <t>$38</t>
  </si>
  <si>
    <t>$35</t>
  </si>
  <si>
    <t>A9</t>
  </si>
  <si>
    <t>$33</t>
  </si>
  <si>
    <t>A10</t>
  </si>
  <si>
    <t>RQ211125-1200</t>
  </si>
  <si>
    <t>A13</t>
  </si>
  <si>
    <t>$9</t>
  </si>
  <si>
    <t>$30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</si>
  <si>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</si>
  <si>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</si>
  <si>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</si>
  <si>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</si>
  <si>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</si>
  <si>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</si>
  <si>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</si>
  <si>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</si>
  <si>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</si>
  <si>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</si>
  <si>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</si>
  <si>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</si>
  <si>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$8</t>
  </si>
  <si>
    <t>A26</t>
  </si>
  <si>
    <t>A27</t>
  </si>
  <si>
    <t>A28</t>
  </si>
  <si>
    <t>A29</t>
  </si>
  <si>
    <t>A30</t>
  </si>
  <si>
    <t>A31</t>
  </si>
  <si>
    <t>A32</t>
  </si>
  <si>
    <t>$14</t>
  </si>
  <si>
    <t>A33</t>
  </si>
  <si>
    <t>$15</t>
  </si>
  <si>
    <t>A34</t>
  </si>
  <si>
    <t>A36</t>
  </si>
  <si>
    <t>A37</t>
  </si>
  <si>
    <t>A38</t>
  </si>
  <si>
    <t>A39</t>
  </si>
  <si>
    <t>$11</t>
  </si>
  <si>
    <t>A40</t>
  </si>
  <si>
    <t>$40</t>
  </si>
  <si>
    <t>A42</t>
  </si>
  <si>
    <t>A43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</si>
  <si>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</si>
  <si>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</si>
  <si>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</si>
  <si>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</si>
  <si>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</si>
  <si>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</si>
  <si>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</si>
  <si>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</si>
  <si>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</si>
  <si>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</si>
  <si>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</si>
  <si>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</si>
  <si>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</si>
  <si>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</si>
  <si>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</si>
  <si>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</si>
  <si>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A62</t>
  </si>
  <si>
    <t>RQ210825-1057</t>
  </si>
  <si>
    <t>$5</t>
  </si>
  <si>
    <t xml:space="preserve">SERVICE NAME </t>
  </si>
  <si>
    <t>SR</t>
  </si>
  <si>
    <t>INDUS EXP.</t>
  </si>
  <si>
    <t>TT</t>
  </si>
  <si>
    <t>INDUSA</t>
  </si>
  <si>
    <t>MECL-1</t>
  </si>
  <si>
    <t>INDAMEX</t>
  </si>
  <si>
    <t>WIN / IAX EPIC-3</t>
  </si>
  <si>
    <t>IOS / ME1</t>
  </si>
  <si>
    <t>ME2</t>
  </si>
  <si>
    <t>MEDEX</t>
  </si>
  <si>
    <t>IOX (INDIAN OCEAN EXP.)</t>
  </si>
  <si>
    <t>EPIC-3</t>
  </si>
  <si>
    <t>IPAK5</t>
  </si>
  <si>
    <t>HIMALAYA EXP</t>
  </si>
  <si>
    <t>BLUE NILE EXP.</t>
  </si>
  <si>
    <t>ILANGA EXP.</t>
  </si>
  <si>
    <t>AGI2</t>
  </si>
  <si>
    <t>ASX</t>
  </si>
  <si>
    <t>BIGX</t>
  </si>
  <si>
    <t>TT175</t>
  </si>
  <si>
    <t>UPPER GULF EXP</t>
  </si>
  <si>
    <t>AN-IDEA UPPER</t>
  </si>
  <si>
    <t>SWAX</t>
  </si>
  <si>
    <t>MWE</t>
  </si>
  <si>
    <t>MIAX / AIM</t>
  </si>
  <si>
    <t>MIDAS (LOOP-2)</t>
  </si>
  <si>
    <t>MESAWA / (LOOP-1)</t>
  </si>
  <si>
    <t>NIX / FIVE / CIX3</t>
  </si>
  <si>
    <t>WCC</t>
  </si>
  <si>
    <t>MALABAR EXP.</t>
  </si>
  <si>
    <t>AS-1</t>
  </si>
  <si>
    <t>IX/2 / CISC/ NCI</t>
  </si>
  <si>
    <t>IMR</t>
  </si>
  <si>
    <t>AIM</t>
  </si>
  <si>
    <t>CWX</t>
  </si>
  <si>
    <t>CIX-4 / RWA</t>
  </si>
  <si>
    <t>CSC</t>
  </si>
  <si>
    <t>AGI22</t>
  </si>
  <si>
    <t>AIS</t>
  </si>
  <si>
    <t>AIS-3 / CIX-3</t>
  </si>
  <si>
    <t>ASX3</t>
  </si>
  <si>
    <t>BLUE NILE</t>
  </si>
  <si>
    <t>CI-1</t>
  </si>
  <si>
    <t>CI-2</t>
  </si>
  <si>
    <t>CIX-3</t>
  </si>
  <si>
    <t>DRAGON</t>
  </si>
  <si>
    <t>FIM (WEST BOND)</t>
  </si>
  <si>
    <t>FM-3 / NWX</t>
  </si>
  <si>
    <t>HLS / TIP</t>
  </si>
  <si>
    <t>IRS</t>
  </si>
  <si>
    <t>MGX-2 / FEX-2</t>
  </si>
  <si>
    <t>MW2</t>
  </si>
  <si>
    <t>NDX</t>
  </si>
  <si>
    <t>NEW IIX SERVICE</t>
  </si>
  <si>
    <t>PS3</t>
  </si>
  <si>
    <t>RGI/IM1</t>
  </si>
  <si>
    <t>SAUDI EXP.</t>
  </si>
  <si>
    <t>SCIX</t>
  </si>
  <si>
    <t>SIG</t>
  </si>
  <si>
    <t>SIS/CI-6</t>
  </si>
  <si>
    <t>UIG</t>
  </si>
  <si>
    <t xml:space="preserve">OTHER </t>
  </si>
  <si>
    <t>POD SERVICE</t>
  </si>
  <si>
    <t>USA1</t>
  </si>
  <si>
    <t>USA2</t>
  </si>
  <si>
    <t>USA3</t>
  </si>
  <si>
    <t>USA4</t>
  </si>
  <si>
    <t>USA5</t>
  </si>
  <si>
    <t>USA6</t>
  </si>
  <si>
    <t>EUROPE1</t>
  </si>
  <si>
    <t>EUROPE2</t>
  </si>
  <si>
    <t>EUROPE3</t>
  </si>
  <si>
    <t>EUROPE8</t>
  </si>
  <si>
    <t>EUROPE4</t>
  </si>
  <si>
    <t>EUROPE5</t>
  </si>
  <si>
    <t>EUROPE6</t>
  </si>
  <si>
    <t>EUROPE7</t>
  </si>
  <si>
    <t>MIDDLE EAST-1</t>
  </si>
  <si>
    <t>MIDDLE EAST-2</t>
  </si>
  <si>
    <t>MIDDLE EAST-3</t>
  </si>
  <si>
    <t>MIDDLE EAST-4</t>
  </si>
  <si>
    <t>MIDDLE EAST-5</t>
  </si>
  <si>
    <t>MIDDLE EAST-6</t>
  </si>
  <si>
    <t>MIDDLE EAST-7</t>
  </si>
  <si>
    <t xml:space="preserve">EAST AFRICA </t>
  </si>
  <si>
    <t>WEST AFRICA</t>
  </si>
  <si>
    <t>SOUTH AFRICA</t>
  </si>
  <si>
    <t>WEST ARICA</t>
  </si>
  <si>
    <t>CHINA</t>
  </si>
  <si>
    <t>INDIA</t>
  </si>
  <si>
    <t>FAR EAST</t>
  </si>
  <si>
    <t>SALES PERSON</t>
  </si>
  <si>
    <t>JAYDEEP &amp; JYOTEE</t>
  </si>
  <si>
    <t>VIZHINJAM, IN</t>
  </si>
  <si>
    <t>MOBILE NO</t>
  </si>
  <si>
    <t>PODS</t>
  </si>
  <si>
    <t>SALAH, OM</t>
  </si>
  <si>
    <t>BIN QASIM, PK</t>
  </si>
  <si>
    <t>PORT QASIM, PK</t>
  </si>
  <si>
    <t>POINTE NOIRE, CG</t>
  </si>
  <si>
    <t>COCHIN, IN</t>
  </si>
  <si>
    <t>EMAIL ID</t>
  </si>
  <si>
    <t>FREEPORT, BS</t>
  </si>
  <si>
    <t>NEWARK, NJ</t>
  </si>
  <si>
    <t>TANGER MED</t>
  </si>
  <si>
    <t>TANGIER, MA</t>
  </si>
  <si>
    <t>TANGER, MA</t>
  </si>
  <si>
    <t>AD DAMMAM, SA</t>
  </si>
  <si>
    <t>KHALIFA, AE</t>
  </si>
  <si>
    <t>KHALIFA PORT, ABU DHABI</t>
  </si>
  <si>
    <t>TEMA, GH</t>
  </si>
  <si>
    <t>TUTICORIN, IN</t>
  </si>
  <si>
    <t>LATER</t>
  </si>
  <si>
    <t>DUBLICATE</t>
  </si>
  <si>
    <t>NORFOLK, VA</t>
  </si>
  <si>
    <t>SOUTHAMPTON , GB</t>
  </si>
  <si>
    <t>TEKIDAG, TK</t>
  </si>
  <si>
    <t>APAPA/LAGOS, NG</t>
  </si>
  <si>
    <t>MANGALORE, IN</t>
  </si>
  <si>
    <t>PORT KALANG, MY</t>
  </si>
  <si>
    <t>LINER WEBSITE</t>
  </si>
  <si>
    <t>WWW.MSC.COM</t>
  </si>
  <si>
    <t>SAVANAH, GA</t>
  </si>
  <si>
    <t>JACKSONVILLE, US</t>
  </si>
  <si>
    <t>UMM QASAR, IR</t>
  </si>
  <si>
    <t>DA CHAN BAY, CN</t>
  </si>
  <si>
    <t>SINGAPORE</t>
  </si>
  <si>
    <t>MALTA(FREEPORT), MT</t>
  </si>
  <si>
    <t>LA SPEZIA, IT</t>
  </si>
  <si>
    <t>KING ABDULLAH PORT, SA</t>
  </si>
  <si>
    <t>TINCAN, NG</t>
  </si>
  <si>
    <t>COEGA, ZA</t>
  </si>
  <si>
    <t>MOBILE, AL</t>
  </si>
  <si>
    <t>APAPA, NG</t>
  </si>
  <si>
    <t>SHEKOU, CN</t>
  </si>
  <si>
    <t>DUNKERQU, FR</t>
  </si>
  <si>
    <t>JUBAIL, SA</t>
  </si>
  <si>
    <t>KAOHSIUNG. TH</t>
  </si>
  <si>
    <t>MALAGA, ES</t>
  </si>
  <si>
    <t xml:space="preserve">CARRIER NAME </t>
  </si>
  <si>
    <t>XPRESS FEEDER</t>
  </si>
  <si>
    <t>ASYAD</t>
  </si>
  <si>
    <t>TS. LINE</t>
  </si>
  <si>
    <t>S</t>
  </si>
  <si>
    <t>EVERGREEN</t>
  </si>
  <si>
    <t>TRANSWORLD</t>
  </si>
  <si>
    <t>VASCO / GOOD RICH</t>
  </si>
  <si>
    <t>SEALEAD</t>
  </si>
  <si>
    <t>VASCO</t>
  </si>
  <si>
    <t>XPRESS FEEDERS</t>
  </si>
  <si>
    <t>TS LINE</t>
  </si>
  <si>
    <t>SUEZ CANAL</t>
  </si>
  <si>
    <t>CU</t>
  </si>
  <si>
    <t>WELGROW</t>
  </si>
  <si>
    <t>Santosh Mishra</t>
  </si>
  <si>
    <t>Hiteshkumar Patel</t>
  </si>
  <si>
    <t>022 66588500/501</t>
  </si>
  <si>
    <t>7200098512 / 9099036681</t>
  </si>
  <si>
    <t>santosh.mishra@inmum.pilship.com</t>
  </si>
  <si>
    <t>hiteshkumarpatel.k@inbrc.pilship.com</t>
  </si>
  <si>
    <t>https://www1.pilship.com/</t>
  </si>
  <si>
    <t>TRANS VISION</t>
  </si>
  <si>
    <t>SOHAIL</t>
  </si>
  <si>
    <t>MAXICON</t>
  </si>
  <si>
    <t xml:space="preserve">TOTAL COST - UPTO CHICAGO IL PORT ONLY </t>
  </si>
  <si>
    <t xml:space="preserve">14 DAYS FREE DETENTION AT CHICAGO IL AFTER THAT USD </t>
  </si>
  <si>
    <t xml:space="preserve">FROM - EX-NHAVASHEVA TO CHICAGO IL, TK -  NON HAZ CARGO </t>
  </si>
  <si>
    <t>RADIANT</t>
  </si>
  <si>
    <r>
      <t xml:space="preserve">LIVER POOL PORT TO FACTORY - </t>
    </r>
    <r>
      <rPr>
        <b/>
        <i/>
        <sz val="10"/>
        <color rgb="FFFF0000"/>
        <rFont val="Aptos"/>
        <family val="2"/>
      </rPr>
      <t>TO BE ARRANGED BY CUSTOMER</t>
    </r>
  </si>
  <si>
    <r>
      <t xml:space="preserve">LIVER POOL LOCAL CHARGES - </t>
    </r>
    <r>
      <rPr>
        <b/>
        <i/>
        <sz val="10"/>
        <color rgb="FFFF0000"/>
        <rFont val="Aptos"/>
        <family val="2"/>
      </rPr>
      <t>TO BE BORNE BY CUSTOMER</t>
    </r>
  </si>
  <si>
    <r>
      <t xml:space="preserve">LIVER POOL SHIPPING LINE LOCAL CHARGES - </t>
    </r>
    <r>
      <rPr>
        <b/>
        <i/>
        <sz val="10"/>
        <color rgb="FFFF0000"/>
        <rFont val="Aptos"/>
        <family val="2"/>
      </rPr>
      <t>TO BE BORNE BY CUSTOMER</t>
    </r>
  </si>
  <si>
    <r>
      <t xml:space="preserve">LIVER POOL DEPOT CHARGES IF ANY - </t>
    </r>
    <r>
      <rPr>
        <b/>
        <i/>
        <sz val="10"/>
        <color rgb="FFFF0000"/>
        <rFont val="Aptos"/>
        <family val="2"/>
      </rPr>
      <t xml:space="preserve">TO BE BORNE BY CUSTOMER </t>
    </r>
  </si>
  <si>
    <t>20 GP &amp; 40 HC</t>
  </si>
  <si>
    <t>SEAFREIGHT FROM JNP TO CHICAGO IL  (FOR ISO TANK )-- $4,320*92</t>
  </si>
  <si>
    <t>HUB &amp; LINK</t>
  </si>
  <si>
    <t>RATES REQUESTED</t>
  </si>
  <si>
    <t>DELHI, IN</t>
  </si>
  <si>
    <t>PASS. MAX ALLOWED</t>
  </si>
  <si>
    <r>
      <t xml:space="preserve">METHYL SALICYLATE - </t>
    </r>
    <r>
      <rPr>
        <b/>
        <i/>
        <sz val="10"/>
        <color rgb="FFFF0000"/>
        <rFont val="Aptos"/>
        <family val="2"/>
      </rPr>
      <t>  NON HAZ CARGO</t>
    </r>
  </si>
  <si>
    <r>
      <t>SEAFREIGHT FROM JNP TO LIVER POOL (FOR ISO TANK )--</t>
    </r>
    <r>
      <rPr>
        <b/>
        <i/>
        <sz val="10"/>
        <color rgb="FFFF0000"/>
        <rFont val="Aptos"/>
        <family val="2"/>
      </rPr>
      <t xml:space="preserve"> $530 *89.5</t>
    </r>
  </si>
  <si>
    <r>
      <t>SEA FREIGHT - CIF $</t>
    </r>
    <r>
      <rPr>
        <b/>
        <i/>
        <sz val="10"/>
        <color rgb="FFEE0000"/>
        <rFont val="Aptos"/>
        <family val="2"/>
      </rPr>
      <t>160* 88.50</t>
    </r>
  </si>
  <si>
    <r>
      <t>SEAFREIGHT FROM JNP TO GEBZE  (FOR ISO TANK )--</t>
    </r>
    <r>
      <rPr>
        <b/>
        <i/>
        <sz val="9"/>
        <color rgb="FFFF0000"/>
        <rFont val="Aptos"/>
        <family val="2"/>
      </rPr>
      <t xml:space="preserve"> $3,550 *90</t>
    </r>
  </si>
  <si>
    <t xml:space="preserve"> CONSOLE-STUFFING,CFS, FORKLIFT,,LABOUR</t>
  </si>
  <si>
    <t>RQ271225-1131</t>
  </si>
  <si>
    <t>3</t>
  </si>
  <si>
    <t>LOCAL CHARGES</t>
  </si>
  <si>
    <t>4</t>
  </si>
  <si>
    <t>ASHDOD, IL</t>
  </si>
  <si>
    <t>HAIFA, IL</t>
  </si>
  <si>
    <t>COMUNION, CO</t>
  </si>
  <si>
    <t>BATANGAS, PH</t>
  </si>
  <si>
    <t>CHIWAN, CN</t>
  </si>
  <si>
    <t>DOU MEN, CN</t>
  </si>
  <si>
    <t>GAOMING, CN</t>
  </si>
  <si>
    <t>GAOYAO, CN</t>
  </si>
  <si>
    <t>GAOLAN, CN</t>
  </si>
  <si>
    <t>HONGWAN, CN</t>
  </si>
  <si>
    <t>JIANGMEN, CN</t>
  </si>
  <si>
    <t>JIANGYIN, CN</t>
  </si>
  <si>
    <t>LIANHUA SHAN, CN</t>
  </si>
  <si>
    <t>MAWEI, CN</t>
  </si>
  <si>
    <t>NANSHA, CN</t>
  </si>
  <si>
    <t>PSA DONGGUAN, CN</t>
  </si>
  <si>
    <t>SANSHUI, CN</t>
  </si>
  <si>
    <t>SHUNDE LELIU, CN</t>
  </si>
  <si>
    <t>SI HUI, CN</t>
  </si>
  <si>
    <t>XINGANG, CN</t>
  </si>
  <si>
    <t>YANGZHOU, CN</t>
  </si>
  <si>
    <t>YANGPU, CN</t>
  </si>
  <si>
    <t>BUSAN, KR</t>
  </si>
  <si>
    <t>CAT LAI, VN</t>
  </si>
  <si>
    <t>HO CHI MINH, VN</t>
  </si>
  <si>
    <t>PHUOC LONG ICD, VN</t>
  </si>
  <si>
    <t>DAKAR, SN</t>
  </si>
  <si>
    <t>SENDAI, JP</t>
  </si>
  <si>
    <t>LAGOS, NG</t>
  </si>
  <si>
    <t>PORTLAND, US</t>
  </si>
  <si>
    <t>SAN DIEGO, US</t>
  </si>
  <si>
    <t>NEW JERSEY, US</t>
  </si>
  <si>
    <t>BOSTON, US</t>
  </si>
  <si>
    <t>GALVESTON, US</t>
  </si>
  <si>
    <t>FREEPORT, US</t>
  </si>
  <si>
    <t>MOBILE, US</t>
  </si>
  <si>
    <t>DALLAS, US</t>
  </si>
  <si>
    <t>MEMPHIS, US</t>
  </si>
  <si>
    <t>ATLANTA, US</t>
  </si>
  <si>
    <t>KANSAS CITY, US</t>
  </si>
  <si>
    <t>NOVOROSSIYSK, RU</t>
  </si>
  <si>
    <t>ST PETERSBURG, RU</t>
  </si>
  <si>
    <t>BELIZE CITY, BZ</t>
  </si>
  <si>
    <t>TORONTO, CA</t>
  </si>
  <si>
    <t>ESBJERG, DK</t>
  </si>
  <si>
    <t>AARHUS, DK</t>
  </si>
  <si>
    <t>OSLO, NO</t>
  </si>
  <si>
    <t>STAVANGER, NO</t>
  </si>
  <si>
    <t>LIVORNO, IT</t>
  </si>
  <si>
    <t>TARANTO, IT</t>
  </si>
  <si>
    <t>MALTA FREEPORT, MT</t>
  </si>
  <si>
    <t>IZMIT, TR</t>
  </si>
  <si>
    <t>TAMPA, US</t>
  </si>
  <si>
    <t>CHABAHAR, IR</t>
  </si>
  <si>
    <t>BUSHEHR, IR</t>
  </si>
  <si>
    <t>IVORY COAST</t>
  </si>
  <si>
    <t>EL SALVADOR</t>
  </si>
  <si>
    <t>GHANA</t>
  </si>
  <si>
    <t>AUSTRALIA</t>
  </si>
  <si>
    <t>YEMEN</t>
  </si>
  <si>
    <t>MOROCCO</t>
  </si>
  <si>
    <t>EGYPT</t>
  </si>
  <si>
    <t>SPAIN</t>
  </si>
  <si>
    <t>ALGERIA</t>
  </si>
  <si>
    <t>MEXICO</t>
  </si>
  <si>
    <t>BELGIUM</t>
  </si>
  <si>
    <t>CHILE</t>
  </si>
  <si>
    <t>ISRAEL</t>
  </si>
  <si>
    <t>NEW ZEALAND</t>
  </si>
  <si>
    <t>TANZANIA</t>
  </si>
  <si>
    <t>ARGENTINA</t>
  </si>
  <si>
    <t>BAHRAIN</t>
  </si>
  <si>
    <t>INDONESIA</t>
  </si>
  <si>
    <t>THAILAND</t>
  </si>
  <si>
    <t>COLOMBIA</t>
  </si>
  <si>
    <t>IRAQ</t>
  </si>
  <si>
    <t>PHILIPPINES</t>
  </si>
  <si>
    <t>UAE</t>
  </si>
  <si>
    <t>MOZAMBIQUE</t>
  </si>
  <si>
    <t>SOMALIA</t>
  </si>
  <si>
    <t>MALAYSIA</t>
  </si>
  <si>
    <t>TUNISIA</t>
  </si>
  <si>
    <t>GERMANY</t>
  </si>
  <si>
    <t>HUNGARY</t>
  </si>
  <si>
    <t>SOUTH KOREA</t>
  </si>
  <si>
    <t>VIETNAM</t>
  </si>
  <si>
    <t>PERU</t>
  </si>
  <si>
    <t>DOMINICAN REPUBLIC</t>
  </si>
  <si>
    <t>BANGLADESH</t>
  </si>
  <si>
    <t>SRI LANKA</t>
  </si>
  <si>
    <t>GUINEA</t>
  </si>
  <si>
    <t>ROMANIA</t>
  </si>
  <si>
    <t>NICARAGUA</t>
  </si>
  <si>
    <t>BENIN</t>
  </si>
  <si>
    <t>SENEGAL</t>
  </si>
  <si>
    <t>SAUDI ARABIA</t>
  </si>
  <si>
    <t>DJIBOUTI</t>
  </si>
  <si>
    <t>CAMEROON</t>
  </si>
  <si>
    <t>BRAZIL</t>
  </si>
  <si>
    <t>FRANCE</t>
  </si>
  <si>
    <t>JAPAN</t>
  </si>
  <si>
    <t>TURKEY</t>
  </si>
  <si>
    <t>POLAND</t>
  </si>
  <si>
    <t>ITALY</t>
  </si>
  <si>
    <t>SWEDEN</t>
  </si>
  <si>
    <t>ECUADOR</t>
  </si>
  <si>
    <t>CANADA</t>
  </si>
  <si>
    <t>QATAR</t>
  </si>
  <si>
    <t>CUBA</t>
  </si>
  <si>
    <t>FINLAND</t>
  </si>
  <si>
    <t>GREECE</t>
  </si>
  <si>
    <t>HONG KONG</t>
  </si>
  <si>
    <t>TAIWAN</t>
  </si>
  <si>
    <t>PAKISTAN</t>
  </si>
  <si>
    <t>JAMAICA</t>
  </si>
  <si>
    <t>LITHUANIA</t>
  </si>
  <si>
    <t>KUWAIT</t>
  </si>
  <si>
    <t>NIGERIA</t>
  </si>
  <si>
    <t>KENYA</t>
  </si>
  <si>
    <t>VENEZUELA</t>
  </si>
  <si>
    <t>GABON</t>
  </si>
  <si>
    <t>PORTUGAL</t>
  </si>
  <si>
    <t>ANGOLA</t>
  </si>
  <si>
    <t>TOGO</t>
  </si>
  <si>
    <t>ERITREA</t>
  </si>
  <si>
    <t>URUGUAY</t>
  </si>
  <si>
    <t>RUSSIA</t>
  </si>
  <si>
    <t>CAMBODIA</t>
  </si>
  <si>
    <t>MAURITIUS</t>
  </si>
  <si>
    <t>BELIZE</t>
  </si>
  <si>
    <t>SUDAN</t>
  </si>
  <si>
    <t>COSTA RICA</t>
  </si>
  <si>
    <t>HONDURAS</t>
  </si>
  <si>
    <t>GUATEMALA</t>
  </si>
  <si>
    <t>LATVIA</t>
  </si>
  <si>
    <t>NETHERLANDS</t>
  </si>
  <si>
    <t>OMAN</t>
  </si>
  <si>
    <t>MADAGASCAR</t>
  </si>
  <si>
    <t>AUSTRIA</t>
  </si>
  <si>
    <t>MYANMAR</t>
  </si>
  <si>
    <t>DENMARK</t>
  </si>
  <si>
    <t>NORWAY</t>
  </si>
  <si>
    <t>MALTA</t>
  </si>
  <si>
    <t>IRAN</t>
  </si>
  <si>
    <t>UK</t>
  </si>
  <si>
    <t>USA</t>
  </si>
  <si>
    <t>CONGO</t>
  </si>
  <si>
    <t>COUNTRY</t>
  </si>
  <si>
    <t>SEAWAY / SURRENDER</t>
  </si>
  <si>
    <t>MUARA, BN</t>
  </si>
  <si>
    <t>BRUNEI</t>
  </si>
  <si>
    <t>91940 Les Ulis, FRANCE</t>
  </si>
  <si>
    <t>MONACHEM</t>
  </si>
  <si>
    <t>COLUMBUS, OH</t>
  </si>
  <si>
    <t>ops@gatewayexim.com;cs@gatewayexim.com;rajan@gatewayexim.com;dharmesh@gatewayexim.com</t>
  </si>
  <si>
    <t xml:space="preserve">OW </t>
  </si>
  <si>
    <t xml:space="preserve"> COMMODITY</t>
  </si>
  <si>
    <t xml:space="preserve"> GROSS WEIGHT</t>
  </si>
  <si>
    <t>RQ2701-1023-1</t>
  </si>
  <si>
    <t>RQ2701-1023-2</t>
  </si>
  <si>
    <t>RQ2701-1024-1</t>
  </si>
  <si>
    <t>RQ2701-1024-2</t>
  </si>
  <si>
    <t>RQ2701-1024-3</t>
  </si>
  <si>
    <t>RQ2701-1024-4</t>
  </si>
  <si>
    <t>RQ2701-1024-5</t>
  </si>
  <si>
    <t>RQ2701-1024-6</t>
  </si>
  <si>
    <t>RQ2701-1025-1</t>
  </si>
  <si>
    <t>RQ270126-1026</t>
  </si>
  <si>
    <t>Reduction in weight by more than 15% would lead to  revision in ad Noc rates.</t>
  </si>
  <si>
    <t>TAMATAVE, MG</t>
  </si>
  <si>
    <t>LEIXOES, PT</t>
  </si>
  <si>
    <t>JOHANNESBURG, ZA</t>
  </si>
  <si>
    <t>KINGSBURY, US</t>
  </si>
  <si>
    <t>ON WHEEL</t>
  </si>
  <si>
    <t>EXP/01/2025-26</t>
  </si>
  <si>
    <t>EXP/03/2025-26</t>
  </si>
  <si>
    <t>EXP/04/2025-26</t>
  </si>
  <si>
    <t>INVOICE NO</t>
  </si>
  <si>
    <t>SB NO.</t>
  </si>
  <si>
    <t>SB. DATE</t>
  </si>
  <si>
    <t>DPWU 9003893</t>
  </si>
  <si>
    <t>PCIU 8901999</t>
  </si>
  <si>
    <t>ECNU 2013857</t>
  </si>
  <si>
    <t>CONTAINER NO</t>
  </si>
  <si>
    <t>GESU 2383310</t>
  </si>
  <si>
    <t>DASTAGIR</t>
  </si>
  <si>
    <t>TAJIZ</t>
  </si>
  <si>
    <t>SHIPPER</t>
  </si>
  <si>
    <t>SCROLL NO</t>
  </si>
  <si>
    <t>3.      Rates are Subject to space and inventory availability.</t>
  </si>
  <si>
    <t>80</t>
  </si>
  <si>
    <t>KANSAS CITY,  MO</t>
  </si>
  <si>
    <t>VALIDITY</t>
  </si>
  <si>
    <t>$2,255</t>
  </si>
  <si>
    <t>$2,465</t>
  </si>
  <si>
    <t>$3,860</t>
  </si>
  <si>
    <t>$2,295</t>
  </si>
  <si>
    <t>$2,695</t>
  </si>
  <si>
    <t>$4,095</t>
  </si>
  <si>
    <t>PORT OF SPAIN</t>
  </si>
  <si>
    <t>ITAPOA, BR</t>
  </si>
  <si>
    <t>TEMA</t>
  </si>
  <si>
    <t>ABIDJAN</t>
  </si>
  <si>
    <t>DAKAR</t>
  </si>
  <si>
    <t>VALID TILL</t>
  </si>
  <si>
    <t>iddi</t>
  </si>
  <si>
    <t>family</t>
  </si>
  <si>
    <t>Zakat</t>
  </si>
  <si>
    <t>MINIMUM ₹ 4000</t>
  </si>
  <si>
    <t xml:space="preserve">MILANO, ITALY </t>
  </si>
  <si>
    <t>TK</t>
  </si>
  <si>
    <t>Welding Electrodes</t>
  </si>
  <si>
    <t>BKG</t>
  </si>
  <si>
    <t>STUFFING</t>
  </si>
  <si>
    <t>CUT OFF</t>
  </si>
  <si>
    <t>ETD</t>
  </si>
  <si>
    <t>VESSEL</t>
  </si>
  <si>
    <t>ETA</t>
  </si>
  <si>
    <t>DIFF</t>
  </si>
  <si>
    <t>YOKOHAMA STAR 2608W</t>
  </si>
  <si>
    <t>NAVIOS DORADO 2611W</t>
  </si>
  <si>
    <t>DALIAN 2613W</t>
  </si>
  <si>
    <t>GSL CHLOE 2616W</t>
  </si>
  <si>
    <t>GIALOVA 2618W</t>
  </si>
  <si>
    <t>TEMA EXPRESS 2620W</t>
  </si>
  <si>
    <t>SPIL KARTIKA 2621W</t>
  </si>
  <si>
    <t>BRIDGETOWN, BB</t>
  </si>
  <si>
    <t>NAIROBI, KE</t>
  </si>
  <si>
    <t>EMPTY</t>
  </si>
  <si>
    <t xml:space="preserve"> FORWARDER</t>
  </si>
  <si>
    <t>GATEWAY EXIM</t>
  </si>
  <si>
    <t xml:space="preserve"> POL</t>
  </si>
  <si>
    <t xml:space="preserve"> POD</t>
  </si>
  <si>
    <t xml:space="preserve"> INVENTORY</t>
  </si>
  <si>
    <t xml:space="preserve"> FREIGHT TERM</t>
  </si>
  <si>
    <t>PREPAID</t>
  </si>
  <si>
    <t xml:space="preserve"> VALIDITY</t>
  </si>
  <si>
    <t xml:space="preserve"> DEST. FREE TIME</t>
  </si>
  <si>
    <t>14 DAYS</t>
  </si>
  <si>
    <t>ABIDJAAN</t>
  </si>
  <si>
    <t>J.B</t>
  </si>
  <si>
    <t>ET</t>
  </si>
  <si>
    <t>AQ050326-1409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</si>
</sst>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1">
    <numFmt numFmtId="164" formatCode="&quot;₹&quot;#,##0_);[Red]\(&quot;₹&quot;#,##0\)"/>
    <numFmt numFmtId="165" formatCode="&quot;₹&quot;#,##0.00_);[Red]\(&quot;₹&quot;#,##0.00\)"/>
    <numFmt numFmtId="166" formatCode="&quot;₹&quot;#,##0.00_);\(&quot;₹&quot;#,##0.00\)"/>
    <numFmt numFmtId="167" formatCode="_(&quot;₹&quot;* #,##0.00_);_(&quot;₹&quot;* \(#,##0.00\);_(&quot;₹&quot;* &quot;-&quot;??_);_(@_)"/>
    <numFmt numFmtId="168" formatCode="[$$-409]#,##0"/>
    <numFmt numFmtId="169" formatCode="[$-14009]dddd\,\ d\ mmm\,\ yyyy;@"/>
    <numFmt numFmtId="170" formatCode="\ \ #,000\ &quot;Kgs&quot;"/>
    <numFmt numFmtId="171" formatCode="&quot;₹&quot;\ #,##0"/>
    <numFmt numFmtId="172" formatCode="\ dd/mmm\ yy"/>
    <numFmt numFmtId="173" formatCode="\R\Q\ yymmdd\/hhmm"/>
    <numFmt numFmtId="174" formatCode="#,##0\ &quot;Kgs&quot;"/>
    <numFmt numFmtId="175" formatCode="\ @"/>
    <numFmt numFmtId="176" formatCode="\ \ @"/>
    <numFmt numFmtId="177" formatCode="\R\Q\ ddmmyy\/hhmm"/>
    <numFmt numFmtId="178" formatCode="\ \ \ @"/>
    <numFmt numFmtId="179" formatCode="\ \ \ dd\ mmm\,\ yyyy"/>
    <numFmt numFmtId="180" formatCode="\ #,#00\ &quot;Kgs&quot;"/>
    <numFmt numFmtId="181" formatCode="\ dd\ mmm\,\ yyyy"/>
    <numFmt numFmtId="182" formatCode="&quot;₹&quot;\ #,##0.00"/>
    <numFmt numFmtId="183" formatCode="\ \ #,#00\ &quot;Kgs&quot;"/>
    <numFmt numFmtId="184" formatCode="\ \ dd\ mmm\,\ yyyy"/>
    <numFmt numFmtId="185" formatCode="#,##0\ &quot;Mi&quot;"/>
    <numFmt numFmtId="186" formatCode="\ \ #,##0\ &quot;Days&quot;"/>
    <numFmt numFmtId="187" formatCode="dd/mmm\,\ yy"/>
    <numFmt numFmtId="188" formatCode="\R\Q\ ddmmyy/hhmm"/>
    <numFmt numFmtId="189" formatCode="\ @\ &quot;PALLET&quot;"/>
    <numFmt numFmtId="190" formatCode="\ #,##0.00\ &quot;Kgs&quot;"/>
    <numFmt numFmtId="191" formatCode="\ @\ &quot;Drums&quot;"/>
    <numFmt numFmtId="192" formatCode="#,##0\ &quot;Drums&quot;"/>
    <numFmt numFmtId="193" formatCode="\ #0\ &quot;Plt&quot;"/>
    <numFmt numFmtId="194" formatCode="dd/mmm\ yyyy"/>
  </numFmts>
  <fonts count="10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ptos"/>
      <family val="2"/>
    </font>
    <font>
      <b/>
      <i/>
      <sz val="9"/>
      <color theme="1"/>
      <name val="Aptos"/>
      <family val="2"/>
    </font>
    <font>
      <i/>
      <sz val="9"/>
      <color theme="1"/>
      <name val="Aptos"/>
      <family val="2"/>
    </font>
    <font>
      <sz val="9"/>
      <color theme="1"/>
      <name val="Aptos"/>
      <family val="2"/>
    </font>
    <font>
      <b/>
      <i/>
      <sz val="9"/>
      <color theme="0"/>
      <name val="Aptos"/>
      <family val="2"/>
    </font>
    <font>
      <b/>
      <i/>
      <sz val="8"/>
      <color theme="1"/>
      <name val="Aptos"/>
      <family val="2"/>
    </font>
    <font>
      <b/>
      <i/>
      <sz val="8"/>
      <color theme="0"/>
      <name val="Aptos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0"/>
      <name val="Aptos"/>
      <family val="2"/>
    </font>
    <font>
      <sz val="8"/>
      <color theme="1"/>
      <name val="Calibri"/>
      <family val="2"/>
      <scheme val="minor"/>
    </font>
    <font>
      <b/>
      <i/>
      <sz val="9"/>
      <color rgb="FFFFFFFF"/>
      <name val="Aptos"/>
      <family val="2"/>
    </font>
    <font>
      <b/>
      <i/>
      <sz val="10"/>
      <color theme="1"/>
      <name val="Aptos"/>
      <family val="2"/>
    </font>
    <font>
      <b/>
      <sz val="8"/>
      <color theme="1"/>
      <name val="Aptos"/>
      <family val="2"/>
    </font>
    <font>
      <i/>
      <sz val="8"/>
      <color theme="1"/>
      <name val="Aptos"/>
      <family val="2"/>
    </font>
    <font>
      <sz val="10"/>
      <color theme="1"/>
      <name val="Aptos"/>
      <family val="2"/>
    </font>
    <font>
      <b/>
      <i/>
      <sz val="10"/>
      <name val="Aptos"/>
      <family val="2"/>
    </font>
    <font>
      <b/>
      <sz val="11"/>
      <color theme="1"/>
      <name val="Aptos"/>
      <family val="2"/>
    </font>
    <font>
      <b/>
      <i/>
      <sz val="11"/>
      <color theme="1"/>
      <name val="Aptos"/>
      <family val="2"/>
    </font>
    <font>
      <b/>
      <i/>
      <sz val="26"/>
      <color theme="0"/>
      <name val="Aptos"/>
      <family val="2"/>
    </font>
    <font>
      <b/>
      <i/>
      <sz val="8"/>
      <color rgb="FFFFFFFF"/>
      <name val="Aptos"/>
      <family val="2"/>
    </font>
    <font>
      <b/>
      <i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i/>
      <u/>
      <sz val="8"/>
      <color theme="10"/>
      <name val="Aptos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i/>
      <sz val="10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</font>
    <font>
      <b/>
      <i/>
      <sz val="11"/>
      <color rgb="FFFFFFFF"/>
      <name val="Calibri"/>
      <family val="2"/>
    </font>
    <font>
      <b/>
      <i/>
      <sz val="11"/>
      <color rgb="FF000000"/>
      <name val="Calibri"/>
      <family val="2"/>
      <scheme val="minor"/>
    </font>
    <font>
      <b/>
      <i/>
      <sz val="11"/>
      <color rgb="FF1D293B"/>
      <name val="Calibri"/>
      <family val="2"/>
      <scheme val="minor"/>
    </font>
    <font>
      <i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i/>
      <sz val="11"/>
      <name val="Calibri"/>
      <family val="2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</font>
    <font>
      <b/>
      <i/>
      <sz val="11"/>
      <color rgb="FFFF000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i/>
      <sz val="11"/>
      <color rgb="FF1D293B"/>
      <name val="Calibri"/>
      <family val="2"/>
    </font>
    <font>
      <b/>
      <i/>
      <u/>
      <sz val="11"/>
      <color theme="1"/>
      <name val="Calibri"/>
      <family val="2"/>
    </font>
    <font>
      <b/>
      <i/>
      <sz val="11"/>
      <color rgb="FFEE0000"/>
      <name val="Calibri"/>
      <family val="2"/>
    </font>
    <font>
      <i/>
      <sz val="11"/>
      <name val="Calibri"/>
      <family val="2"/>
    </font>
    <font>
      <b/>
      <i/>
      <sz val="11"/>
      <color rgb="FF222222"/>
      <name val="Calibri"/>
      <family val="2"/>
    </font>
    <font>
      <b/>
      <i/>
      <sz val="10"/>
      <color rgb="FFEE0000"/>
      <name val="Calibri"/>
      <family val="2"/>
      <scheme val="minor"/>
    </font>
    <font>
      <u/>
      <sz val="8.8000000000000007"/>
      <color theme="1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</font>
    <font>
      <b/>
      <sz val="10"/>
      <color rgb="FFFF0000"/>
      <name val="Calibri"/>
      <family val="2"/>
    </font>
    <font>
      <b/>
      <i/>
      <sz val="10"/>
      <color rgb="FFFFFFFF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b/>
      <u/>
      <sz val="11"/>
      <color theme="0"/>
      <name val="Calibri"/>
      <family val="2"/>
    </font>
    <font>
      <b/>
      <i/>
      <sz val="10"/>
      <name val="Calibri"/>
      <family val="2"/>
    </font>
    <font>
      <b/>
      <u/>
      <sz val="11"/>
      <color theme="10"/>
      <name val="Calibri"/>
      <family val="2"/>
      <scheme val="minor"/>
    </font>
    <font>
      <b/>
      <i/>
      <sz val="16"/>
      <color theme="0"/>
      <name val="Calibri"/>
      <family val="2"/>
    </font>
    <font>
      <b/>
      <i/>
      <sz val="10"/>
      <color rgb="FFFF0000"/>
      <name val="Aptos"/>
      <family val="2"/>
    </font>
    <font>
      <b/>
      <i/>
      <sz val="12"/>
      <color theme="1"/>
      <name val="Calibri"/>
      <family val="2"/>
    </font>
    <font>
      <b/>
      <i/>
      <sz val="12"/>
      <color theme="0"/>
      <name val="Calibri"/>
      <family val="2"/>
    </font>
    <font>
      <b/>
      <i/>
      <sz val="12"/>
      <color rgb="FFFF0000"/>
      <name val="Calibri"/>
      <family val="2"/>
    </font>
    <font>
      <b/>
      <i/>
      <sz val="16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b/>
      <i/>
      <sz val="10"/>
      <color rgb="FF000000"/>
      <name val="Times New Roman"/>
      <family val="1"/>
    </font>
    <font>
      <b/>
      <i/>
      <sz val="10"/>
      <color rgb="FFFFFFFF"/>
      <name val="Times New Roman"/>
      <family val="1"/>
    </font>
    <font>
      <b/>
      <i/>
      <sz val="10"/>
      <color rgb="FFEE0000"/>
      <name val="Times New Roman"/>
      <family val="1"/>
    </font>
    <font>
      <b/>
      <i/>
      <sz val="10"/>
      <color rgb="FFFF0000"/>
      <name val="Times New Roman"/>
      <family val="1"/>
    </font>
    <font>
      <b/>
      <i/>
      <sz val="9"/>
      <color rgb="FF000000"/>
      <name val="Aptos"/>
      <family val="2"/>
    </font>
    <font>
      <b/>
      <i/>
      <sz val="9"/>
      <name val="Aptos"/>
      <family val="2"/>
    </font>
    <font>
      <b/>
      <i/>
      <sz val="9"/>
      <color rgb="FFFF0000"/>
      <name val="Aptos"/>
      <family val="2"/>
    </font>
    <font>
      <b/>
      <i/>
      <u/>
      <sz val="18"/>
      <color rgb="FFFF0000"/>
      <name val="Calibri"/>
      <family val="2"/>
    </font>
    <font>
      <b/>
      <i/>
      <sz val="10"/>
      <color rgb="FFFF0000"/>
      <name val="Calibri"/>
      <family val="2"/>
      <scheme val="minor"/>
    </font>
    <font>
      <b/>
      <i/>
      <sz val="9"/>
      <color rgb="FF000000"/>
      <name val="Calibri"/>
      <family val="2"/>
    </font>
    <font>
      <b/>
      <i/>
      <sz val="9"/>
      <color theme="0"/>
      <name val="Calibri"/>
      <family val="2"/>
    </font>
    <font>
      <b/>
      <i/>
      <sz val="10"/>
      <color theme="0"/>
      <name val="Calibri"/>
      <family val="2"/>
    </font>
    <font>
      <b/>
      <i/>
      <sz val="10"/>
      <color rgb="FFFFFFFF"/>
      <name val="Calibri"/>
      <family val="2"/>
    </font>
    <font>
      <b/>
      <i/>
      <sz val="10"/>
      <color rgb="FF000000"/>
      <name val="Calibri"/>
      <family val="2"/>
    </font>
    <font>
      <b/>
      <i/>
      <sz val="10"/>
      <color rgb="FFFFFFFF"/>
      <name val="Aptos"/>
      <family val="2"/>
    </font>
    <font>
      <b/>
      <i/>
      <sz val="10"/>
      <color rgb="FF000000"/>
      <name val="Aptos"/>
      <family val="2"/>
    </font>
    <font>
      <b/>
      <i/>
      <sz val="10"/>
      <color rgb="FFEE0000"/>
      <name val="Aptos"/>
      <family val="2"/>
    </font>
    <font>
      <sz val="8"/>
      <color rgb="FF000000"/>
      <name val="Segoe UI"/>
      <family val="2"/>
    </font>
    <font>
      <b/>
      <i/>
      <sz val="9"/>
      <color theme="1"/>
      <name val="Calibri"/>
      <family val="2"/>
    </font>
    <font>
      <b/>
      <i/>
      <sz val="11"/>
      <color theme="0"/>
      <name val="Aptos"/>
      <family val="2"/>
    </font>
    <font>
      <b/>
      <i/>
      <sz val="8"/>
      <color rgb="FF000000"/>
      <name val="Aptos"/>
      <family val="2"/>
    </font>
    <font>
      <i/>
      <sz val="11"/>
      <color theme="1"/>
      <name val="Aptos"/>
      <family val="2"/>
    </font>
    <font>
      <b/>
      <i/>
      <sz val="11"/>
      <color rgb="FFFF0000"/>
      <name val="Aptos"/>
      <family val="2"/>
    </font>
    <font>
      <i/>
      <sz val="7"/>
      <color theme="1"/>
      <name val="Aptos"/>
      <family val="2"/>
    </font>
    <font>
      <b/>
      <i/>
      <sz val="7.5"/>
      <color theme="0"/>
      <name val="Aptos"/>
      <family val="2"/>
    </font>
    <font>
      <b/>
      <sz val="12"/>
      <color theme="1"/>
      <name val="Aptos"/>
      <family val="2"/>
    </font>
    <font>
      <sz val="11"/>
      <color theme="5" tint="0.7999816888943144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rgb="FFFFFFFF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E0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F531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A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191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222B35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898301"/>
        <bgColor indexed="64"/>
      </patternFill>
    </fill>
    <fill>
      <patternFill patternType="solid">
        <fgColor rgb="FFA81893"/>
        <bgColor indexed="64"/>
      </patternFill>
    </fill>
    <fill>
      <patternFill patternType="solid">
        <fgColor rgb="FF806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DBBB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404040"/>
        <bgColor indexed="64"/>
      </patternFill>
    </fill>
  </fills>
  <borders count="18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indexed="64"/>
      </top>
      <bottom style="hair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/>
      <top style="hair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medium">
        <color auto="1"/>
      </left>
      <right style="thick">
        <color theme="0"/>
      </right>
      <top/>
      <bottom style="thick">
        <color theme="0"/>
      </bottom>
      <diagonal/>
    </border>
    <border>
      <left style="medium">
        <color indexed="64"/>
      </left>
      <right/>
      <top style="hair">
        <color indexed="64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medium">
        <color auto="1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medium">
        <color indexed="64"/>
      </top>
      <bottom style="thin">
        <color theme="4" tint="0.3999755851924192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theme="4" tint="0.3999755851924192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auto="1"/>
      </left>
      <right style="medium">
        <color indexed="64"/>
      </right>
      <top/>
      <bottom style="hair">
        <color auto="1"/>
      </bottom>
      <diagonal/>
    </border>
    <border>
      <left style="hair">
        <color auto="1"/>
      </left>
      <right style="thick">
        <color indexed="64"/>
      </right>
      <top style="thick">
        <color auto="1"/>
      </top>
      <bottom/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indexed="64"/>
      </top>
      <bottom style="medium">
        <color indexed="64"/>
      </bottom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auto="1"/>
      </left>
      <right style="thick">
        <color theme="1"/>
      </right>
      <top/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1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 style="thick">
        <color auto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hair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/>
      <top style="thick">
        <color auto="1"/>
      </top>
      <bottom style="hair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ck">
        <color indexed="64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medium">
        <color auto="1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/>
      <top/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medium">
        <color indexed="64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thick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 style="hair">
        <color auto="1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5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8EA9DB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8EA9DB"/>
      </bottom>
      <diagonal/>
    </border>
    <border>
      <left style="thick">
        <color auto="1"/>
      </left>
      <right style="medium">
        <color rgb="FFCCCCCC"/>
      </right>
      <top style="thick">
        <color auto="1"/>
      </top>
      <bottom style="hair">
        <color auto="1"/>
      </bottom>
      <diagonal/>
    </border>
    <border>
      <left style="medium">
        <color rgb="FFCCCCCC"/>
      </left>
      <right style="medium">
        <color rgb="FF000000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medium">
        <color rgb="FFCCCCCC"/>
      </right>
      <top style="hair">
        <color auto="1"/>
      </top>
      <bottom style="hair">
        <color auto="1"/>
      </bottom>
      <diagonal/>
    </border>
    <border>
      <left style="medium">
        <color rgb="FFCCCCCC"/>
      </left>
      <right style="medium">
        <color rgb="FF000000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medium">
        <color rgb="FFCCCCCC"/>
      </right>
      <top style="hair">
        <color auto="1"/>
      </top>
      <bottom style="thick">
        <color auto="1"/>
      </bottom>
      <diagonal/>
    </border>
    <border>
      <left style="medium">
        <color rgb="FFCCCCCC"/>
      </left>
      <right style="medium">
        <color rgb="FF000000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medium">
        <color rgb="FFCCCCCC"/>
      </top>
      <bottom style="hair">
        <color auto="1"/>
      </bottom>
      <diagonal/>
    </border>
    <border>
      <left style="hair">
        <color auto="1"/>
      </left>
      <right style="thick">
        <color rgb="FF000000"/>
      </right>
      <top style="thick">
        <color rgb="FF000000"/>
      </top>
      <bottom style="hair">
        <color auto="1"/>
      </bottom>
      <diagonal/>
    </border>
    <border>
      <left style="hair">
        <color auto="1"/>
      </left>
      <right style="thick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rgb="FF000000"/>
      </right>
      <top style="hair">
        <color auto="1"/>
      </top>
      <bottom style="thick">
        <color auto="1"/>
      </bottom>
      <diagonal/>
    </border>
    <border>
      <left/>
      <right style="thick">
        <color rgb="FF000000"/>
      </right>
      <top style="thick">
        <color indexed="64"/>
      </top>
      <bottom style="thick">
        <color indexed="64"/>
      </bottom>
      <diagonal/>
    </border>
    <border>
      <left/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medium">
        <color indexed="64"/>
      </bottom>
      <diagonal/>
    </border>
    <border>
      <left style="hair">
        <color auto="1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 style="thick">
        <color indexed="64"/>
      </left>
      <right style="thick">
        <color indexed="64"/>
      </right>
      <top/>
      <bottom style="medium">
        <color rgb="FFED7D31"/>
      </bottom>
      <diagonal/>
    </border>
    <border>
      <left/>
      <right style="thick">
        <color indexed="64"/>
      </right>
      <top/>
      <bottom style="medium">
        <color rgb="FFED7D31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ck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auto="1"/>
      </left>
      <right style="thick">
        <color auto="1"/>
      </right>
      <top style="thin">
        <color theme="5"/>
      </top>
      <bottom style="thin">
        <color theme="5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1" fillId="0" borderId="0" applyNumberFormat="0" applyFill="0" applyBorder="0" applyAlignment="0" applyProtection="0">
      <alignment vertical="top"/>
      <protection locked="0"/>
    </xf>
    <xf numFmtId="0" fontId="1" fillId="43" borderId="0" applyNumberFormat="0" applyBorder="0" applyAlignment="0" applyProtection="0"/>
  </cellStyleXfs>
  <cellXfs count="941">
    <xf numFmtId="0" fontId="0" fillId="0" borderId="0" xfId="0"/>
    <xf numFmtId="0" fontId="5" fillId="0" borderId="0" xfId="0" applyFont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5" fillId="0" borderId="0" xfId="0" applyFont="1"/>
    <xf numFmtId="0" fontId="10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/>
    <xf numFmtId="0" fontId="2" fillId="6" borderId="1" xfId="3" applyFont="1" applyFill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167" fontId="24" fillId="14" borderId="0" xfId="1" applyFont="1" applyFill="1" applyBorder="1" applyAlignment="1" applyProtection="1">
      <alignment vertical="center"/>
    </xf>
    <xf numFmtId="0" fontId="24" fillId="14" borderId="0" xfId="1" applyNumberFormat="1" applyFont="1" applyFill="1" applyBorder="1" applyAlignment="1" applyProtection="1">
      <alignment horizontal="center" vertical="center"/>
    </xf>
    <xf numFmtId="0" fontId="9" fillId="6" borderId="50" xfId="0" applyFont="1" applyFill="1" applyBorder="1" applyAlignment="1">
      <alignment horizontal="center" vertical="center"/>
    </xf>
    <xf numFmtId="169" fontId="9" fillId="6" borderId="51" xfId="0" applyNumberFormat="1" applyFont="1" applyFill="1" applyBorder="1" applyAlignment="1">
      <alignment horizontal="center" vertical="center"/>
    </xf>
    <xf numFmtId="169" fontId="9" fillId="6" borderId="50" xfId="0" applyNumberFormat="1" applyFont="1" applyFill="1" applyBorder="1" applyAlignment="1">
      <alignment horizontal="center" vertical="center"/>
    </xf>
    <xf numFmtId="0" fontId="16" fillId="12" borderId="50" xfId="0" applyFont="1" applyFill="1" applyBorder="1" applyAlignment="1">
      <alignment horizontal="center" vertical="center"/>
    </xf>
    <xf numFmtId="0" fontId="25" fillId="12" borderId="52" xfId="0" applyFont="1" applyFill="1" applyBorder="1" applyAlignment="1">
      <alignment horizontal="center" vertical="center"/>
    </xf>
    <xf numFmtId="169" fontId="11" fillId="6" borderId="52" xfId="0" applyNumberFormat="1" applyFont="1" applyFill="1" applyBorder="1" applyAlignment="1">
      <alignment horizontal="center" vertical="center"/>
    </xf>
    <xf numFmtId="0" fontId="11" fillId="6" borderId="52" xfId="0" applyFont="1" applyFill="1" applyBorder="1" applyAlignment="1">
      <alignment horizontal="center" vertical="center"/>
    </xf>
    <xf numFmtId="171" fontId="10" fillId="0" borderId="53" xfId="0" applyNumberFormat="1" applyFont="1" applyBorder="1" applyAlignment="1">
      <alignment horizontal="center" vertical="center"/>
    </xf>
    <xf numFmtId="171" fontId="10" fillId="0" borderId="54" xfId="0" applyNumberFormat="1" applyFont="1" applyBorder="1" applyAlignment="1">
      <alignment horizontal="center" vertical="center"/>
    </xf>
    <xf numFmtId="172" fontId="10" fillId="0" borderId="57" xfId="0" applyNumberFormat="1" applyFont="1" applyBorder="1" applyAlignment="1">
      <alignment horizontal="center" vertical="center"/>
    </xf>
    <xf numFmtId="168" fontId="10" fillId="0" borderId="57" xfId="0" applyNumberFormat="1" applyFont="1" applyBorder="1" applyAlignment="1">
      <alignment horizontal="center" vertical="center"/>
    </xf>
    <xf numFmtId="171" fontId="10" fillId="0" borderId="57" xfId="0" applyNumberFormat="1" applyFont="1" applyBorder="1" applyAlignment="1">
      <alignment horizontal="center" vertical="center"/>
    </xf>
    <xf numFmtId="171" fontId="10" fillId="0" borderId="58" xfId="0" applyNumberFormat="1" applyFont="1" applyBorder="1" applyAlignment="1">
      <alignment horizontal="center" vertical="center"/>
    </xf>
    <xf numFmtId="171" fontId="10" fillId="23" borderId="59" xfId="0" applyNumberFormat="1" applyFont="1" applyFill="1" applyBorder="1" applyAlignment="1">
      <alignment horizontal="center" vertical="center"/>
    </xf>
    <xf numFmtId="0" fontId="10" fillId="0" borderId="60" xfId="0" applyFont="1" applyBorder="1" applyAlignment="1">
      <alignment horizontal="center" vertical="center"/>
    </xf>
    <xf numFmtId="172" fontId="10" fillId="0" borderId="23" xfId="0" applyNumberFormat="1" applyFont="1" applyBorder="1" applyAlignment="1">
      <alignment horizontal="center" vertical="center"/>
    </xf>
    <xf numFmtId="168" fontId="10" fillId="0" borderId="23" xfId="0" applyNumberFormat="1" applyFont="1" applyBorder="1" applyAlignment="1">
      <alignment horizontal="center" vertical="center"/>
    </xf>
    <xf numFmtId="171" fontId="10" fillId="0" borderId="23" xfId="0" applyNumberFormat="1" applyFont="1" applyBorder="1" applyAlignment="1">
      <alignment horizontal="center" vertical="center"/>
    </xf>
    <xf numFmtId="171" fontId="10" fillId="0" borderId="61" xfId="0" applyNumberFormat="1" applyFont="1" applyBorder="1" applyAlignment="1">
      <alignment horizontal="center" vertical="center"/>
    </xf>
    <xf numFmtId="172" fontId="10" fillId="0" borderId="63" xfId="0" applyNumberFormat="1" applyFont="1" applyBorder="1" applyAlignment="1">
      <alignment horizontal="center" vertical="center"/>
    </xf>
    <xf numFmtId="168" fontId="10" fillId="0" borderId="63" xfId="0" applyNumberFormat="1" applyFont="1" applyBorder="1" applyAlignment="1">
      <alignment horizontal="center" vertical="center"/>
    </xf>
    <xf numFmtId="171" fontId="10" fillId="0" borderId="63" xfId="0" applyNumberFormat="1" applyFont="1" applyBorder="1" applyAlignment="1">
      <alignment horizontal="center" vertical="center"/>
    </xf>
    <xf numFmtId="171" fontId="10" fillId="0" borderId="64" xfId="0" applyNumberFormat="1" applyFont="1" applyBorder="1" applyAlignment="1">
      <alignment horizontal="center" vertical="center"/>
    </xf>
    <xf numFmtId="171" fontId="10" fillId="0" borderId="65" xfId="0" applyNumberFormat="1" applyFont="1" applyBorder="1" applyAlignment="1">
      <alignment horizontal="center" vertical="center"/>
    </xf>
    <xf numFmtId="171" fontId="10" fillId="0" borderId="66" xfId="0" applyNumberFormat="1" applyFont="1" applyBorder="1" applyAlignment="1">
      <alignment horizontal="center" vertical="center"/>
    </xf>
    <xf numFmtId="172" fontId="10" fillId="0" borderId="56" xfId="0" applyNumberFormat="1" applyFont="1" applyBorder="1" applyAlignment="1">
      <alignment horizontal="center" vertical="center"/>
    </xf>
    <xf numFmtId="172" fontId="10" fillId="0" borderId="60" xfId="0" applyNumberFormat="1" applyFont="1" applyBorder="1" applyAlignment="1">
      <alignment horizontal="center" vertical="center"/>
    </xf>
    <xf numFmtId="172" fontId="10" fillId="0" borderId="6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16" borderId="1" xfId="0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8" fillId="25" borderId="1" xfId="0" applyFont="1" applyFill="1" applyBorder="1" applyAlignment="1">
      <alignment horizontal="center" vertical="center"/>
    </xf>
    <xf numFmtId="0" fontId="28" fillId="22" borderId="1" xfId="0" applyFont="1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28" fillId="27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9" fillId="2" borderId="17" xfId="0" applyFont="1" applyFill="1" applyBorder="1" applyAlignment="1">
      <alignment wrapText="1"/>
    </xf>
    <xf numFmtId="0" fontId="0" fillId="2" borderId="72" xfId="0" applyFill="1" applyBorder="1" applyAlignment="1">
      <alignment horizontal="center" vertical="center"/>
    </xf>
    <xf numFmtId="0" fontId="0" fillId="2" borderId="72" xfId="0" applyFill="1" applyBorder="1" applyAlignment="1">
      <alignment horizontal="center"/>
    </xf>
    <xf numFmtId="0" fontId="0" fillId="2" borderId="72" xfId="0" applyFill="1" applyBorder="1"/>
    <xf numFmtId="0" fontId="0" fillId="2" borderId="18" xfId="0" applyFill="1" applyBorder="1"/>
    <xf numFmtId="0" fontId="29" fillId="0" borderId="0" xfId="0" applyFont="1" applyAlignment="1">
      <alignment wrapText="1"/>
    </xf>
    <xf numFmtId="0" fontId="0" fillId="0" borderId="0" xfId="0" applyAlignment="1">
      <alignment horizontal="center" vertical="center"/>
    </xf>
    <xf numFmtId="0" fontId="26" fillId="3" borderId="74" xfId="0" applyFont="1" applyFill="1" applyBorder="1" applyAlignment="1">
      <alignment horizontal="center" vertical="center"/>
    </xf>
    <xf numFmtId="0" fontId="26" fillId="3" borderId="7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3" applyBorder="1"/>
    <xf numFmtId="0" fontId="33" fillId="3" borderId="3" xfId="3" applyFont="1" applyFill="1" applyBorder="1" applyAlignment="1">
      <alignment horizontal="center" vertical="center"/>
    </xf>
    <xf numFmtId="0" fontId="4" fillId="0" borderId="3" xfId="3" applyBorder="1" applyAlignment="1">
      <alignment horizontal="center" vertical="center"/>
    </xf>
    <xf numFmtId="0" fontId="34" fillId="0" borderId="0" xfId="0" applyFont="1" applyProtection="1">
      <protection locked="0"/>
    </xf>
    <xf numFmtId="0" fontId="15" fillId="0" borderId="0" xfId="0" applyFont="1"/>
    <xf numFmtId="0" fontId="11" fillId="4" borderId="1" xfId="3" applyFont="1" applyFill="1" applyBorder="1" applyAlignment="1">
      <alignment horizontal="center" vertical="center"/>
    </xf>
    <xf numFmtId="0" fontId="19" fillId="0" borderId="0" xfId="0" applyFont="1"/>
    <xf numFmtId="0" fontId="11" fillId="9" borderId="2" xfId="3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2" borderId="1" xfId="3" applyFont="1" applyFill="1" applyBorder="1" applyAlignment="1">
      <alignment horizontal="center" vertical="center"/>
    </xf>
    <xf numFmtId="0" fontId="10" fillId="3" borderId="1" xfId="3" applyFont="1" applyFill="1" applyBorder="1" applyAlignment="1">
      <alignment horizontal="center" vertical="center"/>
    </xf>
    <xf numFmtId="0" fontId="10" fillId="0" borderId="0" xfId="0" applyFont="1"/>
    <xf numFmtId="0" fontId="11" fillId="5" borderId="1" xfId="3" applyFont="1" applyFill="1" applyBorder="1" applyAlignment="1">
      <alignment horizontal="center" vertical="center"/>
    </xf>
    <xf numFmtId="0" fontId="11" fillId="7" borderId="1" xfId="3" applyFont="1" applyFill="1" applyBorder="1" applyAlignment="1">
      <alignment horizontal="center" vertical="center"/>
    </xf>
    <xf numFmtId="0" fontId="36" fillId="0" borderId="0" xfId="3" applyFont="1" applyAlignment="1">
      <alignment horizontal="center" vertical="center"/>
    </xf>
    <xf numFmtId="0" fontId="11" fillId="8" borderId="1" xfId="3" applyFont="1" applyFill="1" applyBorder="1" applyAlignment="1">
      <alignment horizontal="center" vertical="center"/>
    </xf>
    <xf numFmtId="0" fontId="11" fillId="6" borderId="1" xfId="3" applyFont="1" applyFill="1" applyBorder="1" applyAlignment="1">
      <alignment horizontal="center" vertical="center"/>
    </xf>
    <xf numFmtId="0" fontId="11" fillId="10" borderId="1" xfId="3" applyFont="1" applyFill="1" applyBorder="1" applyAlignment="1">
      <alignment horizontal="center" vertical="center"/>
    </xf>
    <xf numFmtId="0" fontId="11" fillId="5" borderId="1" xfId="3" applyFont="1" applyFill="1" applyBorder="1" applyAlignment="1">
      <alignment horizontal="center" vertical="center" wrapText="1"/>
    </xf>
    <xf numFmtId="0" fontId="10" fillId="3" borderId="3" xfId="3" applyFont="1" applyFill="1" applyBorder="1" applyAlignment="1">
      <alignment horizontal="center" vertical="center"/>
    </xf>
    <xf numFmtId="0" fontId="36" fillId="11" borderId="0" xfId="3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3" fillId="0" borderId="0" xfId="0" applyFont="1" applyAlignment="1">
      <alignment horizontal="center"/>
    </xf>
    <xf numFmtId="0" fontId="22" fillId="0" borderId="0" xfId="0" applyFont="1" applyProtection="1">
      <protection locked="0"/>
    </xf>
    <xf numFmtId="0" fontId="32" fillId="3" borderId="1" xfId="0" applyFont="1" applyFill="1" applyBorder="1" applyAlignment="1">
      <alignment horizontal="center" vertical="center"/>
    </xf>
    <xf numFmtId="0" fontId="17" fillId="0" borderId="0" xfId="0" applyFont="1" applyProtection="1">
      <protection locked="0"/>
    </xf>
    <xf numFmtId="0" fontId="20" fillId="0" borderId="0" xfId="0" applyFont="1" applyProtection="1">
      <protection locked="0"/>
    </xf>
    <xf numFmtId="0" fontId="3" fillId="0" borderId="0" xfId="0" applyFont="1"/>
    <xf numFmtId="0" fontId="11" fillId="24" borderId="2" xfId="3" applyFont="1" applyFill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11" borderId="0" xfId="0" applyFont="1" applyFill="1" applyProtection="1">
      <protection locked="0"/>
    </xf>
    <xf numFmtId="0" fontId="32" fillId="11" borderId="0" xfId="0" applyFont="1" applyFill="1" applyAlignment="1" applyProtection="1">
      <alignment horizontal="right"/>
      <protection locked="0"/>
    </xf>
    <xf numFmtId="0" fontId="32" fillId="11" borderId="0" xfId="0" applyFont="1" applyFill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73" fontId="32" fillId="11" borderId="0" xfId="0" applyNumberFormat="1" applyFont="1" applyFill="1" applyAlignment="1" applyProtection="1">
      <alignment horizontal="center"/>
      <protection locked="0"/>
    </xf>
    <xf numFmtId="0" fontId="32" fillId="11" borderId="0" xfId="0" applyFont="1" applyFill="1" applyAlignment="1" applyProtection="1">
      <alignment horizontal="left"/>
      <protection locked="0"/>
    </xf>
    <xf numFmtId="0" fontId="32" fillId="11" borderId="24" xfId="0" applyFont="1" applyFill="1" applyBorder="1" applyProtection="1">
      <protection locked="0"/>
    </xf>
    <xf numFmtId="0" fontId="32" fillId="11" borderId="0" xfId="0" applyFont="1" applyFill="1" applyAlignment="1" applyProtection="1">
      <alignment horizontal="center"/>
      <protection locked="0"/>
    </xf>
    <xf numFmtId="0" fontId="32" fillId="11" borderId="0" xfId="0" applyFont="1" applyFill="1" applyAlignment="1" applyProtection="1">
      <alignment vertical="top"/>
      <protection locked="0"/>
    </xf>
    <xf numFmtId="0" fontId="32" fillId="11" borderId="26" xfId="0" applyFont="1" applyFill="1" applyBorder="1" applyAlignment="1" applyProtection="1">
      <alignment vertical="center"/>
      <protection locked="0"/>
    </xf>
    <xf numFmtId="178" fontId="32" fillId="11" borderId="45" xfId="0" applyNumberFormat="1" applyFont="1" applyFill="1" applyBorder="1" applyAlignment="1">
      <alignment vertical="center"/>
    </xf>
    <xf numFmtId="176" fontId="32" fillId="11" borderId="40" xfId="0" applyNumberFormat="1" applyFont="1" applyFill="1" applyBorder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178" fontId="32" fillId="11" borderId="35" xfId="0" applyNumberFormat="1" applyFont="1" applyFill="1" applyBorder="1" applyAlignment="1">
      <alignment vertical="center"/>
    </xf>
    <xf numFmtId="176" fontId="44" fillId="0" borderId="36" xfId="0" applyNumberFormat="1" applyFont="1" applyBorder="1" applyAlignment="1" applyProtection="1">
      <alignment vertical="center"/>
      <protection locked="0"/>
    </xf>
    <xf numFmtId="178" fontId="32" fillId="11" borderId="30" xfId="0" applyNumberFormat="1" applyFont="1" applyFill="1" applyBorder="1" applyAlignment="1">
      <alignment horizontal="left" vertical="center"/>
    </xf>
    <xf numFmtId="179" fontId="32" fillId="11" borderId="87" xfId="0" applyNumberFormat="1" applyFont="1" applyFill="1" applyBorder="1" applyAlignment="1" applyProtection="1">
      <alignment horizontal="left" vertical="center"/>
      <protection locked="0"/>
    </xf>
    <xf numFmtId="0" fontId="30" fillId="5" borderId="1" xfId="0" applyFont="1" applyFill="1" applyBorder="1" applyAlignment="1" applyProtection="1">
      <alignment horizontal="center" vertical="center"/>
      <protection locked="0"/>
    </xf>
    <xf numFmtId="170" fontId="32" fillId="11" borderId="33" xfId="0" applyNumberFormat="1" applyFont="1" applyFill="1" applyBorder="1" applyAlignment="1" applyProtection="1">
      <alignment horizontal="left" vertical="center"/>
      <protection locked="0"/>
    </xf>
    <xf numFmtId="178" fontId="32" fillId="11" borderId="32" xfId="0" applyNumberFormat="1" applyFont="1" applyFill="1" applyBorder="1" applyAlignment="1">
      <alignment vertical="center"/>
    </xf>
    <xf numFmtId="178" fontId="32" fillId="11" borderId="33" xfId="0" applyNumberFormat="1" applyFont="1" applyFill="1" applyBorder="1" applyAlignment="1" applyProtection="1">
      <alignment horizontal="left" vertical="center"/>
      <protection locked="0"/>
    </xf>
    <xf numFmtId="176" fontId="41" fillId="11" borderId="36" xfId="0" applyNumberFormat="1" applyFont="1" applyFill="1" applyBorder="1" applyAlignment="1" applyProtection="1">
      <alignment horizontal="left" vertical="center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Alignment="1" applyProtection="1">
      <alignment vertical="center"/>
      <protection locked="0"/>
    </xf>
    <xf numFmtId="0" fontId="30" fillId="14" borderId="11" xfId="0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45" fillId="13" borderId="37" xfId="0" applyFont="1" applyFill="1" applyBorder="1" applyAlignment="1">
      <alignment horizontal="center" vertical="center"/>
    </xf>
    <xf numFmtId="0" fontId="26" fillId="13" borderId="37" xfId="0" applyFont="1" applyFill="1" applyBorder="1" applyAlignment="1">
      <alignment horizontal="center" vertical="center"/>
    </xf>
    <xf numFmtId="168" fontId="41" fillId="13" borderId="27" xfId="0" applyNumberFormat="1" applyFont="1" applyFill="1" applyBorder="1" applyAlignment="1" applyProtection="1">
      <alignment horizontal="center" vertical="center"/>
      <protection locked="0"/>
    </xf>
    <xf numFmtId="171" fontId="45" fillId="13" borderId="37" xfId="0" applyNumberFormat="1" applyFont="1" applyFill="1" applyBorder="1" applyAlignment="1" applyProtection="1">
      <alignment horizontal="center" vertical="center"/>
      <protection locked="0"/>
    </xf>
    <xf numFmtId="0" fontId="26" fillId="21" borderId="27" xfId="0" applyFont="1" applyFill="1" applyBorder="1" applyAlignment="1">
      <alignment horizontal="center" vertical="center"/>
    </xf>
    <xf numFmtId="171" fontId="32" fillId="21" borderId="27" xfId="0" applyNumberFormat="1" applyFont="1" applyFill="1" applyBorder="1" applyAlignment="1" applyProtection="1">
      <alignment horizontal="center" vertical="center"/>
      <protection locked="0"/>
    </xf>
    <xf numFmtId="0" fontId="45" fillId="13" borderId="27" xfId="0" applyFont="1" applyFill="1" applyBorder="1" applyAlignment="1">
      <alignment horizontal="center" vertical="center"/>
    </xf>
    <xf numFmtId="0" fontId="32" fillId="13" borderId="27" xfId="0" applyFont="1" applyFill="1" applyBorder="1" applyAlignment="1">
      <alignment horizontal="center" vertical="center"/>
    </xf>
    <xf numFmtId="0" fontId="26" fillId="13" borderId="27" xfId="0" applyFont="1" applyFill="1" applyBorder="1" applyAlignment="1">
      <alignment horizontal="center" vertical="center"/>
    </xf>
    <xf numFmtId="171" fontId="32" fillId="13" borderId="27" xfId="0" applyNumberFormat="1" applyFont="1" applyFill="1" applyBorder="1" applyAlignment="1" applyProtection="1">
      <alignment horizontal="center" vertical="center"/>
      <protection locked="0"/>
    </xf>
    <xf numFmtId="0" fontId="30" fillId="14" borderId="11" xfId="0" applyFont="1" applyFill="1" applyBorder="1" applyAlignment="1" applyProtection="1">
      <alignment vertical="center"/>
      <protection locked="0"/>
    </xf>
    <xf numFmtId="171" fontId="30" fillId="14" borderId="11" xfId="0" applyNumberFormat="1" applyFont="1" applyFill="1" applyBorder="1" applyAlignment="1">
      <alignment horizontal="center" vertical="center"/>
    </xf>
    <xf numFmtId="171" fontId="3" fillId="11" borderId="0" xfId="0" applyNumberFormat="1" applyFont="1" applyFill="1" applyAlignment="1" applyProtection="1">
      <alignment vertical="center"/>
      <protection locked="0"/>
    </xf>
    <xf numFmtId="0" fontId="32" fillId="13" borderId="27" xfId="0" applyFont="1" applyFill="1" applyBorder="1" applyAlignment="1" applyProtection="1">
      <alignment horizontal="center" vertical="center"/>
      <protection locked="0"/>
    </xf>
    <xf numFmtId="0" fontId="32" fillId="21" borderId="27" xfId="0" applyFont="1" applyFill="1" applyBorder="1" applyAlignment="1" applyProtection="1">
      <alignment horizontal="center" vertical="center"/>
      <protection locked="0"/>
    </xf>
    <xf numFmtId="171" fontId="30" fillId="14" borderId="11" xfId="0" applyNumberFormat="1" applyFont="1" applyFill="1" applyBorder="1" applyAlignment="1" applyProtection="1">
      <alignment horizontal="center" vertic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46" fillId="17" borderId="0" xfId="0" applyFont="1" applyFill="1" applyAlignment="1" applyProtection="1">
      <alignment horizontal="center" vertical="center"/>
      <protection locked="0"/>
    </xf>
    <xf numFmtId="168" fontId="42" fillId="20" borderId="1" xfId="0" applyNumberFormat="1" applyFont="1" applyFill="1" applyBorder="1" applyAlignment="1" applyProtection="1">
      <alignment horizontal="center" vertical="center"/>
      <protection locked="0"/>
    </xf>
    <xf numFmtId="168" fontId="42" fillId="15" borderId="1" xfId="0" applyNumberFormat="1" applyFont="1" applyFill="1" applyBorder="1" applyAlignment="1" applyProtection="1">
      <alignment horizontal="center" vertical="center"/>
      <protection locked="0"/>
    </xf>
    <xf numFmtId="0" fontId="42" fillId="16" borderId="1" xfId="0" applyFont="1" applyFill="1" applyBorder="1" applyAlignment="1" applyProtection="1">
      <alignment horizontal="center" vertical="center"/>
      <protection locked="0"/>
    </xf>
    <xf numFmtId="168" fontId="42" fillId="19" borderId="1" xfId="0" applyNumberFormat="1" applyFont="1" applyFill="1" applyBorder="1" applyAlignment="1" applyProtection="1">
      <alignment horizontal="center" vertical="center"/>
      <protection locked="0"/>
    </xf>
    <xf numFmtId="168" fontId="42" fillId="5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0" xfId="0" applyFont="1" applyProtection="1">
      <protection locked="0"/>
    </xf>
    <xf numFmtId="0" fontId="38" fillId="17" borderId="0" xfId="0" applyFont="1" applyFill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left"/>
      <protection locked="0"/>
    </xf>
    <xf numFmtId="0" fontId="46" fillId="0" borderId="0" xfId="0" applyFont="1" applyProtection="1">
      <protection locked="0"/>
    </xf>
    <xf numFmtId="0" fontId="38" fillId="0" borderId="0" xfId="0" applyFont="1"/>
    <xf numFmtId="0" fontId="38" fillId="0" borderId="0" xfId="0" applyFont="1" applyAlignment="1">
      <alignment horizontal="center"/>
    </xf>
    <xf numFmtId="173" fontId="47" fillId="11" borderId="0" xfId="0" applyNumberFormat="1" applyFont="1" applyFill="1" applyAlignment="1" applyProtection="1">
      <alignment horizontal="center"/>
      <protection locked="0"/>
    </xf>
    <xf numFmtId="0" fontId="52" fillId="6" borderId="1" xfId="3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 vertical="top"/>
      <protection locked="0"/>
    </xf>
    <xf numFmtId="0" fontId="50" fillId="0" borderId="0" xfId="0" applyFont="1" applyProtection="1">
      <protection locked="0"/>
    </xf>
    <xf numFmtId="0" fontId="50" fillId="11" borderId="0" xfId="0" applyFont="1" applyFill="1" applyProtection="1"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47" fillId="11" borderId="24" xfId="0" applyFont="1" applyFill="1" applyBorder="1" applyProtection="1">
      <protection locked="0"/>
    </xf>
    <xf numFmtId="0" fontId="47" fillId="3" borderId="0" xfId="0" applyFont="1" applyFill="1" applyProtection="1">
      <protection locked="0"/>
    </xf>
    <xf numFmtId="0" fontId="47" fillId="0" borderId="0" xfId="0" applyFont="1" applyAlignment="1" applyProtection="1">
      <alignment horizontal="left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47" fillId="0" borderId="24" xfId="0" applyFont="1" applyBorder="1" applyProtection="1">
      <protection locked="0"/>
    </xf>
    <xf numFmtId="0" fontId="50" fillId="3" borderId="0" xfId="0" applyFont="1" applyFill="1" applyAlignment="1" applyProtection="1">
      <alignment horizontal="left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175" fontId="49" fillId="0" borderId="13" xfId="0" applyNumberFormat="1" applyFont="1" applyBorder="1" applyAlignment="1" applyProtection="1">
      <alignment horizontal="center" vertical="center"/>
      <protection locked="0"/>
    </xf>
    <xf numFmtId="0" fontId="42" fillId="4" borderId="1" xfId="3" applyFont="1" applyFill="1" applyBorder="1" applyAlignment="1" applyProtection="1">
      <alignment horizontal="center" vertical="center"/>
      <protection locked="0"/>
    </xf>
    <xf numFmtId="180" fontId="49" fillId="0" borderId="16" xfId="0" applyNumberFormat="1" applyFont="1" applyBorder="1" applyAlignment="1" applyProtection="1">
      <alignment horizontal="center" vertical="center"/>
      <protection locked="0"/>
    </xf>
    <xf numFmtId="0" fontId="47" fillId="0" borderId="6" xfId="0" applyFont="1" applyBorder="1" applyProtection="1">
      <protection locked="0"/>
    </xf>
    <xf numFmtId="0" fontId="56" fillId="0" borderId="26" xfId="0" applyFont="1" applyBorder="1" applyAlignment="1" applyProtection="1">
      <alignment horizontal="center"/>
      <protection locked="0"/>
    </xf>
    <xf numFmtId="176" fontId="47" fillId="11" borderId="40" xfId="0" applyNumberFormat="1" applyFont="1" applyFill="1" applyBorder="1" applyAlignment="1" applyProtection="1">
      <alignment horizontal="left" vertical="center"/>
      <protection locked="0"/>
    </xf>
    <xf numFmtId="177" fontId="47" fillId="0" borderId="0" xfId="0" applyNumberFormat="1" applyFont="1" applyAlignment="1" applyProtection="1">
      <alignment horizontal="left"/>
      <protection locked="0"/>
    </xf>
    <xf numFmtId="0" fontId="47" fillId="0" borderId="24" xfId="0" applyFont="1" applyBorder="1" applyAlignment="1" applyProtection="1">
      <alignment vertical="top"/>
      <protection locked="0"/>
    </xf>
    <xf numFmtId="180" fontId="49" fillId="0" borderId="44" xfId="0" applyNumberFormat="1" applyFont="1" applyBorder="1" applyAlignment="1" applyProtection="1">
      <alignment horizontal="center" vertical="center"/>
      <protection locked="0"/>
    </xf>
    <xf numFmtId="0" fontId="42" fillId="5" borderId="1" xfId="3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center" vertical="center"/>
      <protection locked="0"/>
    </xf>
    <xf numFmtId="176" fontId="49" fillId="0" borderId="36" xfId="0" applyNumberFormat="1" applyFont="1" applyBorder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180" fontId="42" fillId="5" borderId="47" xfId="0" applyNumberFormat="1" applyFont="1" applyFill="1" applyBorder="1" applyAlignment="1" applyProtection="1">
      <alignment horizontal="center" vertical="center"/>
      <protection locked="0"/>
    </xf>
    <xf numFmtId="175" fontId="47" fillId="0" borderId="29" xfId="0" applyNumberFormat="1" applyFont="1" applyBorder="1" applyAlignment="1" applyProtection="1">
      <alignment vertical="center"/>
      <protection locked="0"/>
    </xf>
    <xf numFmtId="175" fontId="47" fillId="0" borderId="40" xfId="0" applyNumberFormat="1" applyFont="1" applyBorder="1" applyAlignment="1" applyProtection="1">
      <alignment horizontal="center" vertical="center"/>
      <protection locked="0"/>
    </xf>
    <xf numFmtId="0" fontId="56" fillId="0" borderId="26" xfId="0" applyFont="1" applyBorder="1" applyAlignment="1" applyProtection="1">
      <alignment horizontal="right"/>
      <protection locked="0"/>
    </xf>
    <xf numFmtId="175" fontId="47" fillId="0" borderId="31" xfId="0" applyNumberFormat="1" applyFont="1" applyBorder="1" applyAlignment="1" applyProtection="1">
      <alignment vertical="center"/>
      <protection locked="0"/>
    </xf>
    <xf numFmtId="175" fontId="47" fillId="0" borderId="33" xfId="0" applyNumberFormat="1" applyFont="1" applyBorder="1" applyAlignment="1" applyProtection="1">
      <alignment horizontal="center" vertical="center"/>
      <protection locked="0"/>
    </xf>
    <xf numFmtId="183" fontId="49" fillId="0" borderId="33" xfId="0" applyNumberFormat="1" applyFont="1" applyBorder="1" applyAlignment="1" applyProtection="1">
      <alignment horizontal="left" vertical="center"/>
      <protection locked="0"/>
    </xf>
    <xf numFmtId="176" fontId="49" fillId="0" borderId="36" xfId="0" applyNumberFormat="1" applyFont="1" applyBorder="1" applyAlignment="1" applyProtection="1">
      <alignment vertical="center"/>
      <protection locked="0"/>
    </xf>
    <xf numFmtId="0" fontId="47" fillId="0" borderId="28" xfId="0" applyFont="1" applyBorder="1" applyAlignment="1" applyProtection="1">
      <alignment horizontal="center"/>
      <protection locked="0"/>
    </xf>
    <xf numFmtId="175" fontId="49" fillId="0" borderId="36" xfId="0" applyNumberFormat="1" applyFont="1" applyBorder="1" applyAlignment="1" applyProtection="1">
      <alignment vertical="center"/>
      <protection locked="0"/>
    </xf>
    <xf numFmtId="175" fontId="47" fillId="0" borderId="91" xfId="0" applyNumberFormat="1" applyFont="1" applyBorder="1" applyAlignment="1" applyProtection="1">
      <alignment vertical="center"/>
      <protection locked="0"/>
    </xf>
    <xf numFmtId="175" fontId="57" fillId="0" borderId="36" xfId="0" applyNumberFormat="1" applyFont="1" applyBorder="1" applyAlignment="1" applyProtection="1">
      <alignment horizontal="center" vertical="center"/>
      <protection locked="0"/>
    </xf>
    <xf numFmtId="184" fontId="47" fillId="0" borderId="36" xfId="0" applyNumberFormat="1" applyFont="1" applyBorder="1" applyAlignment="1" applyProtection="1">
      <alignment horizontal="left" vertical="center"/>
      <protection locked="0"/>
    </xf>
    <xf numFmtId="176" fontId="47" fillId="11" borderId="33" xfId="0" applyNumberFormat="1" applyFont="1" applyFill="1" applyBorder="1" applyAlignment="1" applyProtection="1">
      <alignment horizontal="left" vertical="center"/>
      <protection locked="0"/>
    </xf>
    <xf numFmtId="0" fontId="38" fillId="0" borderId="0" xfId="0" applyFont="1" applyAlignment="1" applyProtection="1">
      <alignment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80" fontId="49" fillId="0" borderId="33" xfId="0" applyNumberFormat="1" applyFont="1" applyBorder="1" applyAlignment="1" applyProtection="1">
      <alignment horizontal="left" vertical="center"/>
      <protection locked="0"/>
    </xf>
    <xf numFmtId="0" fontId="43" fillId="32" borderId="11" xfId="0" applyFont="1" applyFill="1" applyBorder="1" applyAlignment="1" applyProtection="1">
      <alignment horizontal="center" vertical="center"/>
      <protection locked="0"/>
    </xf>
    <xf numFmtId="181" fontId="47" fillId="0" borderId="36" xfId="0" applyNumberFormat="1" applyFont="1" applyBorder="1" applyAlignment="1" applyProtection="1">
      <alignment horizontal="left" vertical="center"/>
      <protection locked="0"/>
    </xf>
    <xf numFmtId="0" fontId="47" fillId="13" borderId="27" xfId="0" applyFont="1" applyFill="1" applyBorder="1" applyAlignment="1" applyProtection="1">
      <alignment horizontal="center" vertical="center"/>
      <protection locked="0"/>
    </xf>
    <xf numFmtId="0" fontId="48" fillId="13" borderId="37" xfId="0" applyFont="1" applyFill="1" applyBorder="1" applyAlignment="1" applyProtection="1">
      <alignment horizontal="center" vertical="center"/>
      <protection locked="0"/>
    </xf>
    <xf numFmtId="171" fontId="47" fillId="13" borderId="27" xfId="0" applyNumberFormat="1" applyFont="1" applyFill="1" applyBorder="1" applyAlignment="1" applyProtection="1">
      <alignment horizontal="center" vertical="center"/>
      <protection locked="0"/>
    </xf>
    <xf numFmtId="175" fontId="47" fillId="0" borderId="0" xfId="0" applyNumberFormat="1" applyFont="1" applyAlignment="1" applyProtection="1">
      <alignment horizontal="left" vertical="center"/>
      <protection locked="0"/>
    </xf>
    <xf numFmtId="175" fontId="47" fillId="0" borderId="0" xfId="0" applyNumberFormat="1" applyFont="1" applyAlignment="1" applyProtection="1">
      <alignment horizontal="center" vertical="center"/>
      <protection locked="0"/>
    </xf>
    <xf numFmtId="175" fontId="46" fillId="0" borderId="0" xfId="0" applyNumberFormat="1" applyFont="1" applyAlignment="1" applyProtection="1">
      <alignment horizontal="left" vertical="center"/>
      <protection locked="0"/>
    </xf>
    <xf numFmtId="175" fontId="51" fillId="0" borderId="0" xfId="0" applyNumberFormat="1" applyFont="1" applyAlignment="1" applyProtection="1">
      <alignment horizontal="left" vertical="center"/>
      <protection locked="0"/>
    </xf>
    <xf numFmtId="180" fontId="49" fillId="0" borderId="13" xfId="0" applyNumberFormat="1" applyFont="1" applyBorder="1" applyAlignment="1" applyProtection="1">
      <alignment horizontal="center" vertical="center"/>
      <protection locked="0"/>
    </xf>
    <xf numFmtId="0" fontId="55" fillId="21" borderId="27" xfId="0" applyFont="1" applyFill="1" applyBorder="1" applyAlignment="1" applyProtection="1">
      <alignment horizontal="center" vertical="center"/>
      <protection locked="0"/>
    </xf>
    <xf numFmtId="0" fontId="49" fillId="21" borderId="27" xfId="0" applyFont="1" applyFill="1" applyBorder="1" applyAlignment="1" applyProtection="1">
      <alignment horizontal="center" vertical="center"/>
      <protection locked="0"/>
    </xf>
    <xf numFmtId="171" fontId="47" fillId="21" borderId="27" xfId="0" applyNumberFormat="1" applyFont="1" applyFill="1" applyBorder="1" applyAlignment="1" applyProtection="1">
      <alignment horizontal="center" vertical="center"/>
      <protection locked="0"/>
    </xf>
    <xf numFmtId="0" fontId="42" fillId="14" borderId="11" xfId="0" applyFont="1" applyFill="1" applyBorder="1" applyAlignment="1" applyProtection="1">
      <alignment horizontal="right" vertical="center"/>
      <protection locked="0"/>
    </xf>
    <xf numFmtId="0" fontId="42" fillId="14" borderId="11" xfId="0" applyFont="1" applyFill="1" applyBorder="1" applyAlignment="1" applyProtection="1">
      <alignment horizontal="center" vertical="center"/>
      <protection locked="0"/>
    </xf>
    <xf numFmtId="180" fontId="42" fillId="5" borderId="44" xfId="0" applyNumberFormat="1" applyFont="1" applyFill="1" applyBorder="1" applyAlignment="1" applyProtection="1">
      <alignment horizontal="center" vertical="center"/>
      <protection locked="0"/>
    </xf>
    <xf numFmtId="2" fontId="42" fillId="14" borderId="11" xfId="0" applyNumberFormat="1" applyFont="1" applyFill="1" applyBorder="1" applyAlignment="1" applyProtection="1">
      <alignment horizontal="center" vertical="center"/>
      <protection locked="0"/>
    </xf>
    <xf numFmtId="0" fontId="48" fillId="13" borderId="27" xfId="0" applyFont="1" applyFill="1" applyBorder="1" applyAlignment="1" applyProtection="1">
      <alignment horizontal="center" vertical="center"/>
      <protection locked="0"/>
    </xf>
    <xf numFmtId="1" fontId="48" fillId="13" borderId="27" xfId="0" applyNumberFormat="1" applyFont="1" applyFill="1" applyBorder="1" applyAlignment="1" applyProtection="1">
      <alignment horizontal="center" vertical="center"/>
      <protection locked="0"/>
    </xf>
    <xf numFmtId="171" fontId="48" fillId="13" borderId="27" xfId="0" applyNumberFormat="1" applyFont="1" applyFill="1" applyBorder="1" applyAlignment="1" applyProtection="1">
      <alignment horizontal="center" vertical="center"/>
      <protection locked="0"/>
    </xf>
    <xf numFmtId="168" fontId="47" fillId="13" borderId="27" xfId="0" applyNumberFormat="1" applyFont="1" applyFill="1" applyBorder="1" applyAlignment="1" applyProtection="1">
      <alignment horizontal="center" vertical="center"/>
      <protection locked="0"/>
    </xf>
    <xf numFmtId="0" fontId="47" fillId="21" borderId="27" xfId="0" applyFont="1" applyFill="1" applyBorder="1" applyAlignment="1" applyProtection="1">
      <alignment horizontal="center" vertical="center"/>
      <protection locked="0"/>
    </xf>
    <xf numFmtId="1" fontId="47" fillId="21" borderId="27" xfId="0" applyNumberFormat="1" applyFont="1" applyFill="1" applyBorder="1" applyAlignment="1" applyProtection="1">
      <alignment horizontal="center" vertical="center"/>
      <protection locked="0"/>
    </xf>
    <xf numFmtId="0" fontId="55" fillId="13" borderId="27" xfId="0" applyFont="1" applyFill="1" applyBorder="1" applyAlignment="1" applyProtection="1">
      <alignment horizontal="center" vertical="center"/>
      <protection locked="0"/>
    </xf>
    <xf numFmtId="0" fontId="49" fillId="13" borderId="27" xfId="0" applyFont="1" applyFill="1" applyBorder="1" applyAlignment="1" applyProtection="1">
      <alignment horizontal="center" vertical="center"/>
      <protection locked="0"/>
    </xf>
    <xf numFmtId="171" fontId="42" fillId="14" borderId="11" xfId="0" applyNumberFormat="1" applyFont="1" applyFill="1" applyBorder="1" applyAlignment="1" applyProtection="1">
      <alignment horizontal="center" vertical="center"/>
      <protection locked="0"/>
    </xf>
    <xf numFmtId="0" fontId="58" fillId="0" borderId="0" xfId="0" applyFont="1" applyProtection="1">
      <protection locked="0"/>
    </xf>
    <xf numFmtId="164" fontId="43" fillId="32" borderId="11" xfId="0" applyNumberFormat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47" fillId="0" borderId="0" xfId="0" applyFont="1" applyProtection="1">
      <protection locked="0"/>
    </xf>
    <xf numFmtId="0" fontId="48" fillId="0" borderId="0" xfId="0" applyFont="1" applyAlignment="1" applyProtection="1">
      <alignment vertical="center"/>
      <protection locked="0"/>
    </xf>
    <xf numFmtId="0" fontId="48" fillId="0" borderId="0" xfId="0" applyFont="1" applyProtection="1">
      <protection locked="0"/>
    </xf>
    <xf numFmtId="0" fontId="48" fillId="0" borderId="0" xfId="0" applyFont="1" applyAlignment="1" applyProtection="1">
      <alignment horizontal="left" vertical="center" indent="1"/>
      <protection locked="0"/>
    </xf>
    <xf numFmtId="0" fontId="59" fillId="0" borderId="0" xfId="0" applyFont="1" applyAlignment="1" applyProtection="1">
      <alignment horizontal="left" vertical="center" indent="1"/>
      <protection locked="0"/>
    </xf>
    <xf numFmtId="0" fontId="47" fillId="0" borderId="0" xfId="0" applyFont="1" applyAlignment="1" applyProtection="1">
      <alignment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186" fontId="41" fillId="11" borderId="36" xfId="0" applyNumberFormat="1" applyFont="1" applyFill="1" applyBorder="1" applyAlignment="1" applyProtection="1">
      <alignment horizontal="left" vertical="center"/>
      <protection locked="0"/>
    </xf>
    <xf numFmtId="0" fontId="39" fillId="0" borderId="0" xfId="0" applyFont="1" applyAlignment="1">
      <alignment horizontal="center" vertical="center"/>
    </xf>
    <xf numFmtId="187" fontId="39" fillId="0" borderId="0" xfId="0" applyNumberFormat="1" applyFont="1" applyAlignment="1">
      <alignment horizontal="center" vertical="center"/>
    </xf>
    <xf numFmtId="168" fontId="39" fillId="0" borderId="0" xfId="0" applyNumberFormat="1" applyFont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168" fontId="39" fillId="0" borderId="23" xfId="0" applyNumberFormat="1" applyFont="1" applyBorder="1" applyAlignment="1">
      <alignment horizontal="center" vertical="center"/>
    </xf>
    <xf numFmtId="187" fontId="39" fillId="0" borderId="23" xfId="0" applyNumberFormat="1" applyFont="1" applyBorder="1" applyAlignment="1">
      <alignment horizontal="center" vertical="center"/>
    </xf>
    <xf numFmtId="168" fontId="39" fillId="0" borderId="95" xfId="0" applyNumberFormat="1" applyFont="1" applyBorder="1" applyAlignment="1">
      <alignment horizontal="center" vertical="center"/>
    </xf>
    <xf numFmtId="168" fontId="39" fillId="0" borderId="96" xfId="0" applyNumberFormat="1" applyFont="1" applyBorder="1" applyAlignment="1">
      <alignment horizontal="center" vertical="center"/>
    </xf>
    <xf numFmtId="168" fontId="39" fillId="0" borderId="97" xfId="0" applyNumberFormat="1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3" xfId="0" applyFont="1" applyBorder="1" applyAlignment="1">
      <alignment horizontal="center" vertical="center"/>
    </xf>
    <xf numFmtId="168" fontId="60" fillId="0" borderId="95" xfId="0" applyNumberFormat="1" applyFont="1" applyBorder="1" applyAlignment="1">
      <alignment horizontal="center" vertical="center"/>
    </xf>
    <xf numFmtId="171" fontId="39" fillId="0" borderId="95" xfId="0" applyNumberFormat="1" applyFont="1" applyBorder="1" applyAlignment="1">
      <alignment horizontal="center" vertical="center"/>
    </xf>
    <xf numFmtId="0" fontId="39" fillId="11" borderId="2" xfId="0" applyFont="1" applyFill="1" applyBorder="1" applyAlignment="1">
      <alignment horizontal="center" vertical="center"/>
    </xf>
    <xf numFmtId="0" fontId="62" fillId="11" borderId="0" xfId="0" applyFont="1" applyFill="1" applyAlignment="1" applyProtection="1">
      <alignment horizontal="left" vertical="center"/>
      <protection locked="0"/>
    </xf>
    <xf numFmtId="0" fontId="63" fillId="0" borderId="0" xfId="0" applyFont="1" applyProtection="1">
      <protection locked="0"/>
    </xf>
    <xf numFmtId="0" fontId="63" fillId="11" borderId="0" xfId="0" applyFont="1" applyFill="1" applyProtection="1">
      <protection locked="0"/>
    </xf>
    <xf numFmtId="0" fontId="39" fillId="0" borderId="0" xfId="0" applyFont="1"/>
    <xf numFmtId="0" fontId="32" fillId="0" borderId="0" xfId="0" applyFont="1"/>
    <xf numFmtId="168" fontId="39" fillId="11" borderId="2" xfId="0" applyNumberFormat="1" applyFont="1" applyFill="1" applyBorder="1" applyAlignment="1">
      <alignment horizontal="center" vertical="center"/>
    </xf>
    <xf numFmtId="168" fontId="60" fillId="11" borderId="2" xfId="0" applyNumberFormat="1" applyFont="1" applyFill="1" applyBorder="1" applyAlignment="1">
      <alignment horizontal="center" vertical="center"/>
    </xf>
    <xf numFmtId="168" fontId="42" fillId="36" borderId="79" xfId="2" applyNumberFormat="1" applyFont="1" applyFill="1" applyBorder="1" applyAlignment="1" applyProtection="1">
      <alignment horizontal="center" vertical="center"/>
      <protection locked="0"/>
    </xf>
    <xf numFmtId="0" fontId="49" fillId="21" borderId="21" xfId="0" applyFont="1" applyFill="1" applyBorder="1" applyAlignment="1" applyProtection="1">
      <alignment horizontal="center" vertical="center"/>
      <protection locked="0"/>
    </xf>
    <xf numFmtId="0" fontId="48" fillId="13" borderId="21" xfId="0" applyFont="1" applyFill="1" applyBorder="1" applyAlignment="1" applyProtection="1">
      <alignment horizontal="center" vertical="center"/>
      <protection locked="0"/>
    </xf>
    <xf numFmtId="168" fontId="49" fillId="21" borderId="21" xfId="0" applyNumberFormat="1" applyFont="1" applyFill="1" applyBorder="1" applyAlignment="1" applyProtection="1">
      <alignment horizontal="center" vertical="center"/>
      <protection locked="0"/>
    </xf>
    <xf numFmtId="168" fontId="48" fillId="13" borderId="21" xfId="0" applyNumberFormat="1" applyFont="1" applyFill="1" applyBorder="1" applyAlignment="1" applyProtection="1">
      <alignment horizontal="center" vertical="center"/>
      <protection locked="0"/>
    </xf>
    <xf numFmtId="16" fontId="49" fillId="21" borderId="21" xfId="0" applyNumberFormat="1" applyFont="1" applyFill="1" applyBorder="1" applyAlignment="1" applyProtection="1">
      <alignment horizontal="center" vertical="center"/>
      <protection locked="0"/>
    </xf>
    <xf numFmtId="16" fontId="48" fillId="13" borderId="21" xfId="0" applyNumberFormat="1" applyFont="1" applyFill="1" applyBorder="1" applyAlignment="1" applyProtection="1">
      <alignment horizontal="center" vertical="center"/>
      <protection locked="0"/>
    </xf>
    <xf numFmtId="176" fontId="47" fillId="11" borderId="33" xfId="0" applyNumberFormat="1" applyFont="1" applyFill="1" applyBorder="1" applyAlignment="1" applyProtection="1">
      <alignment vertical="center"/>
      <protection locked="0"/>
    </xf>
    <xf numFmtId="168" fontId="42" fillId="38" borderId="1" xfId="0" applyNumberFormat="1" applyFont="1" applyFill="1" applyBorder="1" applyAlignment="1" applyProtection="1">
      <alignment horizontal="center" vertical="center"/>
      <protection locked="0"/>
    </xf>
    <xf numFmtId="168" fontId="42" fillId="38" borderId="19" xfId="0" applyNumberFormat="1" applyFont="1" applyFill="1" applyBorder="1" applyAlignment="1" applyProtection="1">
      <alignment horizontal="center" vertical="center"/>
      <protection locked="0"/>
    </xf>
    <xf numFmtId="168" fontId="42" fillId="38" borderId="81" xfId="0" applyNumberFormat="1" applyFont="1" applyFill="1" applyBorder="1" applyAlignment="1" applyProtection="1">
      <alignment horizontal="center" vertical="center"/>
      <protection locked="0"/>
    </xf>
    <xf numFmtId="168" fontId="42" fillId="15" borderId="79" xfId="0" applyNumberFormat="1" applyFont="1" applyFill="1" applyBorder="1" applyAlignment="1" applyProtection="1">
      <alignment horizontal="center" vertical="center"/>
      <protection locked="0"/>
    </xf>
    <xf numFmtId="9" fontId="42" fillId="20" borderId="1" xfId="2" applyFont="1" applyFill="1" applyBorder="1" applyAlignment="1" applyProtection="1">
      <alignment horizontal="center" vertical="center"/>
      <protection locked="0"/>
    </xf>
    <xf numFmtId="168" fontId="42" fillId="20" borderId="19" xfId="0" applyNumberFormat="1" applyFont="1" applyFill="1" applyBorder="1" applyAlignment="1" applyProtection="1">
      <alignment horizontal="center" vertical="center"/>
      <protection locked="0"/>
    </xf>
    <xf numFmtId="168" fontId="42" fillId="19" borderId="19" xfId="0" applyNumberFormat="1" applyFont="1" applyFill="1" applyBorder="1" applyAlignment="1" applyProtection="1">
      <alignment horizontal="center" vertical="center"/>
      <protection locked="0"/>
    </xf>
    <xf numFmtId="168" fontId="42" fillId="20" borderId="79" xfId="0" applyNumberFormat="1" applyFont="1" applyFill="1" applyBorder="1" applyAlignment="1" applyProtection="1">
      <alignment horizontal="center" vertical="center"/>
      <protection locked="0"/>
    </xf>
    <xf numFmtId="168" fontId="42" fillId="19" borderId="79" xfId="0" applyNumberFormat="1" applyFont="1" applyFill="1" applyBorder="1" applyAlignment="1" applyProtection="1">
      <alignment horizontal="center" vertical="center"/>
      <protection locked="0"/>
    </xf>
    <xf numFmtId="0" fontId="42" fillId="36" borderId="1" xfId="2" applyNumberFormat="1" applyFont="1" applyFill="1" applyBorder="1" applyAlignment="1" applyProtection="1">
      <alignment horizontal="center" vertical="center"/>
      <protection locked="0"/>
    </xf>
    <xf numFmtId="0" fontId="50" fillId="17" borderId="0" xfId="0" applyFont="1" applyFill="1" applyAlignment="1" applyProtection="1">
      <alignment horizontal="center" vertical="center"/>
      <protection locked="0"/>
    </xf>
    <xf numFmtId="168" fontId="42" fillId="36" borderId="19" xfId="2" applyNumberFormat="1" applyFont="1" applyFill="1" applyBorder="1" applyAlignment="1" applyProtection="1">
      <alignment horizontal="center" vertical="center"/>
      <protection locked="0"/>
    </xf>
    <xf numFmtId="182" fontId="42" fillId="6" borderId="94" xfId="2" applyNumberFormat="1" applyFont="1" applyFill="1" applyBorder="1" applyAlignment="1" applyProtection="1">
      <alignment horizontal="center" vertical="center"/>
      <protection locked="0"/>
    </xf>
    <xf numFmtId="0" fontId="40" fillId="0" borderId="27" xfId="0" applyFont="1" applyBorder="1" applyAlignment="1">
      <alignment horizontal="center" vertical="center"/>
    </xf>
    <xf numFmtId="0" fontId="50" fillId="0" borderId="0" xfId="0" applyFont="1" applyAlignment="1" applyProtection="1">
      <alignment horizontal="center" vertical="center"/>
      <protection locked="0"/>
    </xf>
    <xf numFmtId="16" fontId="38" fillId="0" borderId="0" xfId="0" applyNumberFormat="1" applyFont="1" applyAlignment="1" applyProtection="1">
      <alignment horizontal="center" vertical="center"/>
      <protection locked="0"/>
    </xf>
    <xf numFmtId="168" fontId="38" fillId="17" borderId="0" xfId="0" applyNumberFormat="1" applyFont="1" applyFill="1" applyAlignment="1" applyProtection="1">
      <alignment horizontal="center" vertical="center"/>
      <protection locked="0"/>
    </xf>
    <xf numFmtId="168" fontId="38" fillId="0" borderId="0" xfId="0" applyNumberFormat="1" applyFont="1" applyAlignment="1" applyProtection="1">
      <alignment horizontal="center" vertical="center"/>
      <protection locked="0"/>
    </xf>
    <xf numFmtId="0" fontId="48" fillId="13" borderId="19" xfId="0" applyFont="1" applyFill="1" applyBorder="1" applyAlignment="1" applyProtection="1">
      <alignment horizontal="center" vertical="center"/>
      <protection locked="0"/>
    </xf>
    <xf numFmtId="168" fontId="48" fillId="13" borderId="19" xfId="0" applyNumberFormat="1" applyFont="1" applyFill="1" applyBorder="1" applyAlignment="1" applyProtection="1">
      <alignment horizontal="center" vertical="center"/>
      <protection locked="0"/>
    </xf>
    <xf numFmtId="16" fontId="48" fillId="13" borderId="19" xfId="0" applyNumberFormat="1" applyFont="1" applyFill="1" applyBorder="1" applyAlignment="1" applyProtection="1">
      <alignment horizontal="center" vertical="center"/>
      <protection locked="0"/>
    </xf>
    <xf numFmtId="0" fontId="42" fillId="35" borderId="92" xfId="2" applyNumberFormat="1" applyFont="1" applyFill="1" applyBorder="1" applyAlignment="1" applyProtection="1">
      <alignment horizontal="center" vertical="center"/>
      <protection locked="0"/>
    </xf>
    <xf numFmtId="168" fontId="42" fillId="35" borderId="93" xfId="2" applyNumberFormat="1" applyFont="1" applyFill="1" applyBorder="1" applyAlignment="1" applyProtection="1">
      <alignment horizontal="center" vertical="center"/>
      <protection locked="0"/>
    </xf>
    <xf numFmtId="0" fontId="42" fillId="35" borderId="93" xfId="2" applyNumberFormat="1" applyFont="1" applyFill="1" applyBorder="1" applyAlignment="1" applyProtection="1">
      <alignment horizontal="center" vertical="center"/>
      <protection locked="0"/>
    </xf>
    <xf numFmtId="16" fontId="42" fillId="35" borderId="93" xfId="2" applyNumberFormat="1" applyFont="1" applyFill="1" applyBorder="1" applyAlignment="1" applyProtection="1">
      <alignment horizontal="center" vertical="center"/>
      <protection locked="0"/>
    </xf>
    <xf numFmtId="175" fontId="49" fillId="0" borderId="0" xfId="0" applyNumberFormat="1" applyFont="1" applyAlignment="1" applyProtection="1">
      <alignment horizontal="center" vertical="center"/>
      <protection locked="0"/>
    </xf>
    <xf numFmtId="180" fontId="49" fillId="0" borderId="0" xfId="0" applyNumberFormat="1" applyFont="1" applyAlignment="1" applyProtection="1">
      <alignment horizontal="center" vertical="center"/>
      <protection locked="0"/>
    </xf>
    <xf numFmtId="0" fontId="67" fillId="17" borderId="0" xfId="0" applyFont="1" applyFill="1" applyAlignment="1" applyProtection="1">
      <alignment horizontal="center" vertical="center"/>
      <protection locked="0"/>
    </xf>
    <xf numFmtId="0" fontId="42" fillId="35" borderId="1" xfId="2" applyNumberFormat="1" applyFont="1" applyFill="1" applyBorder="1" applyAlignment="1" applyProtection="1">
      <alignment horizontal="center" vertical="center"/>
      <protection locked="0"/>
    </xf>
    <xf numFmtId="168" fontId="42" fillId="5" borderId="102" xfId="0" applyNumberFormat="1" applyFont="1" applyFill="1" applyBorder="1" applyAlignment="1" applyProtection="1">
      <alignment horizontal="center" vertical="center"/>
      <protection locked="0"/>
    </xf>
    <xf numFmtId="168" fontId="42" fillId="20" borderId="103" xfId="0" applyNumberFormat="1" applyFont="1" applyFill="1" applyBorder="1" applyAlignment="1" applyProtection="1">
      <alignment horizontal="center" vertical="center"/>
      <protection locked="0"/>
    </xf>
    <xf numFmtId="168" fontId="47" fillId="11" borderId="103" xfId="0" applyNumberFormat="1" applyFont="1" applyFill="1" applyBorder="1" applyAlignment="1" applyProtection="1">
      <alignment horizontal="center" vertical="center"/>
      <protection locked="0"/>
    </xf>
    <xf numFmtId="0" fontId="47" fillId="11" borderId="103" xfId="0" applyFont="1" applyFill="1" applyBorder="1" applyAlignment="1" applyProtection="1">
      <alignment horizontal="center" vertical="center"/>
      <protection locked="0"/>
    </xf>
    <xf numFmtId="16" fontId="48" fillId="0" borderId="104" xfId="0" applyNumberFormat="1" applyFont="1" applyBorder="1" applyAlignment="1" applyProtection="1">
      <alignment horizontal="center" vertical="center"/>
      <protection locked="0"/>
    </xf>
    <xf numFmtId="16" fontId="42" fillId="5" borderId="1" xfId="0" applyNumberFormat="1" applyFont="1" applyFill="1" applyBorder="1" applyAlignment="1" applyProtection="1">
      <alignment horizontal="center" vertical="center"/>
      <protection locked="0"/>
    </xf>
    <xf numFmtId="168" fontId="47" fillId="11" borderId="1" xfId="0" applyNumberFormat="1" applyFont="1" applyFill="1" applyBorder="1" applyAlignment="1" applyProtection="1">
      <alignment horizontal="center" vertical="center"/>
      <protection locked="0"/>
    </xf>
    <xf numFmtId="168" fontId="42" fillId="5" borderId="82" xfId="0" applyNumberFormat="1" applyFont="1" applyFill="1" applyBorder="1" applyAlignment="1" applyProtection="1">
      <alignment horizontal="center" vertical="center"/>
      <protection locked="0"/>
    </xf>
    <xf numFmtId="168" fontId="42" fillId="20" borderId="20" xfId="0" applyNumberFormat="1" applyFont="1" applyFill="1" applyBorder="1" applyAlignment="1" applyProtection="1">
      <alignment horizontal="center" vertical="center"/>
      <protection locked="0"/>
    </xf>
    <xf numFmtId="168" fontId="47" fillId="11" borderId="20" xfId="0" applyNumberFormat="1" applyFont="1" applyFill="1" applyBorder="1" applyAlignment="1" applyProtection="1">
      <alignment horizontal="center" vertical="center"/>
      <protection locked="0"/>
    </xf>
    <xf numFmtId="168" fontId="42" fillId="5" borderId="105" xfId="0" applyNumberFormat="1" applyFont="1" applyFill="1" applyBorder="1" applyAlignment="1" applyProtection="1">
      <alignment horizontal="center" vertical="center"/>
      <protection locked="0"/>
    </xf>
    <xf numFmtId="168" fontId="42" fillId="20" borderId="106" xfId="0" applyNumberFormat="1" applyFont="1" applyFill="1" applyBorder="1" applyAlignment="1" applyProtection="1">
      <alignment horizontal="center" vertical="center"/>
      <protection locked="0"/>
    </xf>
    <xf numFmtId="168" fontId="47" fillId="11" borderId="106" xfId="0" applyNumberFormat="1" applyFont="1" applyFill="1" applyBorder="1" applyAlignment="1" applyProtection="1">
      <alignment horizontal="center" vertical="center"/>
      <protection locked="0"/>
    </xf>
    <xf numFmtId="16" fontId="48" fillId="0" borderId="107" xfId="0" applyNumberFormat="1" applyFont="1" applyBorder="1" applyAlignment="1" applyProtection="1">
      <alignment horizontal="center" vertical="center"/>
      <protection locked="0"/>
    </xf>
    <xf numFmtId="0" fontId="32" fillId="11" borderId="28" xfId="0" applyFont="1" applyFill="1" applyBorder="1" applyAlignment="1" applyProtection="1">
      <alignment horizontal="center" vertical="top"/>
      <protection locked="0"/>
    </xf>
    <xf numFmtId="0" fontId="32" fillId="11" borderId="10" xfId="0" applyFont="1" applyFill="1" applyBorder="1" applyAlignment="1" applyProtection="1">
      <alignment vertical="top"/>
      <protection locked="0"/>
    </xf>
    <xf numFmtId="0" fontId="30" fillId="28" borderId="0" xfId="0" applyFont="1" applyFill="1" applyAlignment="1">
      <alignment horizontal="center" vertical="center"/>
    </xf>
    <xf numFmtId="3" fontId="42" fillId="14" borderId="11" xfId="0" applyNumberFormat="1" applyFont="1" applyFill="1" applyBorder="1" applyAlignment="1" applyProtection="1">
      <alignment horizontal="center" vertical="center"/>
      <protection locked="0"/>
    </xf>
    <xf numFmtId="3" fontId="48" fillId="13" borderId="27" xfId="0" applyNumberFormat="1" applyFont="1" applyFill="1" applyBorder="1" applyAlignment="1" applyProtection="1">
      <alignment horizontal="center" vertical="center"/>
      <protection locked="0"/>
    </xf>
    <xf numFmtId="3" fontId="47" fillId="21" borderId="27" xfId="0" applyNumberFormat="1" applyFont="1" applyFill="1" applyBorder="1" applyAlignment="1" applyProtection="1">
      <alignment horizontal="center" vertical="center"/>
      <protection locked="0"/>
    </xf>
    <xf numFmtId="3" fontId="47" fillId="13" borderId="27" xfId="0" applyNumberFormat="1" applyFont="1" applyFill="1" applyBorder="1" applyAlignment="1" applyProtection="1">
      <alignment horizontal="center" vertical="center"/>
      <protection locked="0"/>
    </xf>
    <xf numFmtId="0" fontId="56" fillId="0" borderId="28" xfId="0" applyFont="1" applyBorder="1" applyProtection="1">
      <protection locked="0"/>
    </xf>
    <xf numFmtId="175" fontId="51" fillId="0" borderId="34" xfId="0" applyNumberFormat="1" applyFont="1" applyBorder="1" applyAlignment="1" applyProtection="1">
      <alignment vertical="center"/>
      <protection locked="0"/>
    </xf>
    <xf numFmtId="175" fontId="51" fillId="0" borderId="49" xfId="0" applyNumberFormat="1" applyFont="1" applyBorder="1" applyAlignment="1" applyProtection="1">
      <alignment vertical="center"/>
      <protection locked="0"/>
    </xf>
    <xf numFmtId="182" fontId="51" fillId="0" borderId="49" xfId="0" applyNumberFormat="1" applyFont="1" applyBorder="1" applyAlignment="1" applyProtection="1">
      <alignment vertical="center"/>
      <protection locked="0"/>
    </xf>
    <xf numFmtId="175" fontId="51" fillId="0" borderId="90" xfId="0" applyNumberFormat="1" applyFont="1" applyBorder="1" applyAlignment="1" applyProtection="1">
      <alignment vertical="center"/>
      <protection locked="0"/>
    </xf>
    <xf numFmtId="175" fontId="51" fillId="0" borderId="22" xfId="0" applyNumberFormat="1" applyFont="1" applyBorder="1" applyAlignment="1" applyProtection="1">
      <alignment vertical="center"/>
      <protection locked="0"/>
    </xf>
    <xf numFmtId="175" fontId="47" fillId="0" borderId="108" xfId="0" applyNumberFormat="1" applyFont="1" applyBorder="1" applyAlignment="1" applyProtection="1">
      <alignment vertical="center"/>
      <protection locked="0"/>
    </xf>
    <xf numFmtId="175" fontId="47" fillId="0" borderId="80" xfId="0" applyNumberFormat="1" applyFont="1" applyBorder="1" applyAlignment="1" applyProtection="1">
      <alignment vertical="center"/>
      <protection locked="0"/>
    </xf>
    <xf numFmtId="0" fontId="56" fillId="0" borderId="28" xfId="0" applyFont="1" applyBorder="1" applyAlignment="1" applyProtection="1">
      <alignment horizontal="right"/>
      <protection locked="0"/>
    </xf>
    <xf numFmtId="175" fontId="17" fillId="0" borderId="39" xfId="0" applyNumberFormat="1" applyFont="1" applyBorder="1" applyAlignment="1">
      <alignment horizontal="center" vertical="center"/>
    </xf>
    <xf numFmtId="175" fontId="17" fillId="0" borderId="42" xfId="0" applyNumberFormat="1" applyFont="1" applyBorder="1" applyAlignment="1">
      <alignment horizontal="center" vertical="center"/>
    </xf>
    <xf numFmtId="175" fontId="17" fillId="0" borderId="43" xfId="0" applyNumberFormat="1" applyFont="1" applyBorder="1" applyAlignment="1">
      <alignment horizontal="center" vertical="center"/>
    </xf>
    <xf numFmtId="0" fontId="14" fillId="14" borderId="41" xfId="0" applyFont="1" applyFill="1" applyBorder="1" applyAlignment="1">
      <alignment horizontal="center" vertical="center"/>
    </xf>
    <xf numFmtId="164" fontId="0" fillId="0" borderId="0" xfId="0" applyNumberFormat="1"/>
    <xf numFmtId="0" fontId="3" fillId="3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22" fillId="3" borderId="112" xfId="0" applyFont="1" applyFill="1" applyBorder="1" applyAlignment="1">
      <alignment horizontal="center" vertical="center"/>
    </xf>
    <xf numFmtId="0" fontId="22" fillId="0" borderId="113" xfId="0" applyFont="1" applyBorder="1" applyAlignment="1">
      <alignment horizontal="center" vertical="center"/>
    </xf>
    <xf numFmtId="0" fontId="22" fillId="0" borderId="67" xfId="0" applyFont="1" applyBorder="1" applyAlignment="1">
      <alignment horizontal="center" vertical="center"/>
    </xf>
    <xf numFmtId="0" fontId="22" fillId="0" borderId="76" xfId="0" applyFont="1" applyBorder="1" applyAlignment="1">
      <alignment horizontal="center" vertical="center"/>
    </xf>
    <xf numFmtId="0" fontId="22" fillId="3" borderId="114" xfId="0" applyFont="1" applyFill="1" applyBorder="1" applyAlignment="1">
      <alignment horizontal="center" vertical="center"/>
    </xf>
    <xf numFmtId="0" fontId="22" fillId="0" borderId="115" xfId="0" applyFont="1" applyBorder="1" applyAlignment="1">
      <alignment horizontal="center" vertical="center"/>
    </xf>
    <xf numFmtId="0" fontId="22" fillId="0" borderId="73" xfId="0" applyFont="1" applyBorder="1" applyAlignment="1">
      <alignment horizontal="center" vertical="center"/>
    </xf>
    <xf numFmtId="0" fontId="22" fillId="3" borderId="116" xfId="0" applyFont="1" applyFill="1" applyBorder="1" applyAlignment="1">
      <alignment horizontal="center" vertical="center"/>
    </xf>
    <xf numFmtId="0" fontId="22" fillId="0" borderId="117" xfId="0" applyFont="1" applyBorder="1" applyAlignment="1">
      <alignment horizontal="center" vertical="center"/>
    </xf>
    <xf numFmtId="0" fontId="22" fillId="0" borderId="68" xfId="0" applyFont="1" applyBorder="1" applyAlignment="1">
      <alignment horizontal="center" vertical="center"/>
    </xf>
    <xf numFmtId="0" fontId="22" fillId="0" borderId="111" xfId="0" applyFont="1" applyBorder="1" applyAlignment="1">
      <alignment horizontal="center" vertical="center"/>
    </xf>
    <xf numFmtId="0" fontId="3" fillId="3" borderId="118" xfId="0" applyFont="1" applyFill="1" applyBorder="1" applyAlignment="1">
      <alignment horizontal="center" vertical="center"/>
    </xf>
    <xf numFmtId="0" fontId="22" fillId="0" borderId="119" xfId="0" applyFont="1" applyBorder="1" applyAlignment="1">
      <alignment horizontal="center" vertical="center"/>
    </xf>
    <xf numFmtId="0" fontId="22" fillId="0" borderId="110" xfId="0" applyFont="1" applyBorder="1" applyAlignment="1">
      <alignment horizontal="center" vertical="center"/>
    </xf>
    <xf numFmtId="0" fontId="22" fillId="0" borderId="109" xfId="0" applyFont="1" applyBorder="1" applyAlignment="1">
      <alignment horizontal="center" vertical="center"/>
    </xf>
    <xf numFmtId="0" fontId="69" fillId="0" borderId="0" xfId="3" applyFont="1" applyBorder="1" applyAlignment="1">
      <alignment horizontal="left" vertical="center"/>
    </xf>
    <xf numFmtId="0" fontId="69" fillId="0" borderId="0" xfId="3" applyFont="1" applyBorder="1" applyAlignment="1">
      <alignment horizontal="center" vertical="center"/>
    </xf>
    <xf numFmtId="182" fontId="47" fillId="21" borderId="27" xfId="0" applyNumberFormat="1" applyFont="1" applyFill="1" applyBorder="1" applyAlignment="1" applyProtection="1">
      <alignment horizontal="center" vertical="center"/>
      <protection locked="0"/>
    </xf>
    <xf numFmtId="0" fontId="56" fillId="0" borderId="28" xfId="0" applyFont="1" applyBorder="1" applyAlignment="1" applyProtection="1">
      <alignment horizontal="left"/>
      <protection locked="0"/>
    </xf>
    <xf numFmtId="164" fontId="38" fillId="0" borderId="0" xfId="0" applyNumberFormat="1" applyFont="1"/>
    <xf numFmtId="171" fontId="42" fillId="26" borderId="45" xfId="0" applyNumberFormat="1" applyFont="1" applyFill="1" applyBorder="1" applyAlignment="1" applyProtection="1">
      <alignment horizontal="center" vertical="center"/>
      <protection locked="0"/>
    </xf>
    <xf numFmtId="171" fontId="42" fillId="15" borderId="46" xfId="0" applyNumberFormat="1" applyFont="1" applyFill="1" applyBorder="1" applyAlignment="1" applyProtection="1">
      <alignment horizontal="center" vertical="center"/>
      <protection locked="0"/>
    </xf>
    <xf numFmtId="9" fontId="42" fillId="35" borderId="46" xfId="2" applyFont="1" applyFill="1" applyBorder="1" applyAlignment="1" applyProtection="1">
      <alignment horizontal="center" vertical="center"/>
      <protection locked="0"/>
    </xf>
    <xf numFmtId="171" fontId="42" fillId="34" borderId="40" xfId="0" applyNumberFormat="1" applyFont="1" applyFill="1" applyBorder="1" applyAlignment="1" applyProtection="1">
      <alignment horizontal="center" vertical="center"/>
      <protection locked="0"/>
    </xf>
    <xf numFmtId="171" fontId="42" fillId="26" borderId="35" xfId="0" applyNumberFormat="1" applyFont="1" applyFill="1" applyBorder="1" applyAlignment="1" applyProtection="1">
      <alignment horizontal="center" vertical="center"/>
      <protection locked="0"/>
    </xf>
    <xf numFmtId="171" fontId="42" fillId="15" borderId="48" xfId="0" applyNumberFormat="1" applyFont="1" applyFill="1" applyBorder="1" applyAlignment="1" applyProtection="1">
      <alignment horizontal="center" vertical="center"/>
      <protection locked="0"/>
    </xf>
    <xf numFmtId="171" fontId="42" fillId="34" borderId="36" xfId="0" applyNumberFormat="1" applyFont="1" applyFill="1" applyBorder="1" applyAlignment="1" applyProtection="1">
      <alignment horizontal="center" vertical="center"/>
      <protection locked="0"/>
    </xf>
    <xf numFmtId="0" fontId="30" fillId="28" borderId="1" xfId="0" applyFont="1" applyFill="1" applyBorder="1" applyAlignment="1">
      <alignment horizontal="center" vertical="center"/>
    </xf>
    <xf numFmtId="0" fontId="45" fillId="21" borderId="27" xfId="0" applyFont="1" applyFill="1" applyBorder="1" applyAlignment="1">
      <alignment horizontal="center" vertical="center"/>
    </xf>
    <xf numFmtId="0" fontId="32" fillId="21" borderId="27" xfId="0" applyFont="1" applyFill="1" applyBorder="1" applyAlignment="1">
      <alignment horizontal="center" vertical="center"/>
    </xf>
    <xf numFmtId="168" fontId="41" fillId="21" borderId="27" xfId="0" applyNumberFormat="1" applyFont="1" applyFill="1" applyBorder="1" applyAlignment="1" applyProtection="1">
      <alignment horizontal="center" vertical="center"/>
      <protection locked="0"/>
    </xf>
    <xf numFmtId="168" fontId="47" fillId="11" borderId="78" xfId="0" applyNumberFormat="1" applyFont="1" applyFill="1" applyBorder="1" applyAlignment="1" applyProtection="1">
      <alignment horizontal="center" vertical="center"/>
      <protection locked="0"/>
    </xf>
    <xf numFmtId="185" fontId="51" fillId="11" borderId="1" xfId="0" applyNumberFormat="1" applyFont="1" applyFill="1" applyBorder="1" applyAlignment="1">
      <alignment horizontal="center" vertical="center"/>
    </xf>
    <xf numFmtId="0" fontId="30" fillId="37" borderId="19" xfId="0" applyFont="1" applyFill="1" applyBorder="1" applyAlignment="1">
      <alignment horizontal="center" vertical="center"/>
    </xf>
    <xf numFmtId="0" fontId="30" fillId="37" borderId="21" xfId="0" applyFont="1" applyFill="1" applyBorder="1" applyAlignment="1">
      <alignment horizontal="center" vertical="center"/>
    </xf>
    <xf numFmtId="0" fontId="30" fillId="25" borderId="21" xfId="0" applyFont="1" applyFill="1" applyBorder="1" applyAlignment="1">
      <alignment horizontal="center" vertical="center"/>
    </xf>
    <xf numFmtId="0" fontId="30" fillId="25" borderId="77" xfId="0" applyFont="1" applyFill="1" applyBorder="1" applyAlignment="1">
      <alignment horizontal="center" vertical="center"/>
    </xf>
    <xf numFmtId="0" fontId="40" fillId="38" borderId="1" xfId="0" applyFont="1" applyFill="1" applyBorder="1" applyAlignment="1">
      <alignment horizontal="center" vertical="center"/>
    </xf>
    <xf numFmtId="168" fontId="40" fillId="38" borderId="1" xfId="0" applyNumberFormat="1" applyFont="1" applyFill="1" applyBorder="1" applyAlignment="1">
      <alignment horizontal="center" vertical="center"/>
    </xf>
    <xf numFmtId="187" fontId="40" fillId="38" borderId="1" xfId="0" applyNumberFormat="1" applyFont="1" applyFill="1" applyBorder="1" applyAlignment="1">
      <alignment horizontal="center" vertical="center"/>
    </xf>
    <xf numFmtId="0" fontId="40" fillId="38" borderId="99" xfId="0" applyFont="1" applyFill="1" applyBorder="1" applyAlignment="1">
      <alignment horizontal="center" vertical="center"/>
    </xf>
    <xf numFmtId="0" fontId="40" fillId="38" borderId="100" xfId="0" applyFont="1" applyFill="1" applyBorder="1" applyAlignment="1">
      <alignment horizontal="center" vertical="center"/>
    </xf>
    <xf numFmtId="171" fontId="40" fillId="38" borderId="101" xfId="0" applyNumberFormat="1" applyFont="1" applyFill="1" applyBorder="1" applyAlignment="1">
      <alignment horizontal="center" vertical="center"/>
    </xf>
    <xf numFmtId="171" fontId="40" fillId="38" borderId="121" xfId="0" applyNumberFormat="1" applyFont="1" applyFill="1" applyBorder="1" applyAlignment="1">
      <alignment horizontal="center" vertical="center"/>
    </xf>
    <xf numFmtId="0" fontId="4" fillId="0" borderId="0" xfId="3" applyBorder="1" applyAlignment="1">
      <alignment horizontal="left" vertical="center"/>
    </xf>
    <xf numFmtId="0" fontId="42" fillId="6" borderId="1" xfId="3" applyFont="1" applyFill="1" applyBorder="1" applyAlignment="1" applyProtection="1">
      <alignment horizontal="center" vertical="center"/>
      <protection locked="0"/>
    </xf>
    <xf numFmtId="9" fontId="42" fillId="14" borderId="2" xfId="2" applyFont="1" applyFill="1" applyBorder="1" applyAlignment="1" applyProtection="1">
      <alignment horizontal="center" vertical="top"/>
      <protection locked="0"/>
    </xf>
    <xf numFmtId="171" fontId="42" fillId="5" borderId="122" xfId="0" applyNumberFormat="1" applyFont="1" applyFill="1" applyBorder="1" applyAlignment="1" applyProtection="1">
      <alignment horizontal="center" vertical="center"/>
      <protection locked="0"/>
    </xf>
    <xf numFmtId="0" fontId="42" fillId="14" borderId="98" xfId="0" applyFont="1" applyFill="1" applyBorder="1" applyAlignment="1" applyProtection="1">
      <alignment horizontal="center" vertical="top"/>
      <protection locked="0"/>
    </xf>
    <xf numFmtId="0" fontId="42" fillId="14" borderId="2" xfId="0" applyFont="1" applyFill="1" applyBorder="1" applyAlignment="1" applyProtection="1">
      <alignment horizontal="center" vertical="top"/>
      <protection locked="0"/>
    </xf>
    <xf numFmtId="171" fontId="42" fillId="5" borderId="2" xfId="0" applyNumberFormat="1" applyFont="1" applyFill="1" applyBorder="1" applyAlignment="1" applyProtection="1">
      <alignment horizontal="center" vertical="center"/>
      <protection locked="0"/>
    </xf>
    <xf numFmtId="171" fontId="42" fillId="6" borderId="41" xfId="0" applyNumberFormat="1" applyFont="1" applyFill="1" applyBorder="1" applyAlignment="1" applyProtection="1">
      <alignment horizontal="center" vertical="center"/>
      <protection locked="0"/>
    </xf>
    <xf numFmtId="171" fontId="42" fillId="38" borderId="41" xfId="0" applyNumberFormat="1" applyFont="1" applyFill="1" applyBorder="1" applyAlignment="1" applyProtection="1">
      <alignment horizontal="center" vertical="center"/>
      <protection locked="0"/>
    </xf>
    <xf numFmtId="171" fontId="42" fillId="38" borderId="2" xfId="0" applyNumberFormat="1" applyFont="1" applyFill="1" applyBorder="1" applyAlignment="1" applyProtection="1">
      <alignment horizontal="center" vertical="center"/>
      <protection locked="0"/>
    </xf>
    <xf numFmtId="9" fontId="42" fillId="6" borderId="2" xfId="2" applyFont="1" applyFill="1" applyBorder="1" applyAlignment="1" applyProtection="1">
      <alignment horizontal="center" vertical="top"/>
      <protection locked="0"/>
    </xf>
    <xf numFmtId="171" fontId="10" fillId="0" borderId="53" xfId="0" applyNumberFormat="1" applyFont="1" applyBorder="1" applyAlignment="1">
      <alignment horizontal="center"/>
    </xf>
    <xf numFmtId="1" fontId="9" fillId="6" borderId="50" xfId="0" applyNumberFormat="1" applyFont="1" applyFill="1" applyBorder="1" applyAlignment="1">
      <alignment horizontal="center" vertical="center"/>
    </xf>
    <xf numFmtId="1" fontId="10" fillId="0" borderId="63" xfId="0" applyNumberFormat="1" applyFont="1" applyBorder="1" applyAlignment="1">
      <alignment horizontal="center" vertical="center"/>
    </xf>
    <xf numFmtId="1" fontId="10" fillId="0" borderId="23" xfId="0" applyNumberFormat="1" applyFont="1" applyBorder="1" applyAlignment="1">
      <alignment horizontal="center" vertical="center"/>
    </xf>
    <xf numFmtId="1" fontId="0" fillId="0" borderId="0" xfId="0" applyNumberFormat="1"/>
    <xf numFmtId="1" fontId="10" fillId="0" borderId="57" xfId="0" applyNumberFormat="1" applyFont="1" applyBorder="1" applyAlignment="1">
      <alignment horizontal="center" vertical="center"/>
    </xf>
    <xf numFmtId="0" fontId="47" fillId="3" borderId="1" xfId="0" applyFont="1" applyFill="1" applyBorder="1" applyAlignment="1" applyProtection="1">
      <alignment horizontal="center" vertical="center"/>
      <protection locked="0"/>
    </xf>
    <xf numFmtId="0" fontId="42" fillId="5" borderId="1" xfId="0" applyFont="1" applyFill="1" applyBorder="1" applyAlignment="1" applyProtection="1">
      <alignment horizontal="center"/>
      <protection locked="0"/>
    </xf>
    <xf numFmtId="182" fontId="42" fillId="35" borderId="48" xfId="0" applyNumberFormat="1" applyFont="1" applyFill="1" applyBorder="1" applyAlignment="1" applyProtection="1">
      <alignment horizontal="center" vertical="center"/>
      <protection locked="0"/>
    </xf>
    <xf numFmtId="171" fontId="42" fillId="15" borderId="1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14" fillId="14" borderId="78" xfId="0" applyFont="1" applyFill="1" applyBorder="1" applyAlignment="1">
      <alignment horizontal="left" vertical="center"/>
    </xf>
    <xf numFmtId="188" fontId="14" fillId="14" borderId="78" xfId="0" applyNumberFormat="1" applyFont="1" applyFill="1" applyBorder="1" applyAlignment="1">
      <alignment horizontal="center" vertical="center"/>
    </xf>
    <xf numFmtId="0" fontId="21" fillId="3" borderId="1" xfId="1" applyNumberFormat="1" applyFont="1" applyFill="1" applyBorder="1" applyAlignment="1">
      <alignment horizontal="left" vertical="center"/>
    </xf>
    <xf numFmtId="179" fontId="14" fillId="5" borderId="1" xfId="0" applyNumberFormat="1" applyFont="1" applyFill="1" applyBorder="1" applyAlignment="1" applyProtection="1">
      <alignment horizontal="center" vertical="center"/>
      <protection locked="0"/>
    </xf>
    <xf numFmtId="171" fontId="17" fillId="3" borderId="1" xfId="0" applyNumberFormat="1" applyFont="1" applyFill="1" applyBorder="1" applyAlignment="1" applyProtection="1">
      <alignment horizontal="center" vertical="center"/>
      <protection locked="0"/>
    </xf>
    <xf numFmtId="0" fontId="21" fillId="13" borderId="21" xfId="0" applyFont="1" applyFill="1" applyBorder="1" applyAlignment="1">
      <alignment horizontal="left" vertical="center"/>
    </xf>
    <xf numFmtId="171" fontId="17" fillId="13" borderId="21" xfId="0" applyNumberFormat="1" applyFont="1" applyFill="1" applyBorder="1" applyAlignment="1" applyProtection="1">
      <alignment horizontal="center" vertical="center"/>
      <protection locked="0"/>
    </xf>
    <xf numFmtId="0" fontId="21" fillId="31" borderId="21" xfId="0" applyFont="1" applyFill="1" applyBorder="1" applyAlignment="1">
      <alignment horizontal="left" vertical="center"/>
    </xf>
    <xf numFmtId="171" fontId="17" fillId="31" borderId="21" xfId="0" applyNumberFormat="1" applyFont="1" applyFill="1" applyBorder="1" applyAlignment="1" applyProtection="1">
      <alignment horizontal="center" vertical="center"/>
      <protection locked="0"/>
    </xf>
    <xf numFmtId="0" fontId="21" fillId="3" borderId="1" xfId="0" applyFont="1" applyFill="1" applyBorder="1" applyAlignment="1">
      <alignment horizontal="left" vertical="center"/>
    </xf>
    <xf numFmtId="182" fontId="17" fillId="13" borderId="21" xfId="0" applyNumberFormat="1" applyFont="1" applyFill="1" applyBorder="1" applyAlignment="1" applyProtection="1">
      <alignment horizontal="center" vertical="center"/>
      <protection locked="0"/>
    </xf>
    <xf numFmtId="171" fontId="17" fillId="3" borderId="88" xfId="0" applyNumberFormat="1" applyFont="1" applyFill="1" applyBorder="1" applyAlignment="1" applyProtection="1">
      <alignment horizontal="center" vertical="center"/>
      <protection locked="0"/>
    </xf>
    <xf numFmtId="171" fontId="17" fillId="3" borderId="89" xfId="0" applyNumberFormat="1" applyFont="1" applyFill="1" applyBorder="1" applyAlignment="1" applyProtection="1">
      <alignment horizontal="center" vertical="center"/>
      <protection locked="0"/>
    </xf>
    <xf numFmtId="171" fontId="17" fillId="11" borderId="31" xfId="0" applyNumberFormat="1" applyFont="1" applyFill="1" applyBorder="1" applyAlignment="1" applyProtection="1">
      <alignment horizontal="center" vertical="center"/>
      <protection locked="0"/>
    </xf>
    <xf numFmtId="171" fontId="14" fillId="5" borderId="31" xfId="0" applyNumberFormat="1" applyFont="1" applyFill="1" applyBorder="1" applyAlignment="1" applyProtection="1">
      <alignment horizontal="center" vertical="center"/>
      <protection locked="0"/>
    </xf>
    <xf numFmtId="171" fontId="17" fillId="21" borderId="21" xfId="0" applyNumberFormat="1" applyFont="1" applyFill="1" applyBorder="1" applyAlignment="1" applyProtection="1">
      <alignment horizontal="center" vertical="center"/>
      <protection locked="0"/>
    </xf>
    <xf numFmtId="171" fontId="17" fillId="21" borderId="79" xfId="0" applyNumberFormat="1" applyFont="1" applyFill="1" applyBorder="1" applyAlignment="1" applyProtection="1">
      <alignment horizontal="center" vertical="center"/>
      <protection locked="0"/>
    </xf>
    <xf numFmtId="171" fontId="17" fillId="11" borderId="29" xfId="0" applyNumberFormat="1" applyFont="1" applyFill="1" applyBorder="1" applyAlignment="1" applyProtection="1">
      <alignment horizontal="center" vertical="center"/>
      <protection locked="0"/>
    </xf>
    <xf numFmtId="171" fontId="17" fillId="13" borderId="75" xfId="0" applyNumberFormat="1" applyFont="1" applyFill="1" applyBorder="1" applyAlignment="1" applyProtection="1">
      <alignment horizontal="center" vertical="center"/>
      <protection locked="0"/>
    </xf>
    <xf numFmtId="171" fontId="14" fillId="5" borderId="91" xfId="0" applyNumberFormat="1" applyFont="1" applyFill="1" applyBorder="1" applyAlignment="1" applyProtection="1">
      <alignment horizontal="center" vertical="center"/>
      <protection locked="0"/>
    </xf>
    <xf numFmtId="168" fontId="42" fillId="20" borderId="81" xfId="0" applyNumberFormat="1" applyFont="1" applyFill="1" applyBorder="1" applyAlignment="1" applyProtection="1">
      <alignment horizontal="center" vertical="center"/>
      <protection locked="0"/>
    </xf>
    <xf numFmtId="168" fontId="42" fillId="19" borderId="81" xfId="0" applyNumberFormat="1" applyFont="1" applyFill="1" applyBorder="1" applyAlignment="1" applyProtection="1">
      <alignment horizontal="center" vertical="center"/>
      <protection locked="0"/>
    </xf>
    <xf numFmtId="0" fontId="47" fillId="11" borderId="125" xfId="0" applyFont="1" applyFill="1" applyBorder="1" applyAlignment="1" applyProtection="1">
      <alignment horizontal="center" vertical="center"/>
      <protection locked="0"/>
    </xf>
    <xf numFmtId="16" fontId="48" fillId="0" borderId="126" xfId="0" applyNumberFormat="1" applyFont="1" applyBorder="1" applyAlignment="1" applyProtection="1">
      <alignment horizontal="center" vertical="center"/>
      <protection locked="0"/>
    </xf>
    <xf numFmtId="16" fontId="42" fillId="5" borderId="78" xfId="0" applyNumberFormat="1" applyFont="1" applyFill="1" applyBorder="1" applyAlignment="1" applyProtection="1">
      <alignment horizontal="center" vertical="center"/>
      <protection locked="0"/>
    </xf>
    <xf numFmtId="168" fontId="42" fillId="36" borderId="1" xfId="2" applyNumberFormat="1" applyFont="1" applyFill="1" applyBorder="1" applyAlignment="1" applyProtection="1">
      <alignment horizontal="center" vertical="center"/>
      <protection locked="0"/>
    </xf>
    <xf numFmtId="171" fontId="46" fillId="17" borderId="0" xfId="0" applyNumberFormat="1" applyFont="1" applyFill="1" applyAlignment="1" applyProtection="1">
      <alignment horizontal="center" vertical="center"/>
      <protection locked="0"/>
    </xf>
    <xf numFmtId="171" fontId="42" fillId="5" borderId="102" xfId="0" applyNumberFormat="1" applyFont="1" applyFill="1" applyBorder="1" applyAlignment="1" applyProtection="1">
      <alignment horizontal="center" vertical="center"/>
      <protection locked="0"/>
    </xf>
    <xf numFmtId="1" fontId="10" fillId="0" borderId="69" xfId="0" applyNumberFormat="1" applyFont="1" applyBorder="1" applyAlignment="1">
      <alignment horizontal="center" vertical="center"/>
    </xf>
    <xf numFmtId="171" fontId="10" fillId="0" borderId="23" xfId="0" applyNumberFormat="1" applyFont="1" applyBorder="1" applyAlignment="1">
      <alignment horizontal="center"/>
    </xf>
    <xf numFmtId="168" fontId="73" fillId="36" borderId="19" xfId="2" applyNumberFormat="1" applyFont="1" applyFill="1" applyBorder="1" applyAlignment="1" applyProtection="1">
      <alignment horizontal="center" vertical="center"/>
      <protection locked="0"/>
    </xf>
    <xf numFmtId="168" fontId="72" fillId="11" borderId="20" xfId="0" applyNumberFormat="1" applyFont="1" applyFill="1" applyBorder="1" applyAlignment="1" applyProtection="1">
      <alignment horizontal="center" vertical="center"/>
      <protection locked="0"/>
    </xf>
    <xf numFmtId="168" fontId="73" fillId="36" borderId="79" xfId="2" applyNumberFormat="1" applyFont="1" applyFill="1" applyBorder="1" applyAlignment="1" applyProtection="1">
      <alignment horizontal="center" vertical="center"/>
      <protection locked="0"/>
    </xf>
    <xf numFmtId="168" fontId="73" fillId="5" borderId="102" xfId="0" applyNumberFormat="1" applyFont="1" applyFill="1" applyBorder="1" applyAlignment="1" applyProtection="1">
      <alignment horizontal="center" vertical="center"/>
      <protection locked="0"/>
    </xf>
    <xf numFmtId="168" fontId="73" fillId="20" borderId="103" xfId="0" applyNumberFormat="1" applyFont="1" applyFill="1" applyBorder="1" applyAlignment="1" applyProtection="1">
      <alignment horizontal="center" vertical="center"/>
      <protection locked="0"/>
    </xf>
    <xf numFmtId="168" fontId="72" fillId="11" borderId="103" xfId="0" applyNumberFormat="1" applyFont="1" applyFill="1" applyBorder="1" applyAlignment="1" applyProtection="1">
      <alignment horizontal="center" vertical="center"/>
      <protection locked="0"/>
    </xf>
    <xf numFmtId="0" fontId="72" fillId="11" borderId="103" xfId="0" applyFont="1" applyFill="1" applyBorder="1" applyAlignment="1" applyProtection="1">
      <alignment horizontal="center" vertical="center"/>
      <protection locked="0"/>
    </xf>
    <xf numFmtId="168" fontId="73" fillId="5" borderId="82" xfId="0" applyNumberFormat="1" applyFont="1" applyFill="1" applyBorder="1" applyAlignment="1" applyProtection="1">
      <alignment horizontal="center" vertical="center"/>
      <protection locked="0"/>
    </xf>
    <xf numFmtId="168" fontId="73" fillId="20" borderId="20" xfId="0" applyNumberFormat="1" applyFont="1" applyFill="1" applyBorder="1" applyAlignment="1" applyProtection="1">
      <alignment horizontal="center" vertical="center"/>
      <protection locked="0"/>
    </xf>
    <xf numFmtId="168" fontId="73" fillId="5" borderId="105" xfId="0" applyNumberFormat="1" applyFont="1" applyFill="1" applyBorder="1" applyAlignment="1" applyProtection="1">
      <alignment horizontal="center" vertical="center"/>
      <protection locked="0"/>
    </xf>
    <xf numFmtId="168" fontId="73" fillId="20" borderId="106" xfId="0" applyNumberFormat="1" applyFont="1" applyFill="1" applyBorder="1" applyAlignment="1" applyProtection="1">
      <alignment horizontal="center" vertical="center"/>
      <protection locked="0"/>
    </xf>
    <xf numFmtId="168" fontId="72" fillId="11" borderId="106" xfId="0" applyNumberFormat="1" applyFont="1" applyFill="1" applyBorder="1" applyAlignment="1" applyProtection="1">
      <alignment horizontal="center" vertical="center"/>
      <protection locked="0"/>
    </xf>
    <xf numFmtId="16" fontId="73" fillId="5" borderId="1" xfId="0" applyNumberFormat="1" applyFont="1" applyFill="1" applyBorder="1" applyAlignment="1" applyProtection="1">
      <alignment horizontal="center" vertical="center"/>
      <protection locked="0"/>
    </xf>
    <xf numFmtId="168" fontId="72" fillId="11" borderId="1" xfId="0" applyNumberFormat="1" applyFont="1" applyFill="1" applyBorder="1" applyAlignment="1" applyProtection="1">
      <alignment horizontal="center" vertical="center"/>
      <protection locked="0"/>
    </xf>
    <xf numFmtId="185" fontId="74" fillId="11" borderId="1" xfId="0" applyNumberFormat="1" applyFont="1" applyFill="1" applyBorder="1" applyAlignment="1">
      <alignment horizontal="center" vertical="center"/>
    </xf>
    <xf numFmtId="1" fontId="72" fillId="3" borderId="103" xfId="0" applyNumberFormat="1" applyFont="1" applyFill="1" applyBorder="1" applyAlignment="1" applyProtection="1">
      <alignment horizontal="center" vertical="center"/>
      <protection locked="0"/>
    </xf>
    <xf numFmtId="178" fontId="76" fillId="11" borderId="12" xfId="0" applyNumberFormat="1" applyFont="1" applyFill="1" applyBorder="1" applyAlignment="1">
      <alignment horizontal="center" vertical="center"/>
    </xf>
    <xf numFmtId="178" fontId="76" fillId="11" borderId="127" xfId="0" applyNumberFormat="1" applyFont="1" applyFill="1" applyBorder="1" applyAlignment="1">
      <alignment horizontal="center" vertical="center"/>
    </xf>
    <xf numFmtId="168" fontId="73" fillId="38" borderId="1" xfId="0" applyNumberFormat="1" applyFont="1" applyFill="1" applyBorder="1" applyAlignment="1" applyProtection="1">
      <alignment horizontal="center" vertical="center"/>
      <protection locked="0"/>
    </xf>
    <xf numFmtId="9" fontId="73" fillId="20" borderId="1" xfId="2" applyFont="1" applyFill="1" applyBorder="1" applyAlignment="1" applyProtection="1">
      <alignment horizontal="center" vertical="center"/>
      <protection locked="0"/>
    </xf>
    <xf numFmtId="168" fontId="73" fillId="19" borderId="1" xfId="0" applyNumberFormat="1" applyFont="1" applyFill="1" applyBorder="1" applyAlignment="1" applyProtection="1">
      <alignment horizontal="center" vertical="center"/>
      <protection locked="0"/>
    </xf>
    <xf numFmtId="168" fontId="73" fillId="15" borderId="1" xfId="0" applyNumberFormat="1" applyFont="1" applyFill="1" applyBorder="1" applyAlignment="1" applyProtection="1">
      <alignment horizontal="center" vertical="center"/>
      <protection locked="0"/>
    </xf>
    <xf numFmtId="168" fontId="73" fillId="15" borderId="79" xfId="0" applyNumberFormat="1" applyFont="1" applyFill="1" applyBorder="1" applyAlignment="1" applyProtection="1">
      <alignment horizontal="center" vertical="center"/>
      <protection locked="0"/>
    </xf>
    <xf numFmtId="168" fontId="73" fillId="19" borderId="79" xfId="0" applyNumberFormat="1" applyFont="1" applyFill="1" applyBorder="1" applyAlignment="1" applyProtection="1">
      <alignment horizontal="center" vertical="center"/>
      <protection locked="0"/>
    </xf>
    <xf numFmtId="168" fontId="73" fillId="36" borderId="128" xfId="2" applyNumberFormat="1" applyFont="1" applyFill="1" applyBorder="1" applyAlignment="1" applyProtection="1">
      <alignment horizontal="center" vertical="center"/>
      <protection locked="0"/>
    </xf>
    <xf numFmtId="168" fontId="73" fillId="36" borderId="91" xfId="2" applyNumberFormat="1" applyFont="1" applyFill="1" applyBorder="1" applyAlignment="1" applyProtection="1">
      <alignment horizontal="center" vertical="center"/>
      <protection locked="0"/>
    </xf>
    <xf numFmtId="1" fontId="72" fillId="3" borderId="102" xfId="0" applyNumberFormat="1" applyFont="1" applyFill="1" applyBorder="1" applyAlignment="1" applyProtection="1">
      <alignment horizontal="center" vertical="center"/>
      <protection locked="0"/>
    </xf>
    <xf numFmtId="1" fontId="72" fillId="3" borderId="104" xfId="0" applyNumberFormat="1" applyFont="1" applyFill="1" applyBorder="1" applyAlignment="1" applyProtection="1">
      <alignment horizontal="center" vertical="center"/>
      <protection locked="0"/>
    </xf>
    <xf numFmtId="171" fontId="17" fillId="11" borderId="8" xfId="0" applyNumberFormat="1" applyFont="1" applyFill="1" applyBorder="1" applyAlignment="1" applyProtection="1">
      <alignment horizontal="center" vertical="center"/>
      <protection locked="0"/>
    </xf>
    <xf numFmtId="171" fontId="14" fillId="5" borderId="9" xfId="0" applyNumberFormat="1" applyFont="1" applyFill="1" applyBorder="1" applyAlignment="1" applyProtection="1">
      <alignment horizontal="center" vertical="center"/>
      <protection locked="0"/>
    </xf>
    <xf numFmtId="171" fontId="14" fillId="5" borderId="8" xfId="0" applyNumberFormat="1" applyFont="1" applyFill="1" applyBorder="1" applyAlignment="1" applyProtection="1">
      <alignment horizontal="center" vertical="center"/>
      <protection locked="0"/>
    </xf>
    <xf numFmtId="171" fontId="17" fillId="13" borderId="8" xfId="0" applyNumberFormat="1" applyFont="1" applyFill="1" applyBorder="1" applyAlignment="1" applyProtection="1">
      <alignment horizontal="center" vertical="center"/>
      <protection locked="0"/>
    </xf>
    <xf numFmtId="171" fontId="17" fillId="21" borderId="8" xfId="0" applyNumberFormat="1" applyFont="1" applyFill="1" applyBorder="1" applyAlignment="1" applyProtection="1">
      <alignment horizontal="center" vertical="center"/>
      <protection locked="0"/>
    </xf>
    <xf numFmtId="171" fontId="17" fillId="21" borderId="9" xfId="0" applyNumberFormat="1" applyFont="1" applyFill="1" applyBorder="1" applyAlignment="1" applyProtection="1">
      <alignment horizontal="center" vertical="center"/>
      <protection locked="0"/>
    </xf>
    <xf numFmtId="171" fontId="17" fillId="11" borderId="6" xfId="0" applyNumberFormat="1" applyFont="1" applyFill="1" applyBorder="1" applyAlignment="1" applyProtection="1">
      <alignment horizontal="center" vertical="center"/>
      <protection locked="0"/>
    </xf>
    <xf numFmtId="171" fontId="17" fillId="13" borderId="6" xfId="0" applyNumberFormat="1" applyFont="1" applyFill="1" applyBorder="1" applyAlignment="1" applyProtection="1">
      <alignment horizontal="center" vertical="center"/>
      <protection locked="0"/>
    </xf>
    <xf numFmtId="168" fontId="73" fillId="38" borderId="75" xfId="0" applyNumberFormat="1" applyFont="1" applyFill="1" applyBorder="1" applyAlignment="1" applyProtection="1">
      <alignment horizontal="center" vertical="center"/>
      <protection locked="0"/>
    </xf>
    <xf numFmtId="168" fontId="73" fillId="19" borderId="75" xfId="0" applyNumberFormat="1" applyFont="1" applyFill="1" applyBorder="1" applyAlignment="1" applyProtection="1">
      <alignment horizontal="center" vertical="center"/>
      <protection locked="0"/>
    </xf>
    <xf numFmtId="168" fontId="73" fillId="15" borderId="75" xfId="0" applyNumberFormat="1" applyFont="1" applyFill="1" applyBorder="1" applyAlignment="1" applyProtection="1">
      <alignment horizontal="center" vertical="center"/>
      <protection locked="0"/>
    </xf>
    <xf numFmtId="168" fontId="73" fillId="38" borderId="79" xfId="0" applyNumberFormat="1" applyFont="1" applyFill="1" applyBorder="1" applyAlignment="1" applyProtection="1">
      <alignment horizontal="center" vertical="center"/>
      <protection locked="0"/>
    </xf>
    <xf numFmtId="0" fontId="73" fillId="20" borderId="75" xfId="0" applyFont="1" applyFill="1" applyBorder="1" applyAlignment="1" applyProtection="1">
      <alignment horizontal="center" vertical="center"/>
      <protection locked="0"/>
    </xf>
    <xf numFmtId="0" fontId="73" fillId="20" borderId="79" xfId="0" applyFont="1" applyFill="1" applyBorder="1" applyAlignment="1" applyProtection="1">
      <alignment horizontal="center" vertical="center"/>
      <protection locked="0"/>
    </xf>
    <xf numFmtId="168" fontId="73" fillId="36" borderId="75" xfId="2" applyNumberFormat="1" applyFont="1" applyFill="1" applyBorder="1" applyAlignment="1" applyProtection="1">
      <alignment horizontal="center" vertical="center"/>
      <protection locked="0"/>
    </xf>
    <xf numFmtId="0" fontId="38" fillId="17" borderId="0" xfId="0" applyFont="1" applyFill="1" applyAlignment="1" applyProtection="1">
      <alignment vertical="center"/>
      <protection locked="0"/>
    </xf>
    <xf numFmtId="0" fontId="21" fillId="13" borderId="29" xfId="0" applyFont="1" applyFill="1" applyBorder="1" applyAlignment="1">
      <alignment vertical="center"/>
    </xf>
    <xf numFmtId="0" fontId="21" fillId="13" borderId="37" xfId="0" applyFont="1" applyFill="1" applyBorder="1" applyAlignment="1">
      <alignment vertical="center"/>
    </xf>
    <xf numFmtId="0" fontId="21" fillId="13" borderId="80" xfId="0" applyFont="1" applyFill="1" applyBorder="1" applyAlignment="1">
      <alignment vertical="center"/>
    </xf>
    <xf numFmtId="0" fontId="21" fillId="31" borderId="31" xfId="0" applyFont="1" applyFill="1" applyBorder="1" applyAlignment="1">
      <alignment vertical="center"/>
    </xf>
    <xf numFmtId="0" fontId="21" fillId="31" borderId="27" xfId="0" applyFont="1" applyFill="1" applyBorder="1" applyAlignment="1">
      <alignment vertical="center"/>
    </xf>
    <xf numFmtId="0" fontId="21" fillId="31" borderId="22" xfId="0" applyFont="1" applyFill="1" applyBorder="1" applyAlignment="1">
      <alignment vertical="center"/>
    </xf>
    <xf numFmtId="0" fontId="21" fillId="13" borderId="31" xfId="0" applyFont="1" applyFill="1" applyBorder="1" applyAlignment="1">
      <alignment vertical="center"/>
    </xf>
    <xf numFmtId="0" fontId="21" fillId="13" borderId="27" xfId="0" applyFont="1" applyFill="1" applyBorder="1" applyAlignment="1">
      <alignment vertical="center"/>
    </xf>
    <xf numFmtId="0" fontId="21" fillId="13" borderId="22" xfId="0" applyFont="1" applyFill="1" applyBorder="1" applyAlignment="1">
      <alignment vertical="center"/>
    </xf>
    <xf numFmtId="0" fontId="21" fillId="3" borderId="4" xfId="1" applyNumberFormat="1" applyFont="1" applyFill="1" applyBorder="1" applyAlignment="1"/>
    <xf numFmtId="0" fontId="21" fillId="3" borderId="11" xfId="1" applyNumberFormat="1" applyFont="1" applyFill="1" applyBorder="1" applyAlignment="1"/>
    <xf numFmtId="0" fontId="21" fillId="3" borderId="5" xfId="1" applyNumberFormat="1" applyFont="1" applyFill="1" applyBorder="1" applyAlignment="1"/>
    <xf numFmtId="0" fontId="14" fillId="14" borderId="4" xfId="0" applyFont="1" applyFill="1" applyBorder="1" applyAlignment="1">
      <alignment vertical="center"/>
    </xf>
    <xf numFmtId="0" fontId="14" fillId="14" borderId="11" xfId="0" applyFont="1" applyFill="1" applyBorder="1" applyAlignment="1">
      <alignment vertical="center"/>
    </xf>
    <xf numFmtId="0" fontId="14" fillId="14" borderId="5" xfId="0" applyFont="1" applyFill="1" applyBorder="1" applyAlignment="1">
      <alignment vertical="center"/>
    </xf>
    <xf numFmtId="0" fontId="21" fillId="3" borderId="4" xfId="0" applyFont="1" applyFill="1" applyBorder="1" applyAlignment="1">
      <alignment vertical="center"/>
    </xf>
    <xf numFmtId="0" fontId="21" fillId="3" borderId="11" xfId="0" applyFont="1" applyFill="1" applyBorder="1" applyAlignment="1">
      <alignment vertical="center"/>
    </xf>
    <xf numFmtId="0" fontId="21" fillId="3" borderId="5" xfId="0" applyFont="1" applyFill="1" applyBorder="1" applyAlignment="1">
      <alignment vertical="center"/>
    </xf>
    <xf numFmtId="0" fontId="47" fillId="17" borderId="0" xfId="0" applyFont="1" applyFill="1" applyAlignment="1" applyProtection="1">
      <alignment horizontal="center" vertical="center"/>
      <protection locked="0"/>
    </xf>
    <xf numFmtId="171" fontId="17" fillId="13" borderId="78" xfId="0" applyNumberFormat="1" applyFont="1" applyFill="1" applyBorder="1" applyAlignment="1" applyProtection="1">
      <alignment horizontal="center" vertical="center"/>
      <protection locked="0"/>
    </xf>
    <xf numFmtId="171" fontId="17" fillId="21" borderId="23" xfId="0" applyNumberFormat="1" applyFont="1" applyFill="1" applyBorder="1" applyAlignment="1" applyProtection="1">
      <alignment horizontal="center" vertical="center"/>
      <protection locked="0"/>
    </xf>
    <xf numFmtId="171" fontId="17" fillId="13" borderId="23" xfId="0" applyNumberFormat="1" applyFont="1" applyFill="1" applyBorder="1" applyAlignment="1" applyProtection="1">
      <alignment horizontal="center" vertical="center"/>
      <protection locked="0"/>
    </xf>
    <xf numFmtId="171" fontId="17" fillId="21" borderId="81" xfId="0" applyNumberFormat="1" applyFont="1" applyFill="1" applyBorder="1" applyAlignment="1" applyProtection="1">
      <alignment horizontal="center" vertical="center"/>
      <protection locked="0"/>
    </xf>
    <xf numFmtId="0" fontId="77" fillId="3" borderId="5" xfId="0" applyFont="1" applyFill="1" applyBorder="1" applyAlignment="1">
      <alignment horizontal="center" vertical="center"/>
    </xf>
    <xf numFmtId="0" fontId="77" fillId="15" borderId="10" xfId="0" applyFont="1" applyFill="1" applyBorder="1" applyAlignment="1">
      <alignment horizontal="center" vertical="center"/>
    </xf>
    <xf numFmtId="0" fontId="77" fillId="3" borderId="10" xfId="0" applyFont="1" applyFill="1" applyBorder="1" applyAlignment="1">
      <alignment horizontal="center" vertical="center"/>
    </xf>
    <xf numFmtId="164" fontId="77" fillId="3" borderId="10" xfId="0" applyNumberFormat="1" applyFont="1" applyFill="1" applyBorder="1" applyAlignment="1">
      <alignment horizontal="center" vertical="center"/>
    </xf>
    <xf numFmtId="0" fontId="77" fillId="3" borderId="91" xfId="0" applyFont="1" applyFill="1" applyBorder="1" applyAlignment="1">
      <alignment vertical="center"/>
    </xf>
    <xf numFmtId="0" fontId="77" fillId="3" borderId="38" xfId="0" applyFont="1" applyFill="1" applyBorder="1" applyAlignment="1">
      <alignment vertical="center"/>
    </xf>
    <xf numFmtId="166" fontId="0" fillId="0" borderId="0" xfId="0" applyNumberFormat="1"/>
    <xf numFmtId="176" fontId="32" fillId="11" borderId="75" xfId="0" applyNumberFormat="1" applyFont="1" applyFill="1" applyBorder="1" applyAlignment="1" applyProtection="1">
      <alignment horizontal="center" vertical="center"/>
      <protection locked="0"/>
    </xf>
    <xf numFmtId="176" fontId="44" fillId="0" borderId="36" xfId="0" applyNumberFormat="1" applyFont="1" applyBorder="1" applyAlignment="1" applyProtection="1">
      <alignment horizontal="center" vertical="center"/>
      <protection locked="0"/>
    </xf>
    <xf numFmtId="0" fontId="81" fillId="3" borderId="129" xfId="0" applyFont="1" applyFill="1" applyBorder="1" applyAlignment="1">
      <alignment horizontal="center" vertical="center"/>
    </xf>
    <xf numFmtId="0" fontId="82" fillId="31" borderId="31" xfId="0" applyFont="1" applyFill="1" applyBorder="1" applyAlignment="1">
      <alignment vertical="center"/>
    </xf>
    <xf numFmtId="0" fontId="82" fillId="31" borderId="27" xfId="0" applyFont="1" applyFill="1" applyBorder="1" applyAlignment="1">
      <alignment vertical="center"/>
    </xf>
    <xf numFmtId="0" fontId="82" fillId="31" borderId="22" xfId="0" applyFont="1" applyFill="1" applyBorder="1" applyAlignment="1">
      <alignment vertical="center"/>
    </xf>
    <xf numFmtId="0" fontId="82" fillId="13" borderId="31" xfId="0" applyFont="1" applyFill="1" applyBorder="1" applyAlignment="1">
      <alignment vertical="center"/>
    </xf>
    <xf numFmtId="0" fontId="82" fillId="13" borderId="27" xfId="0" applyFont="1" applyFill="1" applyBorder="1" applyAlignment="1">
      <alignment vertical="center"/>
    </xf>
    <xf numFmtId="0" fontId="82" fillId="13" borderId="22" xfId="0" applyFont="1" applyFill="1" applyBorder="1" applyAlignment="1">
      <alignment vertical="center"/>
    </xf>
    <xf numFmtId="0" fontId="81" fillId="3" borderId="62" xfId="0" applyFont="1" applyFill="1" applyBorder="1" applyAlignment="1">
      <alignment horizontal="center" vertical="center"/>
    </xf>
    <xf numFmtId="0" fontId="82" fillId="3" borderId="4" xfId="0" applyFont="1" applyFill="1" applyBorder="1" applyAlignment="1">
      <alignment vertical="center"/>
    </xf>
    <xf numFmtId="0" fontId="82" fillId="3" borderId="11" xfId="0" applyFont="1" applyFill="1" applyBorder="1" applyAlignment="1">
      <alignment vertical="center"/>
    </xf>
    <xf numFmtId="0" fontId="82" fillId="3" borderId="5" xfId="0" applyFont="1" applyFill="1" applyBorder="1" applyAlignment="1">
      <alignment vertical="center"/>
    </xf>
    <xf numFmtId="168" fontId="42" fillId="36" borderId="75" xfId="2" applyNumberFormat="1" applyFont="1" applyFill="1" applyBorder="1" applyAlignment="1" applyProtection="1">
      <alignment horizontal="center" vertical="center"/>
      <protection locked="0"/>
    </xf>
    <xf numFmtId="168" fontId="42" fillId="5" borderId="133" xfId="0" applyNumberFormat="1" applyFont="1" applyFill="1" applyBorder="1" applyAlignment="1" applyProtection="1">
      <alignment horizontal="center" vertical="center"/>
      <protection locked="0"/>
    </xf>
    <xf numFmtId="168" fontId="42" fillId="20" borderId="134" xfId="0" applyNumberFormat="1" applyFont="1" applyFill="1" applyBorder="1" applyAlignment="1" applyProtection="1">
      <alignment horizontal="center" vertical="center"/>
      <protection locked="0"/>
    </xf>
    <xf numFmtId="168" fontId="47" fillId="11" borderId="134" xfId="0" applyNumberFormat="1" applyFont="1" applyFill="1" applyBorder="1" applyAlignment="1" applyProtection="1">
      <alignment horizontal="center" vertical="center"/>
      <protection locked="0"/>
    </xf>
    <xf numFmtId="168" fontId="42" fillId="20" borderId="75" xfId="0" applyNumberFormat="1" applyFont="1" applyFill="1" applyBorder="1" applyAlignment="1" applyProtection="1">
      <alignment horizontal="center" vertical="center"/>
      <protection locked="0"/>
    </xf>
    <xf numFmtId="168" fontId="42" fillId="19" borderId="75" xfId="0" applyNumberFormat="1" applyFont="1" applyFill="1" applyBorder="1" applyAlignment="1" applyProtection="1">
      <alignment horizontal="center" vertical="center"/>
      <protection locked="0"/>
    </xf>
    <xf numFmtId="168" fontId="42" fillId="15" borderId="75" xfId="0" applyNumberFormat="1" applyFont="1" applyFill="1" applyBorder="1" applyAlignment="1" applyProtection="1">
      <alignment horizontal="center" vertical="center"/>
      <protection locked="0"/>
    </xf>
    <xf numFmtId="0" fontId="40" fillId="0" borderId="135" xfId="0" applyFont="1" applyBorder="1" applyAlignment="1">
      <alignment horizontal="center" vertical="center"/>
    </xf>
    <xf numFmtId="0" fontId="47" fillId="13" borderId="141" xfId="0" applyFont="1" applyFill="1" applyBorder="1" applyAlignment="1">
      <alignment horizontal="center" vertical="center" wrapText="1"/>
    </xf>
    <xf numFmtId="0" fontId="4" fillId="0" borderId="0" xfId="3" applyAlignment="1">
      <alignment horizontal="center" vertical="center"/>
    </xf>
    <xf numFmtId="0" fontId="47" fillId="6" borderId="140" xfId="0" applyFont="1" applyFill="1" applyBorder="1" applyAlignment="1">
      <alignment horizontal="center" vertical="center" wrapText="1"/>
    </xf>
    <xf numFmtId="0" fontId="42" fillId="46" borderId="141" xfId="0" applyFont="1" applyFill="1" applyBorder="1" applyAlignment="1">
      <alignment horizontal="center" vertical="center" wrapText="1"/>
    </xf>
    <xf numFmtId="0" fontId="42" fillId="46" borderId="144" xfId="0" applyFont="1" applyFill="1" applyBorder="1" applyAlignment="1">
      <alignment horizontal="center" vertical="center" wrapText="1"/>
    </xf>
    <xf numFmtId="0" fontId="42" fillId="6" borderId="140" xfId="0" applyFont="1" applyFill="1" applyBorder="1" applyAlignment="1">
      <alignment horizontal="center" vertical="center" wrapText="1"/>
    </xf>
    <xf numFmtId="0" fontId="42" fillId="6" borderId="142" xfId="0" applyFont="1" applyFill="1" applyBorder="1" applyAlignment="1">
      <alignment horizontal="center" vertical="center" wrapText="1"/>
    </xf>
    <xf numFmtId="0" fontId="42" fillId="6" borderId="14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7" fillId="13" borderId="145" xfId="0" applyFont="1" applyFill="1" applyBorder="1" applyAlignment="1">
      <alignment horizontal="center" vertical="center" wrapText="1"/>
    </xf>
    <xf numFmtId="0" fontId="13" fillId="13" borderId="146" xfId="0" applyFont="1" applyFill="1" applyBorder="1" applyAlignment="1">
      <alignment horizontal="center" vertical="center" wrapText="1"/>
    </xf>
    <xf numFmtId="0" fontId="47" fillId="13" borderId="147" xfId="0" applyFont="1" applyFill="1" applyBorder="1" applyAlignment="1">
      <alignment horizontal="center" vertical="center" wrapText="1"/>
    </xf>
    <xf numFmtId="0" fontId="13" fillId="13" borderId="148" xfId="0" applyFont="1" applyFill="1" applyBorder="1" applyAlignment="1">
      <alignment horizontal="center" vertical="center" wrapText="1"/>
    </xf>
    <xf numFmtId="0" fontId="47" fillId="13" borderId="149" xfId="0" applyFont="1" applyFill="1" applyBorder="1" applyAlignment="1">
      <alignment horizontal="center" vertical="center" wrapText="1"/>
    </xf>
    <xf numFmtId="0" fontId="13" fillId="13" borderId="150" xfId="0" applyFont="1" applyFill="1" applyBorder="1" applyAlignment="1">
      <alignment horizontal="center" vertical="center" wrapText="1"/>
    </xf>
    <xf numFmtId="0" fontId="47" fillId="13" borderId="146" xfId="0" applyFont="1" applyFill="1" applyBorder="1" applyAlignment="1">
      <alignment horizontal="center" vertical="center" wrapText="1"/>
    </xf>
    <xf numFmtId="0" fontId="47" fillId="13" borderId="148" xfId="0" applyFont="1" applyFill="1" applyBorder="1" applyAlignment="1">
      <alignment horizontal="center" vertical="center" wrapText="1"/>
    </xf>
    <xf numFmtId="0" fontId="47" fillId="13" borderId="151" xfId="0" applyFont="1" applyFill="1" applyBorder="1" applyAlignment="1">
      <alignment horizontal="center" vertical="center" wrapText="1"/>
    </xf>
    <xf numFmtId="0" fontId="47" fillId="13" borderId="152" xfId="0" applyFont="1" applyFill="1" applyBorder="1" applyAlignment="1">
      <alignment horizontal="center" vertical="center" wrapText="1"/>
    </xf>
    <xf numFmtId="0" fontId="43" fillId="45" borderId="32" xfId="0" applyFont="1" applyFill="1" applyBorder="1" applyAlignment="1">
      <alignment horizontal="center" vertical="center" wrapText="1"/>
    </xf>
    <xf numFmtId="0" fontId="47" fillId="13" borderId="153" xfId="0" applyFont="1" applyFill="1" applyBorder="1" applyAlignment="1">
      <alignment horizontal="center" vertical="center" wrapText="1"/>
    </xf>
    <xf numFmtId="0" fontId="13" fillId="13" borderId="35" xfId="0" applyFont="1" applyFill="1" applyBorder="1" applyAlignment="1">
      <alignment horizontal="center" vertical="center" wrapText="1"/>
    </xf>
    <xf numFmtId="0" fontId="47" fillId="13" borderId="154" xfId="0" applyFont="1" applyFill="1" applyBorder="1" applyAlignment="1">
      <alignment horizontal="center" vertical="center" wrapText="1"/>
    </xf>
    <xf numFmtId="0" fontId="42" fillId="46" borderId="144" xfId="0" applyFont="1" applyFill="1" applyBorder="1" applyAlignment="1">
      <alignment horizontal="center" vertical="center"/>
    </xf>
    <xf numFmtId="0" fontId="42" fillId="46" borderId="141" xfId="0" applyFont="1" applyFill="1" applyBorder="1" applyAlignment="1">
      <alignment horizontal="center" vertical="center"/>
    </xf>
    <xf numFmtId="0" fontId="43" fillId="44" borderId="140" xfId="0" applyFont="1" applyFill="1" applyBorder="1" applyAlignment="1">
      <alignment horizontal="center" vertical="center"/>
    </xf>
    <xf numFmtId="0" fontId="13" fillId="44" borderId="143" xfId="0" applyFont="1" applyFill="1" applyBorder="1" applyAlignment="1">
      <alignment horizontal="center" vertical="center"/>
    </xf>
    <xf numFmtId="0" fontId="47" fillId="13" borderId="151" xfId="0" applyFont="1" applyFill="1" applyBorder="1" applyAlignment="1">
      <alignment horizontal="center" vertical="center"/>
    </xf>
    <xf numFmtId="0" fontId="47" fillId="13" borderId="152" xfId="0" applyFont="1" applyFill="1" applyBorder="1" applyAlignment="1">
      <alignment horizontal="center" vertical="center"/>
    </xf>
    <xf numFmtId="0" fontId="43" fillId="45" borderId="32" xfId="0" applyFont="1" applyFill="1" applyBorder="1" applyAlignment="1">
      <alignment horizontal="center" vertical="center"/>
    </xf>
    <xf numFmtId="0" fontId="47" fillId="13" borderId="153" xfId="0" applyFont="1" applyFill="1" applyBorder="1" applyAlignment="1">
      <alignment horizontal="center" vertical="center"/>
    </xf>
    <xf numFmtId="0" fontId="13" fillId="13" borderId="35" xfId="0" applyFont="1" applyFill="1" applyBorder="1" applyAlignment="1">
      <alignment horizontal="center" vertical="center"/>
    </xf>
    <xf numFmtId="0" fontId="47" fillId="13" borderId="154" xfId="0" applyFont="1" applyFill="1" applyBorder="1" applyAlignment="1">
      <alignment horizontal="center" vertical="center"/>
    </xf>
    <xf numFmtId="0" fontId="47" fillId="13" borderId="145" xfId="0" applyFont="1" applyFill="1" applyBorder="1" applyAlignment="1">
      <alignment horizontal="center" vertical="center"/>
    </xf>
    <xf numFmtId="0" fontId="47" fillId="13" borderId="146" xfId="0" applyFont="1" applyFill="1" applyBorder="1" applyAlignment="1">
      <alignment horizontal="center" vertical="center"/>
    </xf>
    <xf numFmtId="0" fontId="47" fillId="13" borderId="147" xfId="0" applyFont="1" applyFill="1" applyBorder="1" applyAlignment="1">
      <alignment horizontal="center" vertical="center"/>
    </xf>
    <xf numFmtId="0" fontId="47" fillId="13" borderId="148" xfId="0" applyFont="1" applyFill="1" applyBorder="1" applyAlignment="1">
      <alignment horizontal="center" vertical="center"/>
    </xf>
    <xf numFmtId="0" fontId="13" fillId="13" borderId="146" xfId="0" applyFont="1" applyFill="1" applyBorder="1" applyAlignment="1">
      <alignment horizontal="center" vertical="center"/>
    </xf>
    <xf numFmtId="0" fontId="13" fillId="13" borderId="148" xfId="0" applyFont="1" applyFill="1" applyBorder="1" applyAlignment="1">
      <alignment horizontal="center" vertical="center"/>
    </xf>
    <xf numFmtId="0" fontId="47" fillId="13" borderId="149" xfId="0" applyFont="1" applyFill="1" applyBorder="1" applyAlignment="1">
      <alignment horizontal="center" vertical="center"/>
    </xf>
    <xf numFmtId="0" fontId="13" fillId="13" borderId="150" xfId="0" applyFont="1" applyFill="1" applyBorder="1" applyAlignment="1">
      <alignment horizontal="center" vertical="center"/>
    </xf>
    <xf numFmtId="0" fontId="47" fillId="13" borderId="32" xfId="0" applyFont="1" applyFill="1" applyBorder="1" applyAlignment="1">
      <alignment horizontal="center" vertical="center"/>
    </xf>
    <xf numFmtId="0" fontId="47" fillId="13" borderId="35" xfId="0" applyFont="1" applyFill="1" applyBorder="1" applyAlignment="1">
      <alignment horizontal="center" vertical="center"/>
    </xf>
    <xf numFmtId="0" fontId="42" fillId="15" borderId="144" xfId="0" applyFont="1" applyFill="1" applyBorder="1" applyAlignment="1">
      <alignment horizontal="center" vertical="center"/>
    </xf>
    <xf numFmtId="0" fontId="42" fillId="15" borderId="141" xfId="0" applyFont="1" applyFill="1" applyBorder="1" applyAlignment="1">
      <alignment horizontal="center" vertical="center"/>
    </xf>
    <xf numFmtId="0" fontId="42" fillId="47" borderId="144" xfId="0" applyFont="1" applyFill="1" applyBorder="1" applyAlignment="1">
      <alignment horizontal="center" vertical="center"/>
    </xf>
    <xf numFmtId="0" fontId="42" fillId="47" borderId="141" xfId="0" applyFont="1" applyFill="1" applyBorder="1" applyAlignment="1">
      <alignment horizontal="center" vertical="center"/>
    </xf>
    <xf numFmtId="0" fontId="47" fillId="2" borderId="144" xfId="0" applyFont="1" applyFill="1" applyBorder="1" applyAlignment="1">
      <alignment horizontal="center" vertical="center"/>
    </xf>
    <xf numFmtId="0" fontId="47" fillId="2" borderId="141" xfId="0" applyFont="1" applyFill="1" applyBorder="1" applyAlignment="1">
      <alignment horizontal="center" vertical="center"/>
    </xf>
    <xf numFmtId="0" fontId="65" fillId="39" borderId="7" xfId="0" applyFont="1" applyFill="1" applyBorder="1" applyAlignment="1">
      <alignment horizontal="center" vertical="center"/>
    </xf>
    <xf numFmtId="0" fontId="66" fillId="3" borderId="9" xfId="0" applyFont="1" applyFill="1" applyBorder="1" applyAlignment="1">
      <alignment vertical="center"/>
    </xf>
    <xf numFmtId="0" fontId="66" fillId="3" borderId="28" xfId="0" applyFont="1" applyFill="1" applyBorder="1" applyAlignment="1">
      <alignment vertical="center"/>
    </xf>
    <xf numFmtId="0" fontId="66" fillId="3" borderId="10" xfId="0" applyFont="1" applyFill="1" applyBorder="1" applyAlignment="1">
      <alignment vertical="center"/>
    </xf>
    <xf numFmtId="0" fontId="65" fillId="5" borderId="5" xfId="0" applyFont="1" applyFill="1" applyBorder="1" applyAlignment="1">
      <alignment horizontal="center" vertical="center"/>
    </xf>
    <xf numFmtId="0" fontId="66" fillId="13" borderId="71" xfId="0" applyFont="1" applyFill="1" applyBorder="1" applyAlignment="1">
      <alignment vertical="center"/>
    </xf>
    <xf numFmtId="0" fontId="66" fillId="13" borderId="73" xfId="0" applyFont="1" applyFill="1" applyBorder="1" applyAlignment="1">
      <alignment vertical="center"/>
    </xf>
    <xf numFmtId="0" fontId="66" fillId="13" borderId="70" xfId="0" applyFont="1" applyFill="1" applyBorder="1" applyAlignment="1">
      <alignment vertical="center"/>
    </xf>
    <xf numFmtId="165" fontId="66" fillId="13" borderId="70" xfId="0" applyNumberFormat="1" applyFont="1" applyFill="1" applyBorder="1" applyAlignment="1">
      <alignment horizontal="center" vertical="center"/>
    </xf>
    <xf numFmtId="0" fontId="66" fillId="40" borderId="70" xfId="0" applyFont="1" applyFill="1" applyBorder="1" applyAlignment="1">
      <alignment horizontal="center" vertical="center"/>
    </xf>
    <xf numFmtId="0" fontId="66" fillId="13" borderId="70" xfId="0" applyFont="1" applyFill="1" applyBorder="1" applyAlignment="1">
      <alignment horizontal="center" vertical="center"/>
    </xf>
    <xf numFmtId="0" fontId="66" fillId="40" borderId="71" xfId="0" applyFont="1" applyFill="1" applyBorder="1" applyAlignment="1">
      <alignment vertical="center"/>
    </xf>
    <xf numFmtId="0" fontId="66" fillId="40" borderId="73" xfId="0" applyFont="1" applyFill="1" applyBorder="1" applyAlignment="1">
      <alignment vertical="center"/>
    </xf>
    <xf numFmtId="0" fontId="66" fillId="40" borderId="70" xfId="0" applyFont="1" applyFill="1" applyBorder="1" applyAlignment="1">
      <alignment vertical="center"/>
    </xf>
    <xf numFmtId="164" fontId="66" fillId="40" borderId="70" xfId="0" applyNumberFormat="1" applyFont="1" applyFill="1" applyBorder="1" applyAlignment="1">
      <alignment horizontal="center" vertical="center"/>
    </xf>
    <xf numFmtId="164" fontId="66" fillId="13" borderId="70" xfId="0" applyNumberFormat="1" applyFont="1" applyFill="1" applyBorder="1" applyAlignment="1">
      <alignment horizontal="center" vertical="center"/>
    </xf>
    <xf numFmtId="164" fontId="66" fillId="3" borderId="10" xfId="0" applyNumberFormat="1" applyFont="1" applyFill="1" applyBorder="1" applyAlignment="1">
      <alignment horizontal="center" vertical="center"/>
    </xf>
    <xf numFmtId="9" fontId="42" fillId="36" borderId="1" xfId="2" applyFont="1" applyFill="1" applyBorder="1" applyAlignment="1" applyProtection="1">
      <alignment horizontal="center" vertical="center"/>
      <protection locked="0"/>
    </xf>
    <xf numFmtId="175" fontId="6" fillId="0" borderId="12" xfId="0" applyNumberFormat="1" applyFont="1" applyBorder="1" applyAlignment="1">
      <alignment horizontal="center" vertical="center"/>
    </xf>
    <xf numFmtId="175" fontId="86" fillId="0" borderId="13" xfId="0" applyNumberFormat="1" applyFont="1" applyBorder="1" applyAlignment="1" applyProtection="1">
      <alignment horizontal="center" vertical="center"/>
      <protection locked="0"/>
    </xf>
    <xf numFmtId="175" fontId="6" fillId="0" borderId="14" xfId="0" applyNumberFormat="1" applyFont="1" applyBorder="1" applyAlignment="1">
      <alignment horizontal="center" vertical="center"/>
    </xf>
    <xf numFmtId="190" fontId="86" fillId="0" borderId="16" xfId="0" applyNumberFormat="1" applyFont="1" applyBorder="1" applyAlignment="1" applyProtection="1">
      <alignment horizontal="center" vertical="center"/>
      <protection locked="0"/>
    </xf>
    <xf numFmtId="180" fontId="86" fillId="0" borderId="16" xfId="0" applyNumberFormat="1" applyFont="1" applyBorder="1" applyAlignment="1" applyProtection="1">
      <alignment horizontal="center" vertical="center"/>
      <protection locked="0"/>
    </xf>
    <xf numFmtId="0" fontId="3" fillId="11" borderId="85" xfId="0" applyFont="1" applyFill="1" applyBorder="1" applyAlignment="1">
      <alignment horizontal="center" vertical="center"/>
    </xf>
    <xf numFmtId="0" fontId="3" fillId="11" borderId="15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191" fontId="86" fillId="0" borderId="16" xfId="0" applyNumberFormat="1" applyFont="1" applyBorder="1" applyAlignment="1" applyProtection="1">
      <alignment horizontal="center" vertical="center"/>
      <protection locked="0"/>
    </xf>
    <xf numFmtId="175" fontId="6" fillId="0" borderId="127" xfId="0" applyNumberFormat="1" applyFont="1" applyBorder="1" applyAlignment="1">
      <alignment horizontal="center" vertical="center"/>
    </xf>
    <xf numFmtId="190" fontId="86" fillId="0" borderId="44" xfId="0" applyNumberFormat="1" applyFont="1" applyBorder="1" applyAlignment="1" applyProtection="1">
      <alignment horizontal="center" vertical="center"/>
      <protection locked="0"/>
    </xf>
    <xf numFmtId="175" fontId="6" fillId="0" borderId="157" xfId="0" applyNumberFormat="1" applyFont="1" applyBorder="1" applyAlignment="1">
      <alignment horizontal="center" vertical="center"/>
    </xf>
    <xf numFmtId="192" fontId="86" fillId="0" borderId="83" xfId="0" applyNumberFormat="1" applyFont="1" applyBorder="1" applyAlignment="1" applyProtection="1">
      <alignment horizontal="center" vertical="center"/>
      <protection locked="0"/>
    </xf>
    <xf numFmtId="0" fontId="3" fillId="11" borderId="86" xfId="0" applyFont="1" applyFill="1" applyBorder="1" applyAlignment="1">
      <alignment horizontal="center" vertical="center"/>
    </xf>
    <xf numFmtId="0" fontId="3" fillId="11" borderId="48" xfId="0" applyFont="1" applyFill="1" applyBorder="1" applyAlignment="1">
      <alignment horizontal="center" vertical="center"/>
    </xf>
    <xf numFmtId="0" fontId="3" fillId="11" borderId="36" xfId="0" applyFont="1" applyFill="1" applyBorder="1" applyAlignment="1">
      <alignment horizontal="center" vertical="center"/>
    </xf>
    <xf numFmtId="0" fontId="9" fillId="14" borderId="120" xfId="0" applyFont="1" applyFill="1" applyBorder="1" applyAlignment="1">
      <alignment horizontal="center" vertical="center"/>
    </xf>
    <xf numFmtId="1" fontId="87" fillId="5" borderId="158" xfId="0" applyNumberFormat="1" applyFont="1" applyFill="1" applyBorder="1" applyAlignment="1" applyProtection="1">
      <alignment horizontal="center" vertical="center"/>
      <protection locked="0"/>
    </xf>
    <xf numFmtId="180" fontId="87" fillId="5" borderId="158" xfId="0" applyNumberFormat="1" applyFont="1" applyFill="1" applyBorder="1" applyAlignment="1" applyProtection="1">
      <alignment horizontal="center" vertical="center"/>
      <protection locked="0"/>
    </xf>
    <xf numFmtId="0" fontId="39" fillId="11" borderId="84" xfId="0" applyFont="1" applyFill="1" applyBorder="1" applyAlignment="1">
      <alignment horizontal="center" vertical="center"/>
    </xf>
    <xf numFmtId="0" fontId="39" fillId="11" borderId="80" xfId="0" applyFont="1" applyFill="1" applyBorder="1" applyAlignment="1">
      <alignment horizontal="center" vertical="center"/>
    </xf>
    <xf numFmtId="1" fontId="39" fillId="11" borderId="159" xfId="0" applyNumberFormat="1" applyFont="1" applyFill="1" applyBorder="1" applyAlignment="1">
      <alignment horizontal="center" vertical="center"/>
    </xf>
    <xf numFmtId="0" fontId="39" fillId="11" borderId="10" xfId="0" applyFont="1" applyFill="1" applyBorder="1" applyAlignment="1">
      <alignment horizontal="center" vertical="center"/>
    </xf>
    <xf numFmtId="1" fontId="40" fillId="48" borderId="159" xfId="0" applyNumberFormat="1" applyFont="1" applyFill="1" applyBorder="1" applyAlignment="1">
      <alignment horizontal="center" vertical="center"/>
    </xf>
    <xf numFmtId="0" fontId="40" fillId="48" borderId="10" xfId="0" applyFont="1" applyFill="1" applyBorder="1" applyAlignment="1">
      <alignment horizontal="center" vertical="center"/>
    </xf>
    <xf numFmtId="0" fontId="3" fillId="33" borderId="0" xfId="0" applyFont="1" applyFill="1" applyAlignment="1">
      <alignment horizontal="center"/>
    </xf>
    <xf numFmtId="0" fontId="2" fillId="33" borderId="0" xfId="0" applyFont="1" applyFill="1" applyAlignment="1">
      <alignment horizontal="center"/>
    </xf>
    <xf numFmtId="0" fontId="43" fillId="5" borderId="140" xfId="0" applyFont="1" applyFill="1" applyBorder="1" applyAlignment="1">
      <alignment horizontal="center" vertical="center"/>
    </xf>
    <xf numFmtId="0" fontId="13" fillId="5" borderId="143" xfId="0" applyFont="1" applyFill="1" applyBorder="1" applyAlignment="1">
      <alignment horizontal="center" vertical="center"/>
    </xf>
    <xf numFmtId="0" fontId="43" fillId="6" borderId="140" xfId="0" applyFont="1" applyFill="1" applyBorder="1" applyAlignment="1">
      <alignment horizontal="center" vertical="center" wrapText="1"/>
    </xf>
    <xf numFmtId="0" fontId="13" fillId="6" borderId="143" xfId="0" applyFont="1" applyFill="1" applyBorder="1" applyAlignment="1">
      <alignment horizontal="center" vertical="center" wrapText="1"/>
    </xf>
    <xf numFmtId="0" fontId="43" fillId="6" borderId="140" xfId="0" applyFont="1" applyFill="1" applyBorder="1" applyAlignment="1">
      <alignment horizontal="center" vertical="center"/>
    </xf>
    <xf numFmtId="0" fontId="13" fillId="6" borderId="143" xfId="0" applyFont="1" applyFill="1" applyBorder="1" applyAlignment="1">
      <alignment horizontal="center" vertical="center"/>
    </xf>
    <xf numFmtId="0" fontId="89" fillId="49" borderId="1" xfId="0" applyFont="1" applyFill="1" applyBorder="1" applyAlignment="1">
      <alignment horizontal="center" vertical="center"/>
    </xf>
    <xf numFmtId="0" fontId="89" fillId="49" borderId="5" xfId="0" applyFont="1" applyFill="1" applyBorder="1" applyAlignment="1">
      <alignment horizontal="center" vertical="center"/>
    </xf>
    <xf numFmtId="0" fontId="90" fillId="50" borderId="160" xfId="0" applyFont="1" applyFill="1" applyBorder="1" applyAlignment="1">
      <alignment horizontal="center" vertical="center"/>
    </xf>
    <xf numFmtId="0" fontId="90" fillId="50" borderId="161" xfId="0" applyFont="1" applyFill="1" applyBorder="1" applyAlignment="1">
      <alignment horizontal="center" vertical="center"/>
    </xf>
    <xf numFmtId="0" fontId="90" fillId="0" borderId="160" xfId="0" applyFont="1" applyBorder="1" applyAlignment="1">
      <alignment horizontal="center" vertical="center"/>
    </xf>
    <xf numFmtId="187" fontId="90" fillId="0" borderId="161" xfId="0" applyNumberFormat="1" applyFont="1" applyBorder="1" applyAlignment="1">
      <alignment horizontal="center" vertical="center"/>
    </xf>
    <xf numFmtId="187" fontId="90" fillId="50" borderId="161" xfId="0" applyNumberFormat="1" applyFont="1" applyFill="1" applyBorder="1" applyAlignment="1">
      <alignment horizontal="center" vertical="center"/>
    </xf>
    <xf numFmtId="0" fontId="3" fillId="11" borderId="46" xfId="0" applyFont="1" applyFill="1" applyBorder="1" applyAlignment="1">
      <alignment horizontal="center" vertical="center"/>
    </xf>
    <xf numFmtId="0" fontId="3" fillId="11" borderId="40" xfId="0" applyFont="1" applyFill="1" applyBorder="1" applyAlignment="1">
      <alignment horizontal="center" vertical="center"/>
    </xf>
    <xf numFmtId="0" fontId="3" fillId="11" borderId="84" xfId="0" applyFont="1" applyFill="1" applyBorder="1" applyAlignment="1">
      <alignment horizontal="center" vertical="center"/>
    </xf>
    <xf numFmtId="0" fontId="21" fillId="3" borderId="4" xfId="0" applyFont="1" applyFill="1" applyBorder="1" applyAlignment="1">
      <alignment horizontal="left" vertical="center"/>
    </xf>
    <xf numFmtId="0" fontId="21" fillId="3" borderId="11" xfId="0" applyFont="1" applyFill="1" applyBorder="1" applyAlignment="1">
      <alignment horizontal="left" vertical="center"/>
    </xf>
    <xf numFmtId="0" fontId="21" fillId="3" borderId="5" xfId="0" applyFont="1" applyFill="1" applyBorder="1" applyAlignment="1">
      <alignment horizontal="left" vertical="center"/>
    </xf>
    <xf numFmtId="0" fontId="21" fillId="13" borderId="75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171" fontId="21" fillId="13" borderId="21" xfId="0" applyNumberFormat="1" applyFont="1" applyFill="1" applyBorder="1" applyAlignment="1">
      <alignment horizontal="center" vertical="center"/>
    </xf>
    <xf numFmtId="171" fontId="21" fillId="31" borderId="21" xfId="0" applyNumberFormat="1" applyFont="1" applyFill="1" applyBorder="1" applyAlignment="1">
      <alignment horizontal="center" vertical="center"/>
    </xf>
    <xf numFmtId="171" fontId="21" fillId="13" borderId="79" xfId="0" applyNumberFormat="1" applyFont="1" applyFill="1" applyBorder="1" applyAlignment="1">
      <alignment horizontal="center" vertical="center"/>
    </xf>
    <xf numFmtId="1" fontId="10" fillId="0" borderId="163" xfId="0" applyNumberFormat="1" applyFont="1" applyBorder="1" applyAlignment="1">
      <alignment horizontal="center" vertical="center"/>
    </xf>
    <xf numFmtId="0" fontId="10" fillId="0" borderId="164" xfId="0" applyFont="1" applyBorder="1" applyAlignment="1">
      <alignment horizontal="center" vertical="center"/>
    </xf>
    <xf numFmtId="172" fontId="10" fillId="0" borderId="53" xfId="0" applyNumberFormat="1" applyFont="1" applyBorder="1" applyAlignment="1">
      <alignment horizontal="center" vertical="center"/>
    </xf>
    <xf numFmtId="168" fontId="10" fillId="0" borderId="53" xfId="0" applyNumberFormat="1" applyFont="1" applyBorder="1" applyAlignment="1">
      <alignment horizontal="center" vertical="center"/>
    </xf>
    <xf numFmtId="15" fontId="90" fillId="50" borderId="161" xfId="0" applyNumberFormat="1" applyFont="1" applyFill="1" applyBorder="1" applyAlignment="1">
      <alignment horizontal="center" vertical="center"/>
    </xf>
    <xf numFmtId="15" fontId="90" fillId="0" borderId="161" xfId="0" applyNumberFormat="1" applyFont="1" applyBorder="1" applyAlignment="1">
      <alignment horizontal="center" vertical="center"/>
    </xf>
    <xf numFmtId="0" fontId="91" fillId="41" borderId="1" xfId="0" applyFont="1" applyFill="1" applyBorder="1" applyAlignment="1">
      <alignment vertical="center"/>
    </xf>
    <xf numFmtId="0" fontId="92" fillId="3" borderId="5" xfId="0" applyFont="1" applyFill="1" applyBorder="1" applyAlignment="1">
      <alignment horizontal="center" vertical="center"/>
    </xf>
    <xf numFmtId="0" fontId="92" fillId="40" borderId="81" xfId="0" applyFont="1" applyFill="1" applyBorder="1" applyAlignment="1">
      <alignment vertical="center"/>
    </xf>
    <xf numFmtId="0" fontId="92" fillId="15" borderId="10" xfId="0" applyFont="1" applyFill="1" applyBorder="1" applyAlignment="1">
      <alignment horizontal="center" vertical="center"/>
    </xf>
    <xf numFmtId="0" fontId="92" fillId="13" borderId="81" xfId="0" applyFont="1" applyFill="1" applyBorder="1" applyAlignment="1">
      <alignment vertical="center"/>
    </xf>
    <xf numFmtId="0" fontId="92" fillId="3" borderId="10" xfId="0" applyFont="1" applyFill="1" applyBorder="1" applyAlignment="1">
      <alignment horizontal="center" vertical="center"/>
    </xf>
    <xf numFmtId="164" fontId="92" fillId="40" borderId="10" xfId="0" applyNumberFormat="1" applyFont="1" applyFill="1" applyBorder="1" applyAlignment="1">
      <alignment horizontal="center" vertical="center"/>
    </xf>
    <xf numFmtId="164" fontId="92" fillId="13" borderId="10" xfId="0" applyNumberFormat="1" applyFont="1" applyFill="1" applyBorder="1" applyAlignment="1">
      <alignment horizontal="center" vertical="center"/>
    </xf>
    <xf numFmtId="0" fontId="92" fillId="40" borderId="10" xfId="0" applyFont="1" applyFill="1" applyBorder="1" applyAlignment="1">
      <alignment horizontal="center" vertical="center"/>
    </xf>
    <xf numFmtId="0" fontId="92" fillId="3" borderId="81" xfId="0" applyFont="1" applyFill="1" applyBorder="1" applyAlignment="1">
      <alignment vertical="center"/>
    </xf>
    <xf numFmtId="164" fontId="92" fillId="3" borderId="10" xfId="0" applyNumberFormat="1" applyFont="1" applyFill="1" applyBorder="1" applyAlignment="1">
      <alignment horizontal="center" vertical="center"/>
    </xf>
    <xf numFmtId="0" fontId="82" fillId="31" borderId="31" xfId="0" applyFont="1" applyFill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30" fillId="14" borderId="11" xfId="0" applyFont="1" applyFill="1" applyBorder="1" applyAlignment="1" applyProtection="1">
      <alignment horizontal="center" vertical="center"/>
      <protection locked="0"/>
    </xf>
    <xf numFmtId="178" fontId="32" fillId="11" borderId="32" xfId="0" applyNumberFormat="1" applyFont="1" applyFill="1" applyBorder="1" applyAlignment="1">
      <alignment horizontal="left" vertical="center"/>
    </xf>
    <xf numFmtId="0" fontId="50" fillId="11" borderId="0" xfId="0" applyFont="1" applyFill="1" applyAlignment="1" applyProtection="1">
      <alignment horizontal="left" vertical="center"/>
      <protection locked="0"/>
    </xf>
    <xf numFmtId="175" fontId="47" fillId="0" borderId="29" xfId="0" applyNumberFormat="1" applyFont="1" applyBorder="1" applyAlignment="1" applyProtection="1">
      <alignment horizontal="left" vertical="center"/>
      <protection locked="0"/>
    </xf>
    <xf numFmtId="175" fontId="47" fillId="0" borderId="91" xfId="0" applyNumberFormat="1" applyFont="1" applyBorder="1" applyAlignment="1" applyProtection="1">
      <alignment horizontal="left" vertical="center"/>
      <protection locked="0"/>
    </xf>
    <xf numFmtId="0" fontId="56" fillId="0" borderId="28" xfId="0" applyFont="1" applyBorder="1" applyAlignment="1" applyProtection="1">
      <alignment horizontal="center"/>
      <protection locked="0"/>
    </xf>
    <xf numFmtId="175" fontId="47" fillId="0" borderId="31" xfId="0" applyNumberFormat="1" applyFont="1" applyBorder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/>
      <protection locked="0"/>
    </xf>
    <xf numFmtId="0" fontId="82" fillId="13" borderId="128" xfId="0" applyFont="1" applyFill="1" applyBorder="1" applyAlignment="1">
      <alignment horizontal="left" vertical="center"/>
    </xf>
    <xf numFmtId="0" fontId="82" fillId="13" borderId="162" xfId="0" applyFont="1" applyFill="1" applyBorder="1" applyAlignment="1">
      <alignment horizontal="left" vertical="center"/>
    </xf>
    <xf numFmtId="0" fontId="82" fillId="31" borderId="27" xfId="0" applyFont="1" applyFill="1" applyBorder="1" applyAlignment="1">
      <alignment horizontal="left" vertical="center"/>
    </xf>
    <xf numFmtId="0" fontId="82" fillId="13" borderId="31" xfId="0" applyFont="1" applyFill="1" applyBorder="1" applyAlignment="1">
      <alignment horizontal="left" vertical="center"/>
    </xf>
    <xf numFmtId="0" fontId="82" fillId="13" borderId="27" xfId="0" applyFont="1" applyFill="1" applyBorder="1" applyAlignment="1">
      <alignment horizontal="left" vertical="center"/>
    </xf>
    <xf numFmtId="0" fontId="16" fillId="41" borderId="130" xfId="0" applyFont="1" applyFill="1" applyBorder="1" applyAlignment="1">
      <alignment vertical="center"/>
    </xf>
    <xf numFmtId="0" fontId="16" fillId="41" borderId="131" xfId="0" applyFont="1" applyFill="1" applyBorder="1" applyAlignment="1">
      <alignment vertical="center"/>
    </xf>
    <xf numFmtId="0" fontId="16" fillId="41" borderId="132" xfId="0" applyFont="1" applyFill="1" applyBorder="1" applyAlignment="1">
      <alignment vertical="center"/>
    </xf>
    <xf numFmtId="0" fontId="16" fillId="15" borderId="70" xfId="0" applyFont="1" applyFill="1" applyBorder="1" applyAlignment="1">
      <alignment horizontal="center" vertical="center"/>
    </xf>
    <xf numFmtId="171" fontId="6" fillId="31" borderId="21" xfId="0" applyNumberFormat="1" applyFont="1" applyFill="1" applyBorder="1" applyAlignment="1" applyProtection="1">
      <alignment horizontal="center" vertical="center"/>
      <protection locked="0"/>
    </xf>
    <xf numFmtId="171" fontId="6" fillId="13" borderId="21" xfId="0" applyNumberFormat="1" applyFont="1" applyFill="1" applyBorder="1" applyAlignment="1" applyProtection="1">
      <alignment horizontal="center" vertical="center"/>
      <protection locked="0"/>
    </xf>
    <xf numFmtId="0" fontId="82" fillId="13" borderId="91" xfId="0" applyFont="1" applyFill="1" applyBorder="1" applyAlignment="1">
      <alignment horizontal="left" vertical="center"/>
    </xf>
    <xf numFmtId="0" fontId="82" fillId="13" borderId="38" xfId="0" applyFont="1" applyFill="1" applyBorder="1" applyAlignment="1">
      <alignment horizontal="left" vertical="center"/>
    </xf>
    <xf numFmtId="171" fontId="6" fillId="3" borderId="1" xfId="0" applyNumberFormat="1" applyFont="1" applyFill="1" applyBorder="1" applyAlignment="1" applyProtection="1">
      <alignment horizontal="center" vertical="center"/>
      <protection locked="0"/>
    </xf>
    <xf numFmtId="0" fontId="17" fillId="18" borderId="6" xfId="0" applyFont="1" applyFill="1" applyBorder="1" applyAlignment="1" applyProtection="1">
      <alignment horizontal="center" vertical="center"/>
      <protection locked="0"/>
    </xf>
    <xf numFmtId="174" fontId="17" fillId="0" borderId="75" xfId="0" applyNumberFormat="1" applyFont="1" applyBorder="1" applyAlignment="1" applyProtection="1">
      <alignment horizontal="center" vertical="center"/>
      <protection locked="0"/>
    </xf>
    <xf numFmtId="174" fontId="17" fillId="0" borderId="21" xfId="0" applyNumberFormat="1" applyFont="1" applyBorder="1" applyAlignment="1" applyProtection="1">
      <alignment horizontal="center" vertical="center"/>
      <protection locked="0"/>
    </xf>
    <xf numFmtId="174" fontId="17" fillId="0" borderId="79" xfId="0" applyNumberFormat="1" applyFont="1" applyBorder="1" applyAlignment="1" applyProtection="1">
      <alignment horizontal="center" vertical="center"/>
      <protection locked="0"/>
    </xf>
    <xf numFmtId="0" fontId="47" fillId="3" borderId="0" xfId="0" applyFont="1" applyFill="1" applyAlignment="1" applyProtection="1">
      <alignment horizontal="left" vertical="center"/>
      <protection locked="0"/>
    </xf>
    <xf numFmtId="164" fontId="38" fillId="0" borderId="0" xfId="0" applyNumberFormat="1" applyFont="1" applyAlignment="1">
      <alignment horizontal="center"/>
    </xf>
    <xf numFmtId="0" fontId="92" fillId="3" borderId="7" xfId="0" applyFont="1" applyFill="1" applyBorder="1" applyAlignment="1">
      <alignment horizontal="center" vertical="center"/>
    </xf>
    <xf numFmtId="0" fontId="21" fillId="13" borderId="128" xfId="0" applyFont="1" applyFill="1" applyBorder="1" applyAlignment="1">
      <alignment horizontal="left" vertical="center"/>
    </xf>
    <xf numFmtId="0" fontId="21" fillId="13" borderId="162" xfId="0" applyFont="1" applyFill="1" applyBorder="1" applyAlignment="1">
      <alignment horizontal="left" vertical="center"/>
    </xf>
    <xf numFmtId="0" fontId="21" fillId="31" borderId="31" xfId="0" applyFont="1" applyFill="1" applyBorder="1" applyAlignment="1">
      <alignment horizontal="left" vertical="center"/>
    </xf>
    <xf numFmtId="0" fontId="21" fillId="31" borderId="27" xfId="0" applyFont="1" applyFill="1" applyBorder="1" applyAlignment="1">
      <alignment horizontal="left" vertical="center"/>
    </xf>
    <xf numFmtId="0" fontId="21" fillId="13" borderId="31" xfId="0" applyFont="1" applyFill="1" applyBorder="1" applyAlignment="1">
      <alignment horizontal="left" vertical="center"/>
    </xf>
    <xf numFmtId="0" fontId="21" fillId="13" borderId="27" xfId="0" applyFont="1" applyFill="1" applyBorder="1" applyAlignment="1">
      <alignment horizontal="left" vertical="center"/>
    </xf>
    <xf numFmtId="0" fontId="21" fillId="13" borderId="91" xfId="0" applyFont="1" applyFill="1" applyBorder="1" applyAlignment="1">
      <alignment horizontal="left" vertical="center"/>
    </xf>
    <xf numFmtId="0" fontId="21" fillId="13" borderId="38" xfId="0" applyFont="1" applyFill="1" applyBorder="1" applyAlignment="1">
      <alignment horizontal="left" vertical="center"/>
    </xf>
    <xf numFmtId="0" fontId="32" fillId="13" borderId="37" xfId="0" applyFont="1" applyFill="1" applyBorder="1" applyAlignment="1" applyProtection="1">
      <alignment horizontal="center" vertical="center"/>
      <protection locked="0"/>
    </xf>
    <xf numFmtId="171" fontId="26" fillId="13" borderId="37" xfId="0" applyNumberFormat="1" applyFont="1" applyFill="1" applyBorder="1" applyAlignment="1" applyProtection="1">
      <alignment horizontal="center" vertical="center"/>
      <protection locked="0"/>
    </xf>
    <xf numFmtId="171" fontId="26" fillId="13" borderId="27" xfId="0" applyNumberFormat="1" applyFont="1" applyFill="1" applyBorder="1" applyAlignment="1" applyProtection="1">
      <alignment horizontal="center" vertical="center"/>
      <protection locked="0"/>
    </xf>
    <xf numFmtId="0" fontId="32" fillId="13" borderId="38" xfId="0" applyFont="1" applyFill="1" applyBorder="1" applyAlignment="1" applyProtection="1">
      <alignment horizontal="center" vertical="center"/>
      <protection locked="0"/>
    </xf>
    <xf numFmtId="171" fontId="26" fillId="13" borderId="38" xfId="0" applyNumberFormat="1" applyFont="1" applyFill="1" applyBorder="1" applyAlignment="1" applyProtection="1">
      <alignment horizontal="center" vertical="center"/>
      <protection locked="0"/>
    </xf>
    <xf numFmtId="193" fontId="95" fillId="3" borderId="4" xfId="0" applyNumberFormat="1" applyFont="1" applyFill="1" applyBorder="1" applyAlignment="1" applyProtection="1">
      <alignment horizontal="center" vertical="center"/>
      <protection locked="0"/>
    </xf>
    <xf numFmtId="193" fontId="88" fillId="5" borderId="4" xfId="0" applyNumberFormat="1" applyFont="1" applyFill="1" applyBorder="1" applyAlignment="1" applyProtection="1">
      <alignment horizontal="center" vertical="center"/>
      <protection locked="0"/>
    </xf>
    <xf numFmtId="0" fontId="2" fillId="5" borderId="75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5" borderId="79" xfId="0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34" fillId="0" borderId="0" xfId="0" applyFont="1"/>
    <xf numFmtId="0" fontId="20" fillId="0" borderId="0" xfId="0" applyFont="1"/>
    <xf numFmtId="0" fontId="92" fillId="3" borderId="3" xfId="0" applyFont="1" applyFill="1" applyBorder="1" applyAlignment="1">
      <alignment horizontal="center" vertical="center"/>
    </xf>
    <xf numFmtId="0" fontId="92" fillId="40" borderId="68" xfId="0" applyFont="1" applyFill="1" applyBorder="1" applyAlignment="1">
      <alignment horizontal="left" vertical="center"/>
    </xf>
    <xf numFmtId="0" fontId="92" fillId="40" borderId="0" xfId="0" applyFont="1" applyFill="1" applyAlignment="1">
      <alignment horizontal="left" vertical="center"/>
    </xf>
    <xf numFmtId="0" fontId="92" fillId="40" borderId="110" xfId="0" applyFont="1" applyFill="1" applyBorder="1" applyAlignment="1">
      <alignment horizontal="left" vertical="center"/>
    </xf>
    <xf numFmtId="0" fontId="91" fillId="15" borderId="76" xfId="0" applyFont="1" applyFill="1" applyBorder="1" applyAlignment="1">
      <alignment horizontal="center" vertical="center"/>
    </xf>
    <xf numFmtId="0" fontId="92" fillId="13" borderId="68" xfId="0" applyFont="1" applyFill="1" applyBorder="1" applyAlignment="1">
      <alignment horizontal="left" vertical="center"/>
    </xf>
    <xf numFmtId="0" fontId="92" fillId="13" borderId="0" xfId="0" applyFont="1" applyFill="1" applyAlignment="1">
      <alignment horizontal="left" vertical="center"/>
    </xf>
    <xf numFmtId="0" fontId="92" fillId="13" borderId="110" xfId="0" applyFont="1" applyFill="1" applyBorder="1" applyAlignment="1">
      <alignment horizontal="left" vertical="center"/>
    </xf>
    <xf numFmtId="0" fontId="92" fillId="3" borderId="76" xfId="0" applyFont="1" applyFill="1" applyBorder="1" applyAlignment="1">
      <alignment horizontal="center" vertical="center"/>
    </xf>
    <xf numFmtId="164" fontId="92" fillId="3" borderId="76" xfId="0" applyNumberFormat="1" applyFont="1" applyFill="1" applyBorder="1" applyAlignment="1">
      <alignment horizontal="center" vertical="center"/>
    </xf>
    <xf numFmtId="164" fontId="92" fillId="40" borderId="165" xfId="0" applyNumberFormat="1" applyFont="1" applyFill="1" applyBorder="1" applyAlignment="1">
      <alignment horizontal="center" vertical="center"/>
    </xf>
    <xf numFmtId="164" fontId="92" fillId="13" borderId="163" xfId="0" applyNumberFormat="1" applyFont="1" applyFill="1" applyBorder="1" applyAlignment="1">
      <alignment horizontal="center" vertical="center"/>
    </xf>
    <xf numFmtId="164" fontId="92" fillId="40" borderId="163" xfId="0" applyNumberFormat="1" applyFont="1" applyFill="1" applyBorder="1" applyAlignment="1">
      <alignment horizontal="center" vertical="center"/>
    </xf>
    <xf numFmtId="0" fontId="92" fillId="40" borderId="163" xfId="0" applyFont="1" applyFill="1" applyBorder="1" applyAlignment="1">
      <alignment horizontal="center" vertical="center"/>
    </xf>
    <xf numFmtId="0" fontId="92" fillId="40" borderId="166" xfId="0" applyFont="1" applyFill="1" applyBorder="1" applyAlignment="1">
      <alignment horizontal="center" vertical="center"/>
    </xf>
    <xf numFmtId="0" fontId="92" fillId="40" borderId="39" xfId="0" applyFont="1" applyFill="1" applyBorder="1" applyAlignment="1">
      <alignment horizontal="left" vertical="center"/>
    </xf>
    <xf numFmtId="0" fontId="92" fillId="40" borderId="167" xfId="0" applyFont="1" applyFill="1" applyBorder="1" applyAlignment="1">
      <alignment horizontal="left" vertical="center"/>
    </xf>
    <xf numFmtId="0" fontId="92" fillId="40" borderId="168" xfId="0" applyFont="1" applyFill="1" applyBorder="1" applyAlignment="1">
      <alignment horizontal="left" vertical="center"/>
    </xf>
    <xf numFmtId="0" fontId="92" fillId="13" borderId="42" xfId="0" applyFont="1" applyFill="1" applyBorder="1" applyAlignment="1">
      <alignment horizontal="left" vertical="center"/>
    </xf>
    <xf numFmtId="0" fontId="92" fillId="13" borderId="27" xfId="0" applyFont="1" applyFill="1" applyBorder="1" applyAlignment="1">
      <alignment horizontal="left" vertical="center"/>
    </xf>
    <xf numFmtId="0" fontId="92" fillId="13" borderId="169" xfId="0" applyFont="1" applyFill="1" applyBorder="1" applyAlignment="1">
      <alignment horizontal="left" vertical="center"/>
    </xf>
    <xf numFmtId="0" fontId="92" fillId="40" borderId="42" xfId="0" applyFont="1" applyFill="1" applyBorder="1" applyAlignment="1">
      <alignment horizontal="left" vertical="center"/>
    </xf>
    <xf numFmtId="0" fontId="92" fillId="40" borderId="27" xfId="0" applyFont="1" applyFill="1" applyBorder="1" applyAlignment="1">
      <alignment horizontal="left" vertical="center"/>
    </xf>
    <xf numFmtId="0" fontId="92" fillId="40" borderId="169" xfId="0" applyFont="1" applyFill="1" applyBorder="1" applyAlignment="1">
      <alignment horizontal="left" vertical="center"/>
    </xf>
    <xf numFmtId="0" fontId="92" fillId="40" borderId="43" xfId="0" applyFont="1" applyFill="1" applyBorder="1" applyAlignment="1">
      <alignment horizontal="left" vertical="center"/>
    </xf>
    <xf numFmtId="0" fontId="92" fillId="40" borderId="170" xfId="0" applyFont="1" applyFill="1" applyBorder="1" applyAlignment="1">
      <alignment horizontal="left" vertical="center"/>
    </xf>
    <xf numFmtId="0" fontId="92" fillId="40" borderId="171" xfId="0" applyFont="1" applyFill="1" applyBorder="1" applyAlignment="1">
      <alignment horizontal="left" vertical="center"/>
    </xf>
    <xf numFmtId="0" fontId="34" fillId="17" borderId="0" xfId="0" applyFont="1" applyFill="1" applyAlignment="1" applyProtection="1">
      <alignment horizontal="center" vertical="center"/>
      <protection locked="0"/>
    </xf>
    <xf numFmtId="0" fontId="8" fillId="17" borderId="0" xfId="0" applyFont="1" applyFill="1" applyAlignment="1" applyProtection="1">
      <alignment horizontal="center" vertical="center"/>
      <protection locked="0"/>
    </xf>
    <xf numFmtId="0" fontId="98" fillId="17" borderId="0" xfId="0" applyFont="1" applyFill="1" applyAlignment="1" applyProtection="1">
      <alignment horizontal="center" vertical="center"/>
      <protection locked="0"/>
    </xf>
    <xf numFmtId="168" fontId="96" fillId="5" borderId="124" xfId="0" applyNumberFormat="1" applyFont="1" applyFill="1" applyBorder="1" applyAlignment="1" applyProtection="1">
      <alignment horizontal="center" vertical="center"/>
      <protection locked="0"/>
    </xf>
    <xf numFmtId="168" fontId="96" fillId="20" borderId="125" xfId="0" applyNumberFormat="1" applyFont="1" applyFill="1" applyBorder="1" applyAlignment="1" applyProtection="1">
      <alignment horizontal="center" vertical="center"/>
      <protection locked="0"/>
    </xf>
    <xf numFmtId="168" fontId="23" fillId="11" borderId="125" xfId="0" applyNumberFormat="1" applyFont="1" applyFill="1" applyBorder="1" applyAlignment="1" applyProtection="1">
      <alignment horizontal="center" vertical="center"/>
      <protection locked="0"/>
    </xf>
    <xf numFmtId="0" fontId="23" fillId="0" borderId="45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/>
    </xf>
    <xf numFmtId="168" fontId="96" fillId="5" borderId="102" xfId="0" applyNumberFormat="1" applyFont="1" applyFill="1" applyBorder="1" applyAlignment="1" applyProtection="1">
      <alignment horizontal="center" vertical="center"/>
      <protection locked="0"/>
    </xf>
    <xf numFmtId="168" fontId="96" fillId="20" borderId="103" xfId="0" applyNumberFormat="1" applyFont="1" applyFill="1" applyBorder="1" applyAlignment="1" applyProtection="1">
      <alignment horizontal="center" vertical="center"/>
      <protection locked="0"/>
    </xf>
    <xf numFmtId="168" fontId="23" fillId="11" borderId="103" xfId="0" applyNumberFormat="1" applyFont="1" applyFill="1" applyBorder="1" applyAlignment="1" applyProtection="1">
      <alignment horizontal="center" vertical="center"/>
      <protection locked="0"/>
    </xf>
    <xf numFmtId="176" fontId="23" fillId="11" borderId="32" xfId="0" applyNumberFormat="1" applyFont="1" applyFill="1" applyBorder="1" applyAlignment="1" applyProtection="1">
      <alignment horizontal="center" vertical="center"/>
      <protection locked="0"/>
    </xf>
    <xf numFmtId="170" fontId="23" fillId="11" borderId="33" xfId="0" applyNumberFormat="1" applyFont="1" applyFill="1" applyBorder="1" applyAlignment="1" applyProtection="1">
      <alignment horizontal="center" vertical="center"/>
      <protection locked="0"/>
    </xf>
    <xf numFmtId="176" fontId="96" fillId="42" borderId="32" xfId="0" applyNumberFormat="1" applyFont="1" applyFill="1" applyBorder="1" applyAlignment="1" applyProtection="1">
      <alignment horizontal="center" vertical="center"/>
      <protection locked="0"/>
    </xf>
    <xf numFmtId="179" fontId="23" fillId="11" borderId="33" xfId="0" applyNumberFormat="1" applyFont="1" applyFill="1" applyBorder="1" applyAlignment="1" applyProtection="1">
      <alignment horizontal="center" vertical="center"/>
      <protection locked="0"/>
    </xf>
    <xf numFmtId="178" fontId="99" fillId="11" borderId="35" xfId="0" applyNumberFormat="1" applyFont="1" applyFill="1" applyBorder="1" applyAlignment="1" applyProtection="1">
      <alignment horizontal="center" vertical="center"/>
      <protection locked="0"/>
    </xf>
    <xf numFmtId="176" fontId="23" fillId="11" borderId="36" xfId="0" applyNumberFormat="1" applyFont="1" applyFill="1" applyBorder="1" applyAlignment="1" applyProtection="1">
      <alignment horizontal="center" vertical="center"/>
      <protection locked="0"/>
    </xf>
    <xf numFmtId="189" fontId="99" fillId="11" borderId="35" xfId="0" applyNumberFormat="1" applyFont="1" applyFill="1" applyBorder="1" applyAlignment="1" applyProtection="1">
      <alignment horizontal="center" vertical="center"/>
      <protection locked="0"/>
    </xf>
    <xf numFmtId="0" fontId="97" fillId="3" borderId="7" xfId="0" applyFont="1" applyFill="1" applyBorder="1" applyAlignment="1">
      <alignment horizontal="center" vertical="center"/>
    </xf>
    <xf numFmtId="2" fontId="23" fillId="3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179" fontId="41" fillId="11" borderId="33" xfId="0" applyNumberFormat="1" applyFont="1" applyFill="1" applyBorder="1" applyAlignment="1" applyProtection="1">
      <alignment horizontal="left" vertical="center"/>
      <protection locked="0"/>
    </xf>
    <xf numFmtId="0" fontId="32" fillId="3" borderId="22" xfId="0" applyFont="1" applyFill="1" applyBorder="1" applyAlignment="1">
      <alignment horizontal="center" vertical="center"/>
    </xf>
    <xf numFmtId="0" fontId="26" fillId="3" borderId="172" xfId="0" applyFont="1" applyFill="1" applyBorder="1" applyAlignment="1">
      <alignment horizontal="center" vertical="center"/>
    </xf>
    <xf numFmtId="0" fontId="30" fillId="28" borderId="81" xfId="0" applyFont="1" applyFill="1" applyBorder="1" applyAlignment="1">
      <alignment horizontal="center" vertical="center"/>
    </xf>
    <xf numFmtId="0" fontId="32" fillId="11" borderId="173" xfId="0" applyFont="1" applyFill="1" applyBorder="1" applyAlignment="1">
      <alignment horizontal="center" vertical="center"/>
    </xf>
    <xf numFmtId="0" fontId="100" fillId="0" borderId="0" xfId="0" applyFont="1"/>
    <xf numFmtId="0" fontId="101" fillId="9" borderId="2" xfId="3" applyFont="1" applyFill="1" applyBorder="1" applyAlignment="1">
      <alignment horizontal="center" vertical="center"/>
    </xf>
    <xf numFmtId="0" fontId="0" fillId="51" borderId="0" xfId="0" applyFill="1" applyAlignment="1" applyProtection="1">
      <alignment horizontal="left"/>
      <protection locked="0"/>
    </xf>
    <xf numFmtId="0" fontId="3" fillId="51" borderId="0" xfId="0" applyFont="1" applyFill="1" applyAlignment="1" applyProtection="1">
      <alignment horizontal="left" vertical="center"/>
      <protection locked="0"/>
    </xf>
    <xf numFmtId="0" fontId="3" fillId="51" borderId="0" xfId="0" applyFont="1" applyFill="1" applyProtection="1">
      <protection locked="0"/>
    </xf>
    <xf numFmtId="0" fontId="37" fillId="51" borderId="0" xfId="0" applyFont="1" applyFill="1" applyProtection="1">
      <protection locked="0"/>
    </xf>
    <xf numFmtId="0" fontId="0" fillId="51" borderId="0" xfId="0" applyFill="1" applyProtection="1">
      <protection locked="0"/>
    </xf>
    <xf numFmtId="0" fontId="1" fillId="51" borderId="0" xfId="5" applyFill="1" applyAlignment="1" applyProtection="1">
      <alignment horizontal="center" vertical="center"/>
      <protection locked="0"/>
    </xf>
    <xf numFmtId="0" fontId="1" fillId="51" borderId="0" xfId="5" applyFill="1" applyProtection="1">
      <protection locked="0"/>
    </xf>
    <xf numFmtId="0" fontId="0" fillId="51" borderId="0" xfId="5" applyFont="1" applyFill="1" applyAlignment="1" applyProtection="1">
      <alignment horizontal="center" vertical="center"/>
      <protection locked="0"/>
    </xf>
    <xf numFmtId="0" fontId="46" fillId="51" borderId="0" xfId="0" applyFont="1" applyFill="1" applyAlignment="1" applyProtection="1">
      <alignment horizontal="center" vertical="center"/>
      <protection locked="0"/>
    </xf>
    <xf numFmtId="179" fontId="76" fillId="3" borderId="174" xfId="0" applyNumberFormat="1" applyFont="1" applyFill="1" applyBorder="1" applyAlignment="1" applyProtection="1">
      <alignment horizontal="center" vertical="center"/>
      <protection locked="0"/>
    </xf>
    <xf numFmtId="179" fontId="76" fillId="11" borderId="13" xfId="0" applyNumberFormat="1" applyFont="1" applyFill="1" applyBorder="1" applyAlignment="1" applyProtection="1">
      <alignment horizontal="center" vertical="center"/>
      <protection locked="0"/>
    </xf>
    <xf numFmtId="179" fontId="76" fillId="3" borderId="175" xfId="0" applyNumberFormat="1" applyFont="1" applyFill="1" applyBorder="1" applyAlignment="1" applyProtection="1">
      <alignment horizontal="center" vertical="center"/>
      <protection locked="0"/>
    </xf>
    <xf numFmtId="179" fontId="76" fillId="11" borderId="44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>
      <alignment vertical="center"/>
    </xf>
    <xf numFmtId="0" fontId="102" fillId="0" borderId="0" xfId="0" applyFont="1" applyAlignment="1">
      <alignment vertical="center"/>
    </xf>
    <xf numFmtId="182" fontId="51" fillId="0" borderId="34" xfId="0" applyNumberFormat="1" applyFont="1" applyBorder="1" applyAlignment="1" applyProtection="1">
      <alignment horizontal="left" vertical="center"/>
      <protection locked="0"/>
    </xf>
    <xf numFmtId="171" fontId="39" fillId="11" borderId="95" xfId="0" applyNumberFormat="1" applyFont="1" applyFill="1" applyBorder="1" applyAlignment="1">
      <alignment horizontal="center" vertical="center"/>
    </xf>
    <xf numFmtId="171" fontId="40" fillId="38" borderId="11" xfId="0" applyNumberFormat="1" applyFont="1" applyFill="1" applyBorder="1" applyAlignment="1">
      <alignment horizontal="center" vertical="center"/>
    </xf>
    <xf numFmtId="171" fontId="60" fillId="11" borderId="2" xfId="0" applyNumberFormat="1" applyFont="1" applyFill="1" applyBorder="1" applyAlignment="1">
      <alignment horizontal="center" vertical="center"/>
    </xf>
    <xf numFmtId="0" fontId="103" fillId="51" borderId="0" xfId="0" applyFont="1" applyFill="1" applyAlignment="1" applyProtection="1">
      <alignment horizontal="left"/>
      <protection locked="0"/>
    </xf>
    <xf numFmtId="0" fontId="103" fillId="51" borderId="0" xfId="5" applyFont="1" applyFill="1" applyAlignment="1" applyProtection="1">
      <alignment horizontal="center" vertical="center"/>
      <protection locked="0"/>
    </xf>
    <xf numFmtId="0" fontId="0" fillId="51" borderId="176" xfId="0" applyFill="1" applyBorder="1" applyProtection="1">
      <protection locked="0"/>
    </xf>
    <xf numFmtId="0" fontId="39" fillId="11" borderId="177" xfId="0" applyFont="1" applyFill="1" applyBorder="1" applyAlignment="1">
      <alignment horizontal="center" vertical="center"/>
    </xf>
    <xf numFmtId="168" fontId="39" fillId="11" borderId="177" xfId="0" applyNumberFormat="1" applyFont="1" applyFill="1" applyBorder="1" applyAlignment="1">
      <alignment horizontal="center" vertical="center"/>
    </xf>
    <xf numFmtId="168" fontId="60" fillId="11" borderId="177" xfId="0" applyNumberFormat="1" applyFont="1" applyFill="1" applyBorder="1" applyAlignment="1">
      <alignment horizontal="center" vertical="center"/>
    </xf>
    <xf numFmtId="0" fontId="32" fillId="3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15" fontId="32" fillId="0" borderId="3" xfId="0" applyNumberFormat="1" applyFont="1" applyBorder="1" applyAlignment="1">
      <alignment horizontal="center" vertical="center"/>
    </xf>
    <xf numFmtId="0" fontId="104" fillId="0" borderId="0" xfId="0" applyFont="1"/>
    <xf numFmtId="0" fontId="32" fillId="3" borderId="67" xfId="0" applyFont="1" applyFill="1" applyBorder="1" applyAlignment="1">
      <alignment horizontal="center" vertical="center"/>
    </xf>
    <xf numFmtId="168" fontId="39" fillId="52" borderId="178" xfId="0" applyNumberFormat="1" applyFont="1" applyFill="1" applyBorder="1" applyAlignment="1">
      <alignment horizontal="center" vertical="center"/>
    </xf>
    <xf numFmtId="0" fontId="105" fillId="53" borderId="94" xfId="0" applyFont="1" applyFill="1" applyBorder="1" applyAlignment="1">
      <alignment horizontal="center" vertical="center"/>
    </xf>
    <xf numFmtId="0" fontId="105" fillId="49" borderId="1" xfId="0" applyFont="1" applyFill="1" applyBorder="1" applyAlignment="1">
      <alignment horizontal="center" vertical="center"/>
    </xf>
    <xf numFmtId="0" fontId="105" fillId="20" borderId="5" xfId="0" applyFont="1" applyFill="1" applyBorder="1" applyAlignment="1">
      <alignment horizontal="center" vertical="center"/>
    </xf>
    <xf numFmtId="0" fontId="105" fillId="19" borderId="5" xfId="0" applyFont="1" applyFill="1" applyBorder="1" applyAlignment="1">
      <alignment horizontal="center" vertical="center"/>
    </xf>
    <xf numFmtId="0" fontId="105" fillId="15" borderId="5" xfId="0" applyFont="1" applyFill="1" applyBorder="1" applyAlignment="1">
      <alignment horizontal="center" vertical="center"/>
    </xf>
    <xf numFmtId="0" fontId="105" fillId="49" borderId="70" xfId="0" applyFont="1" applyFill="1" applyBorder="1" applyAlignment="1">
      <alignment horizontal="center" vertical="center"/>
    </xf>
    <xf numFmtId="0" fontId="105" fillId="20" borderId="70" xfId="0" applyFont="1" applyFill="1" applyBorder="1" applyAlignment="1">
      <alignment horizontal="center" vertical="center"/>
    </xf>
    <xf numFmtId="0" fontId="105" fillId="19" borderId="70" xfId="0" applyFont="1" applyFill="1" applyBorder="1" applyAlignment="1">
      <alignment horizontal="center" vertical="center"/>
    </xf>
    <xf numFmtId="14" fontId="105" fillId="15" borderId="70" xfId="0" applyNumberFormat="1" applyFont="1" applyFill="1" applyBorder="1" applyAlignment="1">
      <alignment horizontal="center" vertical="center"/>
    </xf>
    <xf numFmtId="0" fontId="105" fillId="53" borderId="81" xfId="0" applyFont="1" applyFill="1" applyBorder="1" applyAlignment="1">
      <alignment horizontal="center" vertical="center"/>
    </xf>
    <xf numFmtId="0" fontId="105" fillId="49" borderId="10" xfId="0" applyFont="1" applyFill="1" applyBorder="1" applyAlignment="1">
      <alignment horizontal="center" vertical="center"/>
    </xf>
    <xf numFmtId="0" fontId="105" fillId="20" borderId="10" xfId="0" applyFont="1" applyFill="1" applyBorder="1" applyAlignment="1">
      <alignment horizontal="center" vertical="center"/>
    </xf>
    <xf numFmtId="0" fontId="105" fillId="19" borderId="10" xfId="0" applyFont="1" applyFill="1" applyBorder="1" applyAlignment="1">
      <alignment horizontal="center" vertical="center"/>
    </xf>
    <xf numFmtId="14" fontId="105" fillId="15" borderId="10" xfId="0" applyNumberFormat="1" applyFont="1" applyFill="1" applyBorder="1" applyAlignment="1">
      <alignment horizontal="center" vertical="center"/>
    </xf>
    <xf numFmtId="168" fontId="105" fillId="49" borderId="70" xfId="0" applyNumberFormat="1" applyFont="1" applyFill="1" applyBorder="1" applyAlignment="1">
      <alignment horizontal="center" vertical="center"/>
    </xf>
    <xf numFmtId="0" fontId="0" fillId="51" borderId="0" xfId="5" applyFont="1" applyFill="1" applyProtection="1">
      <protection locked="0"/>
    </xf>
    <xf numFmtId="16" fontId="32" fillId="0" borderId="27" xfId="0" applyNumberFormat="1" applyFont="1" applyBorder="1" applyAlignment="1">
      <alignment horizontal="center"/>
    </xf>
    <xf numFmtId="0" fontId="104" fillId="0" borderId="179" xfId="0" applyFont="1" applyBorder="1"/>
    <xf numFmtId="171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16" fontId="49" fillId="0" borderId="15" xfId="0" applyNumberFormat="1" applyFont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0" fontId="54" fillId="0" borderId="15" xfId="0" applyFont="1" applyBorder="1" applyAlignment="1">
      <alignment horizontal="center" vertical="center"/>
    </xf>
    <xf numFmtId="16" fontId="43" fillId="45" borderId="33" xfId="0" applyNumberFormat="1" applyFont="1" applyFill="1" applyBorder="1" applyAlignment="1">
      <alignment horizontal="center" vertical="center"/>
    </xf>
    <xf numFmtId="0" fontId="57" fillId="0" borderId="1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16" fontId="49" fillId="0" borderId="48" xfId="0" applyNumberFormat="1" applyFont="1" applyBorder="1" applyAlignment="1">
      <alignment horizontal="center" vertical="center"/>
    </xf>
    <xf numFmtId="0" fontId="57" fillId="0" borderId="48" xfId="0" applyFont="1" applyBorder="1" applyAlignment="1">
      <alignment horizontal="center" vertical="center"/>
    </xf>
    <xf numFmtId="0" fontId="54" fillId="0" borderId="48" xfId="0" applyFont="1" applyBorder="1" applyAlignment="1">
      <alignment horizontal="center" vertical="center"/>
    </xf>
    <xf numFmtId="16" fontId="43" fillId="45" borderId="36" xfId="0" applyNumberFormat="1" applyFont="1" applyFill="1" applyBorder="1" applyAlignment="1">
      <alignment horizontal="center" vertical="center"/>
    </xf>
    <xf numFmtId="16" fontId="43" fillId="45" borderId="87" xfId="0" applyNumberFormat="1" applyFont="1" applyFill="1" applyBorder="1" applyAlignment="1">
      <alignment horizontal="center" vertical="center"/>
    </xf>
    <xf numFmtId="0" fontId="49" fillId="21" borderId="89" xfId="0" applyFont="1" applyFill="1" applyBorder="1" applyAlignment="1">
      <alignment horizontal="center" vertical="center"/>
    </xf>
    <xf numFmtId="0" fontId="49" fillId="21" borderId="4" xfId="0" applyFont="1" applyFill="1" applyBorder="1" applyAlignment="1">
      <alignment horizontal="center" vertical="center"/>
    </xf>
    <xf numFmtId="0" fontId="49" fillId="21" borderId="1" xfId="0" applyFont="1" applyFill="1" applyBorder="1" applyAlignment="1">
      <alignment horizontal="center" vertical="center"/>
    </xf>
    <xf numFmtId="0" fontId="49" fillId="3" borderId="30" xfId="0" applyFont="1" applyFill="1" applyBorder="1" applyAlignment="1">
      <alignment horizontal="center" vertical="center"/>
    </xf>
    <xf numFmtId="16" fontId="49" fillId="3" borderId="180" xfId="0" applyNumberFormat="1" applyFont="1" applyFill="1" applyBorder="1" applyAlignment="1">
      <alignment horizontal="center" vertical="center"/>
    </xf>
    <xf numFmtId="0" fontId="49" fillId="3" borderId="180" xfId="0" applyFont="1" applyFill="1" applyBorder="1" applyAlignment="1">
      <alignment horizontal="center" vertical="center"/>
    </xf>
    <xf numFmtId="0" fontId="54" fillId="3" borderId="15" xfId="0" applyFont="1" applyFill="1" applyBorder="1" applyAlignment="1">
      <alignment horizontal="center" vertical="center"/>
    </xf>
    <xf numFmtId="0" fontId="63" fillId="11" borderId="0" xfId="0" applyFont="1" applyFill="1" applyAlignment="1" applyProtection="1">
      <alignment horizontal="left" vertical="center"/>
      <protection locked="0"/>
    </xf>
    <xf numFmtId="178" fontId="32" fillId="11" borderId="45" xfId="0" applyNumberFormat="1" applyFont="1" applyFill="1" applyBorder="1" applyAlignment="1">
      <alignment horizontal="left" vertical="center"/>
    </xf>
    <xf numFmtId="178" fontId="32" fillId="11" borderId="46" xfId="0" applyNumberFormat="1" applyFont="1" applyFill="1" applyBorder="1" applyAlignment="1">
      <alignment horizontal="left" vertical="center"/>
    </xf>
    <xf numFmtId="178" fontId="32" fillId="11" borderId="31" xfId="0" applyNumberFormat="1" applyFont="1" applyFill="1" applyBorder="1" applyAlignment="1">
      <alignment horizontal="left" vertical="center"/>
    </xf>
    <xf numFmtId="178" fontId="32" fillId="11" borderId="85" xfId="0" applyNumberFormat="1" applyFont="1" applyFill="1" applyBorder="1" applyAlignment="1">
      <alignment horizontal="left" vertical="center"/>
    </xf>
    <xf numFmtId="0" fontId="32" fillId="11" borderId="6" xfId="0" applyFont="1" applyFill="1" applyBorder="1" applyAlignment="1">
      <alignment horizontal="left" vertical="center"/>
    </xf>
    <xf numFmtId="0" fontId="32" fillId="11" borderId="26" xfId="0" applyFont="1" applyFill="1" applyBorder="1" applyAlignment="1">
      <alignment horizontal="left" vertical="center"/>
    </xf>
    <xf numFmtId="0" fontId="30" fillId="14" borderId="11" xfId="0" applyFont="1" applyFill="1" applyBorder="1" applyAlignment="1" applyProtection="1">
      <alignment horizontal="center" vertical="center"/>
      <protection locked="0"/>
    </xf>
    <xf numFmtId="178" fontId="32" fillId="11" borderId="32" xfId="0" applyNumberFormat="1" applyFont="1" applyFill="1" applyBorder="1" applyAlignment="1">
      <alignment horizontal="left" vertical="center"/>
    </xf>
    <xf numFmtId="178" fontId="32" fillId="11" borderId="15" xfId="0" applyNumberFormat="1" applyFont="1" applyFill="1" applyBorder="1" applyAlignment="1">
      <alignment horizontal="left" vertical="center"/>
    </xf>
    <xf numFmtId="178" fontId="32" fillId="11" borderId="35" xfId="0" applyNumberFormat="1" applyFont="1" applyFill="1" applyBorder="1" applyAlignment="1">
      <alignment horizontal="left" vertical="center"/>
    </xf>
    <xf numFmtId="178" fontId="32" fillId="11" borderId="48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1" fillId="4" borderId="4" xfId="3" applyFont="1" applyFill="1" applyBorder="1" applyAlignment="1">
      <alignment horizontal="center" vertical="center"/>
    </xf>
    <xf numFmtId="0" fontId="11" fillId="4" borderId="5" xfId="3" applyFont="1" applyFill="1" applyBorder="1" applyAlignment="1">
      <alignment horizontal="center" vertical="center"/>
    </xf>
    <xf numFmtId="0" fontId="11" fillId="8" borderId="4" xfId="3" applyFont="1" applyFill="1" applyBorder="1" applyAlignment="1">
      <alignment horizontal="center" vertical="center"/>
    </xf>
    <xf numFmtId="0" fontId="11" fillId="8" borderId="5" xfId="3" applyFont="1" applyFill="1" applyBorder="1" applyAlignment="1">
      <alignment horizontal="center" vertical="center"/>
    </xf>
    <xf numFmtId="175" fontId="47" fillId="0" borderId="32" xfId="0" applyNumberFormat="1" applyFont="1" applyBorder="1" applyAlignment="1" applyProtection="1">
      <alignment horizontal="left" vertical="center"/>
      <protection locked="0"/>
    </xf>
    <xf numFmtId="175" fontId="47" fillId="0" borderId="15" xfId="0" applyNumberFormat="1" applyFont="1" applyBorder="1" applyAlignment="1" applyProtection="1">
      <alignment horizontal="left" vertical="center"/>
      <protection locked="0"/>
    </xf>
    <xf numFmtId="175" fontId="47" fillId="0" borderId="35" xfId="0" applyNumberFormat="1" applyFont="1" applyBorder="1" applyAlignment="1" applyProtection="1">
      <alignment horizontal="left" vertical="center"/>
      <protection locked="0"/>
    </xf>
    <xf numFmtId="175" fontId="47" fillId="0" borderId="48" xfId="0" applyNumberFormat="1" applyFont="1" applyBorder="1" applyAlignment="1" applyProtection="1">
      <alignment horizontal="left" vertical="center"/>
      <protection locked="0"/>
    </xf>
    <xf numFmtId="0" fontId="47" fillId="0" borderId="26" xfId="0" applyFont="1" applyBorder="1" applyAlignment="1" applyProtection="1">
      <alignment horizontal="center"/>
      <protection locked="0"/>
    </xf>
    <xf numFmtId="0" fontId="47" fillId="0" borderId="7" xfId="0" applyFont="1" applyBorder="1" applyAlignment="1" applyProtection="1">
      <alignment horizontal="center"/>
      <protection locked="0"/>
    </xf>
    <xf numFmtId="175" fontId="47" fillId="0" borderId="45" xfId="0" applyNumberFormat="1" applyFont="1" applyBorder="1" applyAlignment="1" applyProtection="1">
      <alignment horizontal="left" vertical="center"/>
      <protection locked="0"/>
    </xf>
    <xf numFmtId="175" fontId="47" fillId="0" borderId="46" xfId="0" applyNumberFormat="1" applyFont="1" applyBorder="1" applyAlignment="1" applyProtection="1">
      <alignment horizontal="left" vertical="center"/>
      <protection locked="0"/>
    </xf>
    <xf numFmtId="0" fontId="50" fillId="11" borderId="0" xfId="0" applyFont="1" applyFill="1" applyAlignment="1" applyProtection="1">
      <alignment horizontal="left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175" fontId="47" fillId="0" borderId="29" xfId="0" applyNumberFormat="1" applyFont="1" applyBorder="1" applyAlignment="1" applyProtection="1">
      <alignment horizontal="left" vertical="center"/>
      <protection locked="0"/>
    </xf>
    <xf numFmtId="175" fontId="47" fillId="0" borderId="84" xfId="0" applyNumberFormat="1" applyFont="1" applyBorder="1" applyAlignment="1" applyProtection="1">
      <alignment horizontal="left" vertical="center"/>
      <protection locked="0"/>
    </xf>
    <xf numFmtId="175" fontId="47" fillId="0" borderId="91" xfId="0" applyNumberFormat="1" applyFont="1" applyBorder="1" applyAlignment="1" applyProtection="1">
      <alignment horizontal="left" vertical="center"/>
      <protection locked="0"/>
    </xf>
    <xf numFmtId="175" fontId="47" fillId="0" borderId="86" xfId="0" applyNumberFormat="1" applyFont="1" applyBorder="1" applyAlignment="1" applyProtection="1">
      <alignment horizontal="left" vertical="center"/>
      <protection locked="0"/>
    </xf>
    <xf numFmtId="175" fontId="47" fillId="0" borderId="40" xfId="0" applyNumberFormat="1" applyFont="1" applyBorder="1" applyAlignment="1" applyProtection="1">
      <alignment horizontal="left" vertical="center"/>
      <protection locked="0"/>
    </xf>
    <xf numFmtId="0" fontId="56" fillId="0" borderId="28" xfId="0" applyFont="1" applyBorder="1" applyAlignment="1" applyProtection="1">
      <alignment horizontal="center"/>
      <protection locked="0"/>
    </xf>
    <xf numFmtId="0" fontId="56" fillId="0" borderId="10" xfId="0" applyFont="1" applyBorder="1" applyAlignment="1" applyProtection="1">
      <alignment horizontal="center"/>
      <protection locked="0"/>
    </xf>
    <xf numFmtId="175" fontId="47" fillId="0" borderId="90" xfId="0" applyNumberFormat="1" applyFont="1" applyBorder="1" applyAlignment="1" applyProtection="1">
      <alignment horizontal="left" vertical="center"/>
      <protection locked="0"/>
    </xf>
    <xf numFmtId="175" fontId="47" fillId="0" borderId="22" xfId="0" applyNumberFormat="1" applyFont="1" applyBorder="1" applyAlignment="1" applyProtection="1">
      <alignment horizontal="left" vertical="center"/>
      <protection locked="0"/>
    </xf>
    <xf numFmtId="175" fontId="47" fillId="0" borderId="31" xfId="0" applyNumberFormat="1" applyFont="1" applyBorder="1" applyAlignment="1" applyProtection="1">
      <alignment horizontal="left" vertical="center"/>
      <protection locked="0"/>
    </xf>
    <xf numFmtId="175" fontId="47" fillId="0" borderId="85" xfId="0" applyNumberFormat="1" applyFont="1" applyBorder="1" applyAlignment="1" applyProtection="1">
      <alignment horizontal="left" vertical="center"/>
      <protection locked="0"/>
    </xf>
    <xf numFmtId="0" fontId="68" fillId="0" borderId="0" xfId="0" applyFont="1" applyAlignment="1" applyProtection="1">
      <alignment horizontal="left" vertical="center"/>
      <protection locked="0"/>
    </xf>
    <xf numFmtId="0" fontId="25" fillId="41" borderId="4" xfId="0" applyFont="1" applyFill="1" applyBorder="1" applyAlignment="1">
      <alignment horizontal="left" vertical="center"/>
    </xf>
    <xf numFmtId="0" fontId="25" fillId="41" borderId="11" xfId="0" applyFont="1" applyFill="1" applyBorder="1" applyAlignment="1">
      <alignment horizontal="left" vertical="center"/>
    </xf>
    <xf numFmtId="0" fontId="25" fillId="41" borderId="5" xfId="0" applyFont="1" applyFill="1" applyBorder="1" applyAlignment="1">
      <alignment horizontal="left" vertical="center"/>
    </xf>
    <xf numFmtId="0" fontId="91" fillId="41" borderId="137" xfId="0" applyFont="1" applyFill="1" applyBorder="1" applyAlignment="1">
      <alignment horizontal="left" vertical="center"/>
    </xf>
    <xf numFmtId="0" fontId="91" fillId="41" borderId="138" xfId="0" applyFont="1" applyFill="1" applyBorder="1" applyAlignment="1">
      <alignment horizontal="left" vertical="center"/>
    </xf>
    <xf numFmtId="0" fontId="91" fillId="41" borderId="139" xfId="0" applyFont="1" applyFill="1" applyBorder="1" applyAlignment="1">
      <alignment horizontal="left" vertical="center"/>
    </xf>
    <xf numFmtId="0" fontId="92" fillId="3" borderId="17" xfId="0" applyFont="1" applyFill="1" applyBorder="1" applyAlignment="1">
      <alignment horizontal="left" vertical="center"/>
    </xf>
    <xf numFmtId="0" fontId="92" fillId="3" borderId="72" xfId="0" applyFont="1" applyFill="1" applyBorder="1" applyAlignment="1">
      <alignment horizontal="left" vertical="center"/>
    </xf>
    <xf numFmtId="0" fontId="92" fillId="3" borderId="18" xfId="0" applyFont="1" applyFill="1" applyBorder="1" applyAlignment="1">
      <alignment horizontal="left" vertical="center"/>
    </xf>
    <xf numFmtId="0" fontId="78" fillId="41" borderId="6" xfId="0" applyFont="1" applyFill="1" applyBorder="1" applyAlignment="1">
      <alignment horizontal="center" vertical="center"/>
    </xf>
    <xf numFmtId="0" fontId="78" fillId="41" borderId="26" xfId="0" applyFont="1" applyFill="1" applyBorder="1" applyAlignment="1">
      <alignment horizontal="center" vertical="center"/>
    </xf>
    <xf numFmtId="0" fontId="84" fillId="3" borderId="6" xfId="0" applyFont="1" applyFill="1" applyBorder="1" applyAlignment="1" applyProtection="1">
      <alignment horizontal="center" vertical="center"/>
      <protection locked="0"/>
    </xf>
    <xf numFmtId="0" fontId="84" fillId="3" borderId="7" xfId="0" applyFont="1" applyFill="1" applyBorder="1" applyAlignment="1" applyProtection="1">
      <alignment horizontal="center" vertical="center"/>
      <protection locked="0"/>
    </xf>
    <xf numFmtId="0" fontId="84" fillId="3" borderId="9" xfId="0" applyFont="1" applyFill="1" applyBorder="1" applyAlignment="1" applyProtection="1">
      <alignment horizontal="center" vertical="center"/>
      <protection locked="0"/>
    </xf>
    <xf numFmtId="0" fontId="84" fillId="3" borderId="10" xfId="0" applyFont="1" applyFill="1" applyBorder="1" applyAlignment="1" applyProtection="1">
      <alignment horizontal="center" vertical="center"/>
      <protection locked="0"/>
    </xf>
    <xf numFmtId="0" fontId="91" fillId="41" borderId="4" xfId="0" applyFont="1" applyFill="1" applyBorder="1" applyAlignment="1">
      <alignment horizontal="left" vertical="center"/>
    </xf>
    <xf numFmtId="0" fontId="91" fillId="41" borderId="11" xfId="0" applyFont="1" applyFill="1" applyBorder="1" applyAlignment="1">
      <alignment horizontal="left" vertical="center"/>
    </xf>
    <xf numFmtId="0" fontId="91" fillId="41" borderId="5" xfId="0" applyFont="1" applyFill="1" applyBorder="1" applyAlignment="1">
      <alignment horizontal="left" vertical="center"/>
    </xf>
    <xf numFmtId="0" fontId="66" fillId="13" borderId="123" xfId="0" applyFont="1" applyFill="1" applyBorder="1" applyAlignment="1">
      <alignment vertical="center"/>
    </xf>
    <xf numFmtId="0" fontId="66" fillId="13" borderId="72" xfId="0" applyFont="1" applyFill="1" applyBorder="1" applyAlignment="1">
      <alignment vertical="center"/>
    </xf>
    <xf numFmtId="0" fontId="66" fillId="40" borderId="123" xfId="0" applyFont="1" applyFill="1" applyBorder="1" applyAlignment="1">
      <alignment vertical="center"/>
    </xf>
    <xf numFmtId="0" fontId="66" fillId="40" borderId="72" xfId="0" applyFont="1" applyFill="1" applyBorder="1" applyAlignment="1">
      <alignment vertical="center"/>
    </xf>
    <xf numFmtId="0" fontId="66" fillId="40" borderId="156" xfId="0" applyFont="1" applyFill="1" applyBorder="1" applyAlignment="1">
      <alignment vertical="center"/>
    </xf>
    <xf numFmtId="0" fontId="91" fillId="41" borderId="6" xfId="0" applyFont="1" applyFill="1" applyBorder="1" applyAlignment="1">
      <alignment horizontal="left" vertical="center"/>
    </xf>
    <xf numFmtId="0" fontId="91" fillId="41" borderId="26" xfId="0" applyFont="1" applyFill="1" applyBorder="1" applyAlignment="1">
      <alignment horizontal="left" vertical="center"/>
    </xf>
    <xf numFmtId="0" fontId="91" fillId="41" borderId="7" xfId="0" applyFont="1" applyFill="1" applyBorder="1" applyAlignment="1">
      <alignment horizontal="left" vertical="center"/>
    </xf>
    <xf numFmtId="0" fontId="92" fillId="3" borderId="111" xfId="0" applyFont="1" applyFill="1" applyBorder="1" applyAlignment="1">
      <alignment horizontal="left" vertical="center"/>
    </xf>
    <xf numFmtId="0" fontId="92" fillId="3" borderId="73" xfId="0" applyFont="1" applyFill="1" applyBorder="1" applyAlignment="1">
      <alignment horizontal="left" vertical="center"/>
    </xf>
    <xf numFmtId="0" fontId="92" fillId="3" borderId="109" xfId="0" applyFont="1" applyFill="1" applyBorder="1" applyAlignment="1">
      <alignment horizontal="left" vertical="center"/>
    </xf>
    <xf numFmtId="0" fontId="65" fillId="39" borderId="4" xfId="0" applyFont="1" applyFill="1" applyBorder="1" applyAlignment="1">
      <alignment vertical="center"/>
    </xf>
    <xf numFmtId="0" fontId="65" fillId="39" borderId="11" xfId="0" applyFont="1" applyFill="1" applyBorder="1" applyAlignment="1">
      <alignment vertical="center"/>
    </xf>
    <xf numFmtId="0" fontId="65" fillId="39" borderId="155" xfId="0" applyFont="1" applyFill="1" applyBorder="1" applyAlignment="1">
      <alignment vertical="center"/>
    </xf>
    <xf numFmtId="0" fontId="3" fillId="51" borderId="0" xfId="0" applyFont="1" applyFill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/>
      <protection locked="0"/>
    </xf>
    <xf numFmtId="0" fontId="17" fillId="18" borderId="4" xfId="0" applyFont="1" applyFill="1" applyBorder="1" applyAlignment="1" applyProtection="1">
      <alignment horizontal="center" vertical="center"/>
      <protection locked="0"/>
    </xf>
    <xf numFmtId="0" fontId="17" fillId="18" borderId="11" xfId="0" applyFont="1" applyFill="1" applyBorder="1" applyAlignment="1" applyProtection="1">
      <alignment horizontal="center" vertical="center"/>
      <protection locked="0"/>
    </xf>
    <xf numFmtId="0" fontId="17" fillId="18" borderId="5" xfId="0" applyFont="1" applyFill="1" applyBorder="1" applyAlignment="1" applyProtection="1">
      <alignment horizontal="center" vertical="center"/>
      <protection locked="0"/>
    </xf>
    <xf numFmtId="0" fontId="40" fillId="5" borderId="4" xfId="0" applyFont="1" applyFill="1" applyBorder="1" applyAlignment="1">
      <alignment horizontal="center" vertical="center"/>
    </xf>
    <xf numFmtId="0" fontId="40" fillId="5" borderId="11" xfId="0" applyFont="1" applyFill="1" applyBorder="1" applyAlignment="1">
      <alignment horizontal="center" vertical="center"/>
    </xf>
    <xf numFmtId="0" fontId="40" fillId="5" borderId="5" xfId="0" applyFont="1" applyFill="1" applyBorder="1" applyAlignment="1">
      <alignment horizontal="center" vertical="center"/>
    </xf>
    <xf numFmtId="0" fontId="30" fillId="5" borderId="4" xfId="0" applyFont="1" applyFill="1" applyBorder="1" applyAlignment="1">
      <alignment horizontal="center" vertical="center"/>
    </xf>
    <xf numFmtId="0" fontId="30" fillId="5" borderId="11" xfId="0" applyFont="1" applyFill="1" applyBorder="1" applyAlignment="1">
      <alignment horizontal="center" vertical="center"/>
    </xf>
    <xf numFmtId="0" fontId="30" fillId="5" borderId="5" xfId="0" applyFont="1" applyFill="1" applyBorder="1" applyAlignment="1">
      <alignment horizontal="center" vertical="center"/>
    </xf>
    <xf numFmtId="0" fontId="3" fillId="51" borderId="0" xfId="0" applyFont="1" applyFill="1" applyAlignment="1" applyProtection="1">
      <alignment horizontal="left" vertical="top"/>
      <protection locked="0"/>
    </xf>
    <xf numFmtId="0" fontId="75" fillId="3" borderId="78" xfId="0" applyFont="1" applyFill="1" applyBorder="1" applyAlignment="1" applyProtection="1">
      <alignment horizontal="center" vertical="center"/>
      <protection locked="0"/>
    </xf>
    <xf numFmtId="0" fontId="75" fillId="3" borderId="81" xfId="0" applyFont="1" applyFill="1" applyBorder="1" applyAlignment="1" applyProtection="1">
      <alignment horizontal="center" vertical="center"/>
      <protection locked="0"/>
    </xf>
    <xf numFmtId="0" fontId="70" fillId="5" borderId="78" xfId="0" applyFont="1" applyFill="1" applyBorder="1" applyAlignment="1" applyProtection="1">
      <alignment horizontal="center" vertical="center"/>
      <protection locked="0"/>
    </xf>
    <xf numFmtId="0" fontId="70" fillId="5" borderId="81" xfId="0" applyFont="1" applyFill="1" applyBorder="1" applyAlignment="1" applyProtection="1">
      <alignment horizontal="center" vertical="center"/>
      <protection locked="0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168" fontId="40" fillId="37" borderId="4" xfId="0" applyNumberFormat="1" applyFont="1" applyFill="1" applyBorder="1" applyAlignment="1">
      <alignment horizontal="center" vertical="center"/>
    </xf>
    <xf numFmtId="168" fontId="40" fillId="37" borderId="11" xfId="0" applyNumberFormat="1" applyFont="1" applyFill="1" applyBorder="1" applyAlignment="1">
      <alignment horizontal="center" vertical="center"/>
    </xf>
    <xf numFmtId="168" fontId="40" fillId="37" borderId="136" xfId="0" applyNumberFormat="1" applyFont="1" applyFill="1" applyBorder="1" applyAlignment="1">
      <alignment horizontal="center" vertical="center"/>
    </xf>
    <xf numFmtId="168" fontId="40" fillId="37" borderId="28" xfId="0" applyNumberFormat="1" applyFont="1" applyFill="1" applyBorder="1" applyAlignment="1">
      <alignment horizontal="center" vertical="center"/>
    </xf>
    <xf numFmtId="0" fontId="22" fillId="3" borderId="0" xfId="0" applyFont="1" applyFill="1" applyAlignment="1">
      <alignment horizontal="center" vertical="center"/>
    </xf>
    <xf numFmtId="0" fontId="27" fillId="11" borderId="55" xfId="0" applyFont="1" applyFill="1" applyBorder="1" applyAlignment="1">
      <alignment horizontal="center" vertical="center" wrapText="1"/>
    </xf>
    <xf numFmtId="0" fontId="27" fillId="11" borderId="67" xfId="0" applyFont="1" applyFill="1" applyBorder="1" applyAlignment="1">
      <alignment horizontal="center" vertical="center" wrapText="1"/>
    </xf>
    <xf numFmtId="0" fontId="27" fillId="11" borderId="76" xfId="0" applyFont="1" applyFill="1" applyBorder="1" applyAlignment="1">
      <alignment horizontal="center" vertical="center" wrapText="1"/>
    </xf>
    <xf numFmtId="0" fontId="27" fillId="30" borderId="55" xfId="0" applyFont="1" applyFill="1" applyBorder="1" applyAlignment="1">
      <alignment horizontal="center" vertical="center" wrapText="1"/>
    </xf>
    <xf numFmtId="0" fontId="27" fillId="30" borderId="67" xfId="0" applyFont="1" applyFill="1" applyBorder="1" applyAlignment="1">
      <alignment horizontal="center" vertical="center" wrapText="1"/>
    </xf>
    <xf numFmtId="0" fontId="27" fillId="30" borderId="76" xfId="0" applyFont="1" applyFill="1" applyBorder="1" applyAlignment="1">
      <alignment horizontal="center" vertical="center" wrapText="1"/>
    </xf>
    <xf numFmtId="0" fontId="31" fillId="3" borderId="55" xfId="3" applyFont="1" applyFill="1" applyBorder="1" applyAlignment="1">
      <alignment horizontal="center" vertical="center" wrapText="1"/>
    </xf>
    <xf numFmtId="0" fontId="31" fillId="3" borderId="67" xfId="3" applyFont="1" applyFill="1" applyBorder="1" applyAlignment="1">
      <alignment horizontal="center" vertical="center" wrapText="1"/>
    </xf>
    <xf numFmtId="0" fontId="31" fillId="3" borderId="76" xfId="3" applyFont="1" applyFill="1" applyBorder="1" applyAlignment="1">
      <alignment horizontal="center" vertical="center" wrapText="1"/>
    </xf>
    <xf numFmtId="0" fontId="27" fillId="29" borderId="55" xfId="3" applyFont="1" applyFill="1" applyBorder="1" applyAlignment="1">
      <alignment horizontal="center" vertical="center" wrapText="1"/>
    </xf>
    <xf numFmtId="0" fontId="27" fillId="29" borderId="67" xfId="3" applyFont="1" applyFill="1" applyBorder="1" applyAlignment="1">
      <alignment horizontal="center" vertical="center" wrapText="1"/>
    </xf>
    <xf numFmtId="0" fontId="27" fillId="29" borderId="76" xfId="3" applyFont="1" applyFill="1" applyBorder="1" applyAlignment="1">
      <alignment horizontal="center" vertical="center" wrapText="1"/>
    </xf>
    <xf numFmtId="0" fontId="17" fillId="18" borderId="25" xfId="0" applyFont="1" applyFill="1" applyBorder="1" applyAlignment="1">
      <alignment horizontal="left" vertical="center"/>
    </xf>
    <xf numFmtId="0" fontId="17" fillId="0" borderId="25" xfId="0" applyFont="1" applyFill="1" applyBorder="1" applyAlignment="1">
      <alignment horizontal="left" vertical="center"/>
    </xf>
    <xf numFmtId="194" fontId="17" fillId="0" borderId="25" xfId="0" applyNumberFormat="1" applyFont="1" applyFill="1" applyBorder="1" applyAlignment="1">
      <alignment horizontal="left" vertical="center"/>
    </xf>
    <xf numFmtId="174" fontId="17" fillId="0" borderId="25" xfId="0" applyNumberFormat="1" applyFont="1" applyFill="1" applyBorder="1" applyAlignment="1">
      <alignment horizontal="left" vertical="center"/>
    </xf>
  </cellXfs>
  <cellStyles count="6">
    <cellStyle name="40% - Accent4" xfId="5" builtinId="43"/>
    <cellStyle name="Currency" xfId="1" builtinId="4"/>
    <cellStyle name="Hyperlink" xfId="3" builtinId="8"/>
    <cellStyle name="Hyperlink 2" xfId="4" xr:uid="{74E6AA81-39C2-4012-AB6A-731F43E7226A}"/>
    <cellStyle name="Normal" xfId="0" builtinId="0"/>
    <cellStyle name="Percent" xfId="2" builtinId="5"/>
  </cellStyles>
  <dxfs count="634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 style="hair">
          <color auto="1"/>
        </top>
        <bottom style="hair">
          <color auto="1"/>
        </bottom>
      </border>
    </dxf>
    <dxf>
      <font>
        <b/>
        <i/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 style="thick">
          <color auto="1"/>
        </right>
      </border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/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color theme="0"/>
      </font>
      <fill>
        <patternFill>
          <bgColor theme="9"/>
        </patternFill>
      </fill>
      <border>
        <vertical/>
        <horizontal/>
      </border>
    </dxf>
    <dxf>
      <font>
        <b/>
        <i/>
        <color theme="0"/>
      </font>
      <fill>
        <patternFill>
          <bgColor rgb="FFFF0000"/>
        </patternFill>
      </fill>
      <border>
        <vertical/>
        <horizontal/>
      </border>
    </dxf>
    <dxf>
      <font>
        <b/>
        <i/>
        <color theme="0"/>
      </font>
      <fill>
        <patternFill>
          <bgColor rgb="FF002060"/>
        </patternFill>
      </fill>
      <border>
        <vertical/>
        <horizontal/>
      </border>
    </dxf>
    <dxf>
      <font>
        <b/>
        <i/>
        <color theme="0"/>
      </font>
      <fill>
        <patternFill>
          <bgColor theme="5" tint="-0.24994659260841701"/>
        </patternFill>
      </fill>
      <border>
        <vertical/>
        <horizontal/>
      </border>
    </dxf>
    <dxf>
      <font>
        <color rgb="FF9C0006"/>
      </font>
      <fill>
        <patternFill patternType="solid">
          <bgColor rgb="FFFFC7CE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1" formatCode="&quot;₹&quot;\ #,##0"/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68" formatCode="[$$-409]#,##0"/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 style="thin">
          <color auto="1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68" formatCode="[$$-409]#,##0"/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 style="thin">
          <color auto="1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72" formatCode="\ dd/mmm\ yy"/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ck">
          <color auto="1"/>
        </right>
        <top/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0"/>
        <name val="Aptos"/>
        <family val="2"/>
        <scheme val="none"/>
      </font>
      <numFmt numFmtId="169" formatCode="[$-14009]dddd\,\ d\ mmm\,\ yyyy;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 style="thick">
          <color theme="0"/>
        </right>
        <top/>
        <bottom/>
      </border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strike/>
        <u val="none"/>
        <color theme="0"/>
      </font>
      <fill>
        <patternFill>
          <bgColor rgb="FF00B05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/>
      </font>
    </dxf>
    <dxf>
      <font>
        <strike/>
      </font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1" formatCode="&quot;₹&quot;\ #,##0"/>
      <alignment horizontal="center" vertical="center" textRotation="0" wrapText="0" indent="0" justifyLastLine="0" shrinkToFit="0" readingOrder="0"/>
      <border diagonalUp="0" diagonalDown="0">
        <left style="thick">
          <color theme="1"/>
        </left>
        <right style="thick">
          <color theme="1"/>
        </right>
        <top/>
        <bottom/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71" formatCode="&quot;₹&quot;\ #,##0"/>
      <alignment horizontal="center" vertical="center" textRotation="0" wrapText="0" indent="0" justifyLastLine="0" shrinkToFit="0" readingOrder="0"/>
      <border diagonalUp="0" diagonalDown="0">
        <left style="thick">
          <color theme="1"/>
        </left>
        <right style="thick">
          <color theme="1"/>
        </right>
        <top/>
        <bottom/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EE0000"/>
        <name val="Calibri"/>
        <family val="2"/>
        <scheme val="minor"/>
      </font>
      <numFmt numFmtId="168" formatCode="[$$-409]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EE0000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>
        <left style="thick">
          <color theme="1"/>
        </left>
        <right style="thick">
          <color theme="1"/>
        </right>
        <top/>
        <bottom/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>
        <left style="thick">
          <color theme="1"/>
        </left>
        <right style="thick">
          <color theme="1"/>
        </right>
        <top/>
        <bottom/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theme="1"/>
        </left>
        <right style="thick">
          <color theme="1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theme="1"/>
        </left>
        <right style="thick">
          <color theme="1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theme="1"/>
        </left>
        <right style="thick">
          <color theme="1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theme="1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theme="1"/>
        </left>
        <right style="thick">
          <color theme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theme="1"/>
        </left>
        <right style="thick">
          <color theme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theme="1"/>
        </left>
        <right style="thick">
          <color theme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theme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/>
        <horizontal/>
      </border>
    </dxf>
    <dxf>
      <font>
        <b/>
        <i/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indexed="64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7" formatCode="dd/mmm\,\ yy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87" formatCode="dd/mmm\,\ yy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[$$-409]#,##0"/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/>
        <horizontal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ck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/>
        <u val="none"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strike/>
      </font>
      <fill>
        <patternFill patternType="none"/>
      </fill>
    </dxf>
    <dxf>
      <font>
        <strike/>
      </font>
      <fill>
        <patternFill patternType="none"/>
      </fill>
    </dxf>
    <dxf>
      <font>
        <strike/>
      </font>
      <fill>
        <patternFill patternType="none"/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strike/>
      </font>
      <fill>
        <patternFill patternType="none"/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2060"/>
        </patternFill>
      </fill>
    </dxf>
    <dxf>
      <font>
        <b/>
        <i/>
        <strike/>
        <color theme="0"/>
      </font>
      <fill>
        <patternFill>
          <bgColor theme="9" tint="-0.24994659260841701"/>
        </patternFill>
      </fill>
    </dxf>
    <dxf>
      <font>
        <b/>
        <i/>
        <strike/>
        <color theme="0"/>
      </font>
      <fill>
        <patternFill>
          <bgColor rgb="FFFF0000"/>
        </patternFill>
      </fill>
    </dxf>
    <dxf>
      <font>
        <b/>
        <i val="0"/>
        <strike/>
        <color theme="0"/>
      </font>
      <fill>
        <patternFill>
          <bgColor theme="9" tint="-0.24994659260841701"/>
        </patternFill>
      </fill>
    </dxf>
    <dxf>
      <font>
        <strike/>
      </font>
    </dxf>
    <dxf>
      <font>
        <b/>
        <i/>
      </font>
      <fill>
        <patternFill patternType="solid">
          <bgColor rgb="FF00B050"/>
        </patternFill>
      </fill>
    </dxf>
    <dxf>
      <font>
        <b/>
        <i/>
      </font>
      <fill>
        <patternFill patternType="solid">
          <bgColor rgb="FFFF0000"/>
        </patternFill>
      </fill>
    </dxf>
    <dxf>
      <font>
        <b/>
        <i val="0"/>
      </font>
      <fill>
        <patternFill patternType="solid">
          <bgColor theme="2"/>
        </patternFill>
      </fill>
    </dxf>
    <dxf>
      <font>
        <b/>
        <i val="0"/>
      </font>
      <fill>
        <patternFill patternType="solid">
          <bgColor rgb="FFFFC00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strike val="0"/>
      </font>
      <fill>
        <patternFill patternType="solid">
          <bgColor rgb="FFDA0000"/>
        </patternFill>
      </fill>
    </dxf>
    <dxf>
      <font>
        <strike/>
      </font>
      <fill>
        <patternFill patternType="none"/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b/>
        <i/>
        <color theme="0"/>
      </font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</dxfs>
  <tableStyles count="2" defaultTableStyle="TableStyleMedium2" defaultPivotStyle="PivotStyleLight16">
    <tableStyle name="Table Style 1" pivot="0" count="1" xr9:uid="{F56B26C2-5A8F-4602-B2F1-78F71AA803B5}">
      <tableStyleElement type="secondRowStripe" dxfId="633"/>
    </tableStyle>
    <tableStyle name="Table Style 2" pivot="0" count="1" xr9:uid="{FF611586-E9A5-4FA3-B9F5-2BDA713B2E74}">
      <tableStyleElement type="secondRowStripe" dxfId="632"/>
    </tableStyle>
  </tableStyles>
  <colors>
    <mruColors>
      <color rgb="FFFFDBBB"/>
      <color rgb="FFFFCC99"/>
      <color rgb="FFFFD3AC"/>
      <color rgb="FFF5E960"/>
      <color rgb="FFDFB2F4"/>
      <color rgb="FFF49097"/>
      <color rgb="FF55D6C2"/>
      <color rgb="FFFFC611"/>
      <color rgb="FFFF33CC"/>
      <color rgb="FF61CB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301599</xdr:colOff>
      <xdr:row>0</xdr:row>
      <xdr:rowOff>87373</xdr:rowOff>
    </xdr:from>
    <xdr:to>
      <xdr:col>2</xdr:col>
      <xdr:colOff>301599</xdr:colOff>
      <xdr:row>3</xdr:row>
      <xdr:rowOff>126605</xdr:rowOff>
    </xdr:to>
    <xdr:pic>
      <xdr:nvPicPr>
        <xdr:cNvPr id="2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9494DD6C-38EE-40D2-990A-EDD076AD8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46499" y="87373"/>
          <a:ext cx="0" cy="587872"/>
        </a:xfrm>
        <a:prstGeom prst="rect">
          <a:avLst/>
        </a:prstGeom>
      </xdr:spPr>
    </xdr:pic>
    <xdr:clientData/>
  </xdr:twoCellAnchor>
  <xdr:twoCellAnchor>
    <xdr:from>
      <xdr:col>8</xdr:col>
      <xdr:colOff>52237</xdr:colOff>
      <xdr:row>6</xdr:row>
      <xdr:rowOff>32930</xdr:rowOff>
    </xdr:from>
    <xdr:to>
      <xdr:col>8</xdr:col>
      <xdr:colOff>748749</xdr:colOff>
      <xdr:row>7</xdr:row>
      <xdr:rowOff>159026</xdr:rowOff>
    </xdr:to>
    <xdr:sp macro="[0]!Sheet11.CLEARAIR" textlink="">
      <xdr:nvSpPr>
        <xdr:cNvPr id="3" name="Rectangle: Rounded Corners 2" descr="CLEAR">
          <a:extLst>
            <a:ext uri="{FF2B5EF4-FFF2-40B4-BE49-F238E27FC236}">
              <a16:creationId xmlns:a16="http://schemas.microsoft.com/office/drawing/2014/main" id="{013E25E7-F1A7-4F54-B63A-DA599650746E}"/>
            </a:ext>
          </a:extLst>
        </xdr:cNvPr>
        <xdr:cNvSpPr/>
      </xdr:nvSpPr>
      <xdr:spPr>
        <a:xfrm>
          <a:off x="21601597" y="1191170"/>
          <a:ext cx="696512" cy="31659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0" cap="none" spc="0">
              <a:ln>
                <a:noFill/>
              </a:ln>
              <a:solidFill>
                <a:schemeClr val="bg1"/>
              </a:solidFill>
              <a:effectLst/>
              <a:latin typeface="Algerian" panose="04020705040A02060702" pitchFamily="82" charset="0"/>
            </a:rPr>
            <a:t>Clear</a:t>
          </a:r>
        </a:p>
      </xdr:txBody>
    </xdr:sp>
    <xdr:clientData/>
  </xdr:twoCellAnchor>
  <xdr:twoCellAnchor>
    <xdr:from>
      <xdr:col>8</xdr:col>
      <xdr:colOff>74680</xdr:colOff>
      <xdr:row>3</xdr:row>
      <xdr:rowOff>198782</xdr:rowOff>
    </xdr:from>
    <xdr:to>
      <xdr:col>8</xdr:col>
      <xdr:colOff>755374</xdr:colOff>
      <xdr:row>5</xdr:row>
      <xdr:rowOff>132522</xdr:rowOff>
    </xdr:to>
    <xdr:sp macro="[0]!Sheet11.SAVEAIR" textlink="">
      <xdr:nvSpPr>
        <xdr:cNvPr id="4" name="Rectangle 3">
          <a:extLst>
            <a:ext uri="{FF2B5EF4-FFF2-40B4-BE49-F238E27FC236}">
              <a16:creationId xmlns:a16="http://schemas.microsoft.com/office/drawing/2014/main" id="{3708223F-A9B6-4468-873A-31ED939A3DCE}"/>
            </a:ext>
          </a:extLst>
        </xdr:cNvPr>
        <xdr:cNvSpPr/>
      </xdr:nvSpPr>
      <xdr:spPr>
        <a:xfrm flipH="1">
          <a:off x="21624040" y="762662"/>
          <a:ext cx="680694" cy="32998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>
              <a:latin typeface="Algerian" panose="04020705040A02060702" pitchFamily="82" charset="0"/>
            </a:rPr>
            <a:t>SAVE</a:t>
          </a:r>
          <a:endParaRPr lang="en-IN" sz="900"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2</xdr:col>
      <xdr:colOff>138888</xdr:colOff>
      <xdr:row>0</xdr:row>
      <xdr:rowOff>84513</xdr:rowOff>
    </xdr:from>
    <xdr:to>
      <xdr:col>3</xdr:col>
      <xdr:colOff>509865</xdr:colOff>
      <xdr:row>3</xdr:row>
      <xdr:rowOff>46413</xdr:rowOff>
    </xdr:to>
    <xdr:pic>
      <xdr:nvPicPr>
        <xdr:cNvPr id="5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BEB99A6F-ED83-409A-9E90-FB6BBF60F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415" y="84513"/>
          <a:ext cx="1084486" cy="5645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76045</xdr:colOff>
      <xdr:row>3</xdr:row>
      <xdr:rowOff>131859</xdr:rowOff>
    </xdr:from>
    <xdr:to>
      <xdr:col>6</xdr:col>
      <xdr:colOff>412961</xdr:colOff>
      <xdr:row>5</xdr:row>
      <xdr:rowOff>27069</xdr:rowOff>
    </xdr:to>
    <xdr:sp macro="[0]!Sheet5.SAVECFS" textlink="">
      <xdr:nvSpPr>
        <xdr:cNvPr id="3" name="Rectangle 2">
          <a:extLst>
            <a:ext uri="{FF2B5EF4-FFF2-40B4-BE49-F238E27FC236}">
              <a16:creationId xmlns:a16="http://schemas.microsoft.com/office/drawing/2014/main" id="{8851A1BF-B3EC-4383-8920-2371EC9BD4A7}"/>
            </a:ext>
          </a:extLst>
        </xdr:cNvPr>
        <xdr:cNvSpPr/>
      </xdr:nvSpPr>
      <xdr:spPr>
        <a:xfrm flipH="1">
          <a:off x="7283669" y="696635"/>
          <a:ext cx="336916" cy="280693"/>
        </a:xfrm>
        <a:prstGeom prst="rect">
          <a:avLst/>
        </a:prstGeom>
        <a:effectLst>
          <a:glow rad="63500">
            <a:schemeClr val="accent2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  <a:scene3d>
          <a:camera prst="obliqueBottomRigh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>
              <a:latin typeface="Aptos" panose="020B00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56155</xdr:colOff>
      <xdr:row>7</xdr:row>
      <xdr:rowOff>187638</xdr:rowOff>
    </xdr:from>
    <xdr:to>
      <xdr:col>6</xdr:col>
      <xdr:colOff>403860</xdr:colOff>
      <xdr:row>9</xdr:row>
      <xdr:rowOff>106680</xdr:rowOff>
    </xdr:to>
    <xdr:sp macro="[0]!Sheet5.CLEARSEA" textlink="">
      <xdr:nvSpPr>
        <xdr:cNvPr id="4" name="Rectangle: Rounded Corners 3" descr="CLEAR">
          <a:extLst>
            <a:ext uri="{FF2B5EF4-FFF2-40B4-BE49-F238E27FC236}">
              <a16:creationId xmlns:a16="http://schemas.microsoft.com/office/drawing/2014/main" id="{4F4A9D6B-7916-4098-8806-520112DEAA0C}"/>
            </a:ext>
          </a:extLst>
        </xdr:cNvPr>
        <xdr:cNvSpPr/>
      </xdr:nvSpPr>
      <xdr:spPr>
        <a:xfrm>
          <a:off x="7043695" y="1574478"/>
          <a:ext cx="347705" cy="315282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0" cap="none" spc="0">
              <a:ln>
                <a:noFill/>
              </a:ln>
              <a:solidFill>
                <a:schemeClr val="bg1"/>
              </a:solidFill>
              <a:effectLst/>
              <a:latin typeface="Aptos" panose="020B0004020202020204" pitchFamily="34" charset="0"/>
            </a:rPr>
            <a:t>C</a:t>
          </a:r>
        </a:p>
      </xdr:txBody>
    </xdr:sp>
    <xdr:clientData/>
  </xdr:twoCellAnchor>
  <xdr:twoCellAnchor>
    <xdr:from>
      <xdr:col>6</xdr:col>
      <xdr:colOff>15844</xdr:colOff>
      <xdr:row>5</xdr:row>
      <xdr:rowOff>194495</xdr:rowOff>
    </xdr:from>
    <xdr:to>
      <xdr:col>6</xdr:col>
      <xdr:colOff>468406</xdr:colOff>
      <xdr:row>7</xdr:row>
      <xdr:rowOff>49306</xdr:rowOff>
    </xdr:to>
    <xdr:sp macro="[0]!Sheet5.CopyDataFromMasterToSe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E4A9780-B2C1-4182-8BFA-55CF60BCE36E}"/>
            </a:ext>
          </a:extLst>
        </xdr:cNvPr>
        <xdr:cNvSpPr/>
      </xdr:nvSpPr>
      <xdr:spPr>
        <a:xfrm>
          <a:off x="7003384" y="1185095"/>
          <a:ext cx="452562" cy="2510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2</xdr:col>
      <xdr:colOff>37356</xdr:colOff>
      <xdr:row>0</xdr:row>
      <xdr:rowOff>86863</xdr:rowOff>
    </xdr:from>
    <xdr:to>
      <xdr:col>2</xdr:col>
      <xdr:colOff>1016071</xdr:colOff>
      <xdr:row>3</xdr:row>
      <xdr:rowOff>28729</xdr:rowOff>
    </xdr:to>
    <xdr:pic>
      <xdr:nvPicPr>
        <xdr:cNvPr id="7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E6985611-0E68-4879-BE61-14CBFBE94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9576" y="86863"/>
          <a:ext cx="978715" cy="5362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449692</xdr:colOff>
      <xdr:row>0</xdr:row>
      <xdr:rowOff>49273</xdr:rowOff>
    </xdr:from>
    <xdr:to>
      <xdr:col>2</xdr:col>
      <xdr:colOff>449692</xdr:colOff>
      <xdr:row>3</xdr:row>
      <xdr:rowOff>134225</xdr:rowOff>
    </xdr:to>
    <xdr:pic>
      <xdr:nvPicPr>
        <xdr:cNvPr id="2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AD8A3A6B-74A8-453D-9EC2-FBA628CED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30632" y="49273"/>
          <a:ext cx="0" cy="633592"/>
        </a:xfrm>
        <a:prstGeom prst="rect">
          <a:avLst/>
        </a:prstGeom>
      </xdr:spPr>
    </xdr:pic>
    <xdr:clientData/>
  </xdr:twoCellAnchor>
  <xdr:twoCellAnchor>
    <xdr:from>
      <xdr:col>8</xdr:col>
      <xdr:colOff>74678</xdr:colOff>
      <xdr:row>4</xdr:row>
      <xdr:rowOff>30479</xdr:rowOff>
    </xdr:from>
    <xdr:to>
      <xdr:col>9</xdr:col>
      <xdr:colOff>15240</xdr:colOff>
      <xdr:row>5</xdr:row>
      <xdr:rowOff>145774</xdr:rowOff>
    </xdr:to>
    <xdr:sp macro="[0]!Sheet13.SAVELCL" textlink="">
      <xdr:nvSpPr>
        <xdr:cNvPr id="3" name="Rectangle 2">
          <a:extLst>
            <a:ext uri="{FF2B5EF4-FFF2-40B4-BE49-F238E27FC236}">
              <a16:creationId xmlns:a16="http://schemas.microsoft.com/office/drawing/2014/main" id="{8C34B225-3F32-4D0D-B913-29056B2AA7CD}"/>
            </a:ext>
          </a:extLst>
        </xdr:cNvPr>
        <xdr:cNvSpPr/>
      </xdr:nvSpPr>
      <xdr:spPr>
        <a:xfrm flipH="1">
          <a:off x="35690558" y="792479"/>
          <a:ext cx="725422" cy="31341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IN" sz="1600">
              <a:latin typeface="Algerian" panose="04020705040A02060702" pitchFamily="82" charset="0"/>
            </a:rPr>
            <a:t>SAVE</a:t>
          </a:r>
          <a:endParaRPr lang="en-IN" sz="1000">
            <a:latin typeface="Algerian" panose="04020705040A02060702" pitchFamily="82" charset="0"/>
          </a:endParaRPr>
        </a:p>
      </xdr:txBody>
    </xdr:sp>
    <xdr:clientData/>
  </xdr:twoCellAnchor>
  <xdr:twoCellAnchor>
    <xdr:from>
      <xdr:col>8</xdr:col>
      <xdr:colOff>49995</xdr:colOff>
      <xdr:row>6</xdr:row>
      <xdr:rowOff>28962</xdr:rowOff>
    </xdr:from>
    <xdr:to>
      <xdr:col>9</xdr:col>
      <xdr:colOff>17585</xdr:colOff>
      <xdr:row>7</xdr:row>
      <xdr:rowOff>187570</xdr:rowOff>
    </xdr:to>
    <xdr:sp macro="[0]!Sheet13.CLEARLCL" textlink="">
      <xdr:nvSpPr>
        <xdr:cNvPr id="4" name="Rectangle: Rounded Corners 3" descr="CLEAR">
          <a:extLst>
            <a:ext uri="{FF2B5EF4-FFF2-40B4-BE49-F238E27FC236}">
              <a16:creationId xmlns:a16="http://schemas.microsoft.com/office/drawing/2014/main" id="{3FFDAF6A-050D-41F4-B403-66019FD618E2}"/>
            </a:ext>
          </a:extLst>
        </xdr:cNvPr>
        <xdr:cNvSpPr/>
      </xdr:nvSpPr>
      <xdr:spPr>
        <a:xfrm>
          <a:off x="7288995" y="1224716"/>
          <a:ext cx="753036" cy="3579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0" cap="none" spc="0">
              <a:ln>
                <a:noFill/>
              </a:ln>
              <a:solidFill>
                <a:schemeClr val="bg1"/>
              </a:solidFill>
              <a:effectLst/>
              <a:latin typeface="Algerian" panose="04020705040A02060702" pitchFamily="82" charset="0"/>
            </a:rPr>
            <a:t>Clear</a:t>
          </a:r>
        </a:p>
      </xdr:txBody>
    </xdr:sp>
    <xdr:clientData/>
  </xdr:twoCellAnchor>
  <xdr:twoCellAnchor editAs="oneCell">
    <xdr:from>
      <xdr:col>2</xdr:col>
      <xdr:colOff>342237</xdr:colOff>
      <xdr:row>0</xdr:row>
      <xdr:rowOff>69574</xdr:rowOff>
    </xdr:from>
    <xdr:to>
      <xdr:col>3</xdr:col>
      <xdr:colOff>567027</xdr:colOff>
      <xdr:row>3</xdr:row>
      <xdr:rowOff>46714</xdr:rowOff>
    </xdr:to>
    <xdr:pic>
      <xdr:nvPicPr>
        <xdr:cNvPr id="5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BF454F57-D040-4291-863D-257B967A8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6689" y="69574"/>
          <a:ext cx="1151614" cy="5734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40620</xdr:colOff>
      <xdr:row>4</xdr:row>
      <xdr:rowOff>140827</xdr:rowOff>
    </xdr:from>
    <xdr:to>
      <xdr:col>3</xdr:col>
      <xdr:colOff>592016</xdr:colOff>
      <xdr:row>6</xdr:row>
      <xdr:rowOff>29309</xdr:rowOff>
    </xdr:to>
    <xdr:sp macro="[0]!REQUEST.RATES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AC0AF0-0DA0-4229-90C8-5D95DE6C10DC}"/>
            </a:ext>
          </a:extLst>
        </xdr:cNvPr>
        <xdr:cNvSpPr/>
      </xdr:nvSpPr>
      <xdr:spPr>
        <a:xfrm>
          <a:off x="5644251" y="896965"/>
          <a:ext cx="551396" cy="25189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Email</a:t>
          </a:r>
        </a:p>
      </xdr:txBody>
    </xdr:sp>
    <xdr:clientData/>
  </xdr:twoCellAnchor>
  <xdr:twoCellAnchor>
    <xdr:from>
      <xdr:col>3</xdr:col>
      <xdr:colOff>40620</xdr:colOff>
      <xdr:row>4</xdr:row>
      <xdr:rowOff>140827</xdr:rowOff>
    </xdr:from>
    <xdr:to>
      <xdr:col>3</xdr:col>
      <xdr:colOff>592016</xdr:colOff>
      <xdr:row>6</xdr:row>
      <xdr:rowOff>29309</xdr:rowOff>
    </xdr:to>
    <xdr:sp macro="[0]!REQUEST.RATESEMAIL_Optimize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6306CCA-1D78-41B3-8A34-40D69635D3A0}"/>
            </a:ext>
          </a:extLst>
        </xdr:cNvPr>
        <xdr:cNvSpPr/>
      </xdr:nvSpPr>
      <xdr:spPr>
        <a:xfrm>
          <a:off x="5648940" y="895207"/>
          <a:ext cx="551396" cy="26186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Email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2</xdr:row>
          <xdr:rowOff>167640</xdr:rowOff>
        </xdr:from>
        <xdr:to>
          <xdr:col>3</xdr:col>
          <xdr:colOff>533400</xdr:colOff>
          <xdr:row>4</xdr:row>
          <xdr:rowOff>15240</xdr:rowOff>
        </xdr:to>
        <xdr:sp macro="" textlink="">
          <xdr:nvSpPr>
            <xdr:cNvPr id="12294" name="Option 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202010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</xdr:row>
          <xdr:rowOff>83820</xdr:rowOff>
        </xdr:from>
        <xdr:to>
          <xdr:col>3</xdr:col>
          <xdr:colOff>548640</xdr:colOff>
          <xdr:row>2</xdr:row>
          <xdr:rowOff>99060</xdr:rowOff>
        </xdr:to>
        <xdr:sp macro="" textlink="">
          <xdr:nvSpPr>
            <xdr:cNvPr id="12295" name="Option 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C0C0C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`SEA 3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88871</xdr:rowOff>
    </xdr:from>
    <xdr:to>
      <xdr:col>0</xdr:col>
      <xdr:colOff>0</xdr:colOff>
      <xdr:row>4</xdr:row>
      <xdr:rowOff>162710</xdr:rowOff>
    </xdr:to>
    <xdr:pic>
      <xdr:nvPicPr>
        <xdr:cNvPr id="2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AE6120A4-7318-44FF-AA46-04B66C093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5774" y="88871"/>
          <a:ext cx="0" cy="5427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88871</xdr:rowOff>
    </xdr:from>
    <xdr:to>
      <xdr:col>0</xdr:col>
      <xdr:colOff>0</xdr:colOff>
      <xdr:row>4</xdr:row>
      <xdr:rowOff>162710</xdr:rowOff>
    </xdr:to>
    <xdr:pic>
      <xdr:nvPicPr>
        <xdr:cNvPr id="4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3D2896FD-7EFC-4D01-9DF0-CB0414290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5774" y="88871"/>
          <a:ext cx="0" cy="5427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88871</xdr:rowOff>
    </xdr:from>
    <xdr:to>
      <xdr:col>0</xdr:col>
      <xdr:colOff>0</xdr:colOff>
      <xdr:row>4</xdr:row>
      <xdr:rowOff>162710</xdr:rowOff>
    </xdr:to>
    <xdr:pic>
      <xdr:nvPicPr>
        <xdr:cNvPr id="5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E04C9D62-6BA2-4778-92FB-B0F7A33F5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5774" y="88871"/>
          <a:ext cx="0" cy="5427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88871</xdr:rowOff>
    </xdr:from>
    <xdr:to>
      <xdr:col>0</xdr:col>
      <xdr:colOff>0</xdr:colOff>
      <xdr:row>4</xdr:row>
      <xdr:rowOff>162710</xdr:rowOff>
    </xdr:to>
    <xdr:pic>
      <xdr:nvPicPr>
        <xdr:cNvPr id="6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8B2A6441-9854-49CB-B126-5D57C1F6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5774" y="88871"/>
          <a:ext cx="0" cy="542757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2</xdr:row>
      <xdr:rowOff>88871</xdr:rowOff>
    </xdr:from>
    <xdr:ext cx="0" cy="550708"/>
    <xdr:pic>
      <xdr:nvPicPr>
        <xdr:cNvPr id="26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D4C0A51F-54D4-41A8-81C9-7FACE3C3A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557" y="88871"/>
          <a:ext cx="0" cy="550708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</xdr:row>
      <xdr:rowOff>88871</xdr:rowOff>
    </xdr:from>
    <xdr:ext cx="0" cy="550708"/>
    <xdr:pic>
      <xdr:nvPicPr>
        <xdr:cNvPr id="28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87FAFED7-17C6-4084-B6DB-C679125C5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557" y="88871"/>
          <a:ext cx="0" cy="550708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</xdr:row>
      <xdr:rowOff>88871</xdr:rowOff>
    </xdr:from>
    <xdr:ext cx="0" cy="550708"/>
    <xdr:pic>
      <xdr:nvPicPr>
        <xdr:cNvPr id="29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2B3F52A0-F30C-4580-B43B-60C4C8ABB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557" y="88871"/>
          <a:ext cx="0" cy="550708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</xdr:row>
      <xdr:rowOff>88871</xdr:rowOff>
    </xdr:from>
    <xdr:ext cx="0" cy="550708"/>
    <xdr:pic>
      <xdr:nvPicPr>
        <xdr:cNvPr id="30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7E228933-F7B0-4650-AECC-FC6582AAE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557" y="88871"/>
          <a:ext cx="0" cy="550708"/>
        </a:xfrm>
        <a:prstGeom prst="rect">
          <a:avLst/>
        </a:prstGeom>
      </xdr:spPr>
    </xdr:pic>
    <xdr:clientData/>
  </xdr:oneCellAnchor>
  <xdr:oneCellAnchor>
    <xdr:from>
      <xdr:col>9</xdr:col>
      <xdr:colOff>117374</xdr:colOff>
      <xdr:row>55</xdr:row>
      <xdr:rowOff>88871</xdr:rowOff>
    </xdr:from>
    <xdr:ext cx="0" cy="549742"/>
    <xdr:pic>
      <xdr:nvPicPr>
        <xdr:cNvPr id="41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2D4D2E17-BE86-46BF-B6C2-151EC0FAA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398" y="88871"/>
          <a:ext cx="0" cy="549742"/>
        </a:xfrm>
        <a:prstGeom prst="rect">
          <a:avLst/>
        </a:prstGeom>
      </xdr:spPr>
    </xdr:pic>
    <xdr:clientData/>
  </xdr:oneCellAnchor>
  <xdr:oneCellAnchor>
    <xdr:from>
      <xdr:col>9</xdr:col>
      <xdr:colOff>117374</xdr:colOff>
      <xdr:row>55</xdr:row>
      <xdr:rowOff>88871</xdr:rowOff>
    </xdr:from>
    <xdr:ext cx="0" cy="549742"/>
    <xdr:pic>
      <xdr:nvPicPr>
        <xdr:cNvPr id="42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51C38DFE-F8B5-4FE2-900B-98EFE4702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398" y="88871"/>
          <a:ext cx="0" cy="549742"/>
        </a:xfrm>
        <a:prstGeom prst="rect">
          <a:avLst/>
        </a:prstGeom>
      </xdr:spPr>
    </xdr:pic>
    <xdr:clientData/>
  </xdr:oneCellAnchor>
  <xdr:oneCellAnchor>
    <xdr:from>
      <xdr:col>9</xdr:col>
      <xdr:colOff>117374</xdr:colOff>
      <xdr:row>55</xdr:row>
      <xdr:rowOff>88871</xdr:rowOff>
    </xdr:from>
    <xdr:ext cx="0" cy="549742"/>
    <xdr:pic>
      <xdr:nvPicPr>
        <xdr:cNvPr id="43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DE80B69C-C4A8-486B-8B15-EFA5A55BD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398" y="88871"/>
          <a:ext cx="0" cy="549742"/>
        </a:xfrm>
        <a:prstGeom prst="rect">
          <a:avLst/>
        </a:prstGeom>
      </xdr:spPr>
    </xdr:pic>
    <xdr:clientData/>
  </xdr:oneCellAnchor>
  <xdr:oneCellAnchor>
    <xdr:from>
      <xdr:col>9</xdr:col>
      <xdr:colOff>117374</xdr:colOff>
      <xdr:row>55</xdr:row>
      <xdr:rowOff>88871</xdr:rowOff>
    </xdr:from>
    <xdr:ext cx="0" cy="549742"/>
    <xdr:pic>
      <xdr:nvPicPr>
        <xdr:cNvPr id="44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E8936161-63ED-447E-B2EF-2339A50EE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398" y="88871"/>
          <a:ext cx="0" cy="549742"/>
        </a:xfrm>
        <a:prstGeom prst="rect">
          <a:avLst/>
        </a:prstGeom>
      </xdr:spPr>
    </xdr:pic>
    <xdr:clientData/>
  </xdr:oneCellAnchor>
  <xdr:oneCellAnchor>
    <xdr:from>
      <xdr:col>9</xdr:col>
      <xdr:colOff>117374</xdr:colOff>
      <xdr:row>55</xdr:row>
      <xdr:rowOff>88871</xdr:rowOff>
    </xdr:from>
    <xdr:ext cx="0" cy="542757"/>
    <xdr:pic>
      <xdr:nvPicPr>
        <xdr:cNvPr id="45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58BABC90-05BB-4409-BFBA-3BA434C1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398" y="88871"/>
          <a:ext cx="0" cy="542757"/>
        </a:xfrm>
        <a:prstGeom prst="rect">
          <a:avLst/>
        </a:prstGeom>
      </xdr:spPr>
    </xdr:pic>
    <xdr:clientData/>
  </xdr:oneCellAnchor>
  <xdr:oneCellAnchor>
    <xdr:from>
      <xdr:col>9</xdr:col>
      <xdr:colOff>117374</xdr:colOff>
      <xdr:row>55</xdr:row>
      <xdr:rowOff>88871</xdr:rowOff>
    </xdr:from>
    <xdr:ext cx="0" cy="542757"/>
    <xdr:pic>
      <xdr:nvPicPr>
        <xdr:cNvPr id="46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D16DE36A-3BCA-4349-8D22-A87B0B1D2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398" y="88871"/>
          <a:ext cx="0" cy="542757"/>
        </a:xfrm>
        <a:prstGeom prst="rect">
          <a:avLst/>
        </a:prstGeom>
      </xdr:spPr>
    </xdr:pic>
    <xdr:clientData/>
  </xdr:oneCellAnchor>
  <xdr:oneCellAnchor>
    <xdr:from>
      <xdr:col>9</xdr:col>
      <xdr:colOff>117374</xdr:colOff>
      <xdr:row>55</xdr:row>
      <xdr:rowOff>88871</xdr:rowOff>
    </xdr:from>
    <xdr:ext cx="0" cy="542757"/>
    <xdr:pic>
      <xdr:nvPicPr>
        <xdr:cNvPr id="47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40C77190-8B58-4FAF-9869-770CFB1C5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398" y="88871"/>
          <a:ext cx="0" cy="542757"/>
        </a:xfrm>
        <a:prstGeom prst="rect">
          <a:avLst/>
        </a:prstGeom>
      </xdr:spPr>
    </xdr:pic>
    <xdr:clientData/>
  </xdr:oneCellAnchor>
  <xdr:oneCellAnchor>
    <xdr:from>
      <xdr:col>9</xdr:col>
      <xdr:colOff>117374</xdr:colOff>
      <xdr:row>55</xdr:row>
      <xdr:rowOff>88871</xdr:rowOff>
    </xdr:from>
    <xdr:ext cx="0" cy="542757"/>
    <xdr:pic>
      <xdr:nvPicPr>
        <xdr:cNvPr id="48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00C367BE-B92C-4925-9F9F-11867CA7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398" y="8887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9742"/>
    <xdr:pic>
      <xdr:nvPicPr>
        <xdr:cNvPr id="40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B4631868-44F2-4322-87E3-4180E2B69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0" y="8887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9742"/>
    <xdr:pic>
      <xdr:nvPicPr>
        <xdr:cNvPr id="50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417A1884-74CC-4EE3-A944-7D2D64CE6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0" y="8887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9742"/>
    <xdr:pic>
      <xdr:nvPicPr>
        <xdr:cNvPr id="51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BFB47DFC-9AB2-45FF-9C35-8680DDBC8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0" y="8887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9742"/>
    <xdr:pic>
      <xdr:nvPicPr>
        <xdr:cNvPr id="52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75ADC63D-28D7-493F-AF3E-99940148B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0" y="8887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2757"/>
    <xdr:pic>
      <xdr:nvPicPr>
        <xdr:cNvPr id="53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EB81595C-F3F1-46DC-B7F1-EDE050026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0" y="8887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2757"/>
    <xdr:pic>
      <xdr:nvPicPr>
        <xdr:cNvPr id="54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9341AE5B-F516-4B09-AFE1-200E6EDF4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0" y="8887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2757"/>
    <xdr:pic>
      <xdr:nvPicPr>
        <xdr:cNvPr id="55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ECFC4B6E-2C93-435A-9885-A69F43CB5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0" y="8887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2757"/>
    <xdr:pic>
      <xdr:nvPicPr>
        <xdr:cNvPr id="56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6993AA07-2772-4403-AE85-D28A841E7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480" y="8887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88871</xdr:rowOff>
    </xdr:from>
    <xdr:ext cx="0" cy="549742"/>
    <xdr:pic>
      <xdr:nvPicPr>
        <xdr:cNvPr id="16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1C312711-F885-4637-986E-11CF0B086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2954" y="1076449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88871</xdr:rowOff>
    </xdr:from>
    <xdr:ext cx="0" cy="549742"/>
    <xdr:pic>
      <xdr:nvPicPr>
        <xdr:cNvPr id="17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E6BDA025-A29C-4EA9-BD4E-0E8FCA717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2954" y="1076449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88871</xdr:rowOff>
    </xdr:from>
    <xdr:ext cx="0" cy="549742"/>
    <xdr:pic>
      <xdr:nvPicPr>
        <xdr:cNvPr id="19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B369EC5D-B80D-4C3B-A80F-63BED06D4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2954" y="1076449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88871</xdr:rowOff>
    </xdr:from>
    <xdr:ext cx="0" cy="549742"/>
    <xdr:pic>
      <xdr:nvPicPr>
        <xdr:cNvPr id="20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BD4D4A64-61E0-438D-A8FB-FAEC396E2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2954" y="1076449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88871</xdr:rowOff>
    </xdr:from>
    <xdr:ext cx="0" cy="542757"/>
    <xdr:pic>
      <xdr:nvPicPr>
        <xdr:cNvPr id="21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74F1ED0B-066A-4DD3-B4F9-9468C1BF1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2954" y="1076449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88871</xdr:rowOff>
    </xdr:from>
    <xdr:ext cx="0" cy="542757"/>
    <xdr:pic>
      <xdr:nvPicPr>
        <xdr:cNvPr id="22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B04B3679-02F4-4843-82E2-E5497CAFA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2954" y="1076449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88871</xdr:rowOff>
    </xdr:from>
    <xdr:ext cx="0" cy="542757"/>
    <xdr:pic>
      <xdr:nvPicPr>
        <xdr:cNvPr id="23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3E202089-976E-4937-833A-99B512613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2954" y="1076449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88871</xdr:rowOff>
    </xdr:from>
    <xdr:ext cx="0" cy="542757"/>
    <xdr:pic>
      <xdr:nvPicPr>
        <xdr:cNvPr id="24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A147A585-B73C-4EFA-91D8-5D3AB4C78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2954" y="1076449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55</xdr:row>
      <xdr:rowOff>49365</xdr:rowOff>
    </xdr:from>
    <xdr:ext cx="1302965" cy="770069"/>
    <xdr:pic>
      <xdr:nvPicPr>
        <xdr:cNvPr id="25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BA937E32-4330-4DA1-B151-70F995BA2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1490" y="10724985"/>
          <a:ext cx="1302965" cy="77006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9742"/>
    <xdr:pic>
      <xdr:nvPicPr>
        <xdr:cNvPr id="7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7FAFEFD3-06F6-415B-8A68-895E02B5E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5939" y="8887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9742"/>
    <xdr:pic>
      <xdr:nvPicPr>
        <xdr:cNvPr id="8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AE2135AF-A868-4875-92B3-D6D2A7E1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5939" y="8887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9742"/>
    <xdr:pic>
      <xdr:nvPicPr>
        <xdr:cNvPr id="9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A7BE2D37-EB23-4B2D-B2F1-185B6A63F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5939" y="8887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9742"/>
    <xdr:pic>
      <xdr:nvPicPr>
        <xdr:cNvPr id="10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7AC4F44D-55B3-450C-92A8-EDDE33399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5939" y="88871"/>
          <a:ext cx="0" cy="549742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2757"/>
    <xdr:pic>
      <xdr:nvPicPr>
        <xdr:cNvPr id="11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8A4C2F75-B431-432C-BFD6-C854E023C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5939" y="8887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2757"/>
    <xdr:pic>
      <xdr:nvPicPr>
        <xdr:cNvPr id="12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28FBAA63-3A98-4A05-BAD0-FB2E85672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5939" y="88871"/>
          <a:ext cx="0" cy="542757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88871</xdr:rowOff>
    </xdr:from>
    <xdr:ext cx="0" cy="542757"/>
    <xdr:pic>
      <xdr:nvPicPr>
        <xdr:cNvPr id="14" name="image1.png" descr="A logo with a ship in the middle of a circle&#10;&#10;Description automatically generated">
          <a:extLst>
            <a:ext uri="{FF2B5EF4-FFF2-40B4-BE49-F238E27FC236}">
              <a16:creationId xmlns:a16="http://schemas.microsoft.com/office/drawing/2014/main" id="{2C29B1CD-25F4-419A-884D-81F6DF8BA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5939" y="88871"/>
          <a:ext cx="0" cy="542757"/>
        </a:xfrm>
        <a:prstGeom prst="rect">
          <a:avLst/>
        </a:prstGeom>
      </xdr:spPr>
    </xdr:pic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  <v>Google logo - Wikipedia</v>
  </rv>
  <rv s="0">
    <v>1</v>
    <v>5</v>
    <v>Bing</v>
  </rv>
  <rv s="1">
    <v>-</v>
    <v>2</v>
    <v>4</v>
    <v>5</v>
  </rv>
  <rv s="2">
    <v>-</v>
    <v>2</v>
    <v>1</v>
    <v>6</v>
  </rv>
</rvData>
</file>

<file path=xl/richData/rdrichvaluestructure.xml><?xml version="1.0" encoding="utf-8"?>
<rvStructures xmlns="http://schemas.microsoft.com/office/spreadsheetml/2017/richdata" count="3">
  <s t="_localImage">
    <k n="_rvRel:LocalImageIdentifier" t="i"/>
    <k n="CalcOrigin" t="i"/>
    <k n="Text" t="s"/>
  </s>
  <s t="_error">
    <k n="argument" t="s"/>
    <k n="errorType" t="i"/>
    <k n="ptg" t="i"/>
    <k n="subType" t="i"/>
  </s>
  <s t="_error">
    <k n="argument" t="s"/>
    <k n="errorType" t="i"/>
    <k n="iftab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6232A5-FB3D-4769-A633-DD43400BB085}" name="Table1192" displayName="Table1192" ref="A2:AI418" totalsRowShown="0" headerRowDxfId="556" dataDxfId="554" headerRowBorderDxfId="555">
  <sortState xmlns:xlrd2="http://schemas.microsoft.com/office/spreadsheetml/2017/richdata2" ref="A3:AB409">
    <sortCondition ref="B409"/>
  </sortState>
  <tableColumns count="35">
    <tableColumn id="1" xr3:uid="{788D9A38-F5AA-448D-B903-4F2129C99FE3}" name="CODE" dataDxfId="553"/>
    <tableColumn id="39" xr3:uid="{3B106A81-A529-449D-B87F-EAB6C34C4FBF}" name="COUNTRY" dataDxfId="552"/>
    <tableColumn id="2" xr3:uid="{6010D6D1-09E5-47F7-8674-5BE21CA2FA1D}" name="POL" dataDxfId="551"/>
    <tableColumn id="3" xr3:uid="{C9AFB6F3-42C6-42E4-AEA5-B294F2A06DF4}" name="POD" dataDxfId="550"/>
    <tableColumn id="4" xr3:uid="{625986CB-C1A9-4BF8-A6B5-2873F5F07927}" name="CARRIER" dataDxfId="549"/>
    <tableColumn id="5" xr3:uid="{C4BB561A-3095-4E95-B6E0-E46662086738}" name="20 GP" dataDxfId="548">
      <calculatedColumnFormula>IF(M3,SUM(M3:P3,W3:X3),"-")</calculatedColumnFormula>
    </tableColumn>
    <tableColumn id="6" xr3:uid="{0470B05B-69E7-453F-95ED-264BD75F8FF2}" name="40 HC" dataDxfId="547">
      <calculatedColumnFormula>IF(R3,SUM(R3:U3,W3:X3),"-")</calculatedColumnFormula>
    </tableColumn>
    <tableColumn id="7" xr3:uid="{3ABBC8A9-3B57-4E49-B3A9-E07E05456C6E}" name="CARGO" dataDxfId="546"/>
    <tableColumn id="8" xr3:uid="{370C4D19-B187-41AD-BABD-36797D70C3EA}" name="FROM" dataDxfId="545"/>
    <tableColumn id="9" xr3:uid="{02E2A0FE-74E6-46F3-BC4C-0C4E7EE6607A}" name="VALID" dataDxfId="544"/>
    <tableColumn id="10" xr3:uid="{51AEE4D8-2153-4C00-9BA6-D18AE19B8289}" name="EXP" dataDxfId="543">
      <calculatedColumnFormula>IF(Table1192[[#This Row],[VALID]],Table1192[[#This Row],[VALID]]-TODAY(),"-")</calculatedColumnFormula>
    </tableColumn>
    <tableColumn id="11" xr3:uid="{98BD9CD0-32EC-4266-91B8-470F032AFBE8}" name=" " dataDxfId="542"/>
    <tableColumn id="12" xr3:uid="{71A3BCF7-F2C2-49C1-9E70-806068326FE6}" name="OFT" dataDxfId="541"/>
    <tableColumn id="13" xr3:uid="{45EEC377-4EC9-4262-B1EC-87B91C84A1D6}" name="OTHER" dataDxfId="540"/>
    <tableColumn id="14" xr3:uid="{74264E14-EED6-4CFE-B603-3C9B349283E5}" name="HAZ" dataDxfId="539"/>
    <tableColumn id="15" xr3:uid="{8DD42AE2-C359-4EE4-83EF-B53C2ADAA3D5}" name="OW" dataDxfId="538"/>
    <tableColumn id="18" xr3:uid="{23820B90-7C2F-4179-B089-77F8FE9BDDEE}" name="Column22" dataDxfId="537"/>
    <tableColumn id="23" xr3:uid="{5D8BBD62-D95C-4391-A7AA-08114D2C0264}" name="OFT-1" dataDxfId="536"/>
    <tableColumn id="22" xr3:uid="{41B86B72-C7B3-453A-BD3D-82C89586BE8E}" name="OTHER-1" dataDxfId="535"/>
    <tableColumn id="21" xr3:uid="{6F13944D-AC84-4E02-91B1-678C7E3678E5}" name="HAZ-1" dataDxfId="534"/>
    <tableColumn id="20" xr3:uid="{3738D5F3-37B5-4C2F-82F4-5A294FBE4B41}" name="OW-1" dataDxfId="533"/>
    <tableColumn id="26" xr3:uid="{8D127D80-AAAA-470A-A775-77BEB139666E}" name="Column222" dataDxfId="532"/>
    <tableColumn id="25" xr3:uid="{C3C3E9E5-358A-4F79-BACA-2C60170AD98D}" name="TRK" dataDxfId="531"/>
    <tableColumn id="27" xr3:uid="{292B1FBD-7411-4371-B2A5-36A85931D340}" name="DDP" dataDxfId="530"/>
    <tableColumn id="17" xr3:uid="{660530E2-4DB1-4355-BEC9-1DA1B49A1DB6}" name="MILES" dataDxfId="529"/>
    <tableColumn id="37" xr3:uid="{DFF1313F-AF98-46B1-ACC4-D0BC78BB6B0E}" name="Column224" dataDxfId="528"/>
    <tableColumn id="43" xr3:uid="{C9CB6C9E-A9DB-4EEA-96E9-18C93CB37890}" name="THC" dataDxfId="527"/>
    <tableColumn id="36" xr3:uid="{F268DA92-B81D-4771-B394-DDC1C8BCC9BD}" name="SEAL" dataDxfId="526"/>
    <tableColumn id="16" xr3:uid="{CD83CE82-2854-47A8-8F9D-09F132E2B0DC}" name="MUC" dataDxfId="525"/>
    <tableColumn id="19" xr3:uid="{9C5CBED7-FF62-496E-B3E6-AA58376B9D31}" name="DOCS" dataDxfId="524"/>
    <tableColumn id="24" xr3:uid="{6A1E7C78-6201-4A84-B873-661552DA8C8C}" name="SEA WAY " dataDxfId="523"/>
    <tableColumn id="28" xr3:uid="{796CF1F5-CD82-486A-9932-995233C2DEBC}" name="ETS" dataDxfId="522"/>
    <tableColumn id="29" xr3:uid="{E58315B3-9EE5-4507-BFB8-98DA71FDA8FE}" name="HAZ DOCS" dataDxfId="521"/>
    <tableColumn id="30" xr3:uid="{4E4FBBDA-6DBA-46B3-891B-2855240B4862}" name="AMS" dataDxfId="520"/>
    <tableColumn id="31" xr3:uid="{DBE7C6F4-0CBA-4081-9F98-10846CB22E79}" name="THC 40 HC" dataDxfId="519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0FB604-4E9C-43BA-B918-85C5F58046AB}" name="RATESHEET7" displayName="RATESHEET7" ref="A3:O86" totalsRowShown="0" headerRowDxfId="29" dataDxfId="27" headerRowBorderDxfId="28" tableBorderDxfId="26">
  <tableColumns count="15">
    <tableColumn id="1" xr3:uid="{37C5FC7A-80FC-4901-8921-036BBA8D4F03}" name="SR. NO" dataDxfId="25"/>
    <tableColumn id="2" xr3:uid="{85B541D9-AE8F-423C-8241-D386F96AB8E4}" name="QUOTE NO." dataDxfId="24"/>
    <tableColumn id="3" xr3:uid="{3F9C90EE-1086-45A5-99A6-B95717C08FFC}" name="DATE" dataDxfId="23"/>
    <tableColumn id="4" xr3:uid="{12600EF5-5AC1-455F-8F49-7045B8D14DC4}" name="POL" dataDxfId="22"/>
    <tableColumn id="6" xr3:uid="{2FAA3D56-404A-40BE-9F1C-AD43A8B29A6B}" name="LINER" dataDxfId="21"/>
    <tableColumn id="8" xr3:uid="{A35B8BAB-2880-4326-9E1C-FC7D471EC866}" name="CARGO" dataDxfId="20"/>
    <tableColumn id="11" xr3:uid="{8EF3BA3B-E7EA-4D26-8271-9EDD3BBCC248}" name="20 GP" dataDxfId="19"/>
    <tableColumn id="5" xr3:uid="{53F0EC4F-7FF5-4F8F-8B8C-1EC3F7F667DA}" name="40 HC" dataDxfId="18"/>
    <tableColumn id="12" xr3:uid="{0D743D36-375A-4D3F-ABDD-D50003B1936B}" name="SEAL" dataDxfId="17"/>
    <tableColumn id="13" xr3:uid="{FA144DD7-BC53-4B37-9C35-F0B913C9DEFB}" name="MUC" dataDxfId="16"/>
    <tableColumn id="14" xr3:uid="{2D84CDB4-013B-4A8D-8C96-DB163DE920F2}" name="OBL" dataDxfId="15"/>
    <tableColumn id="15" xr3:uid="{EEF77ACB-6146-40CE-A53A-A599B3A29360}" name="SEA WAY" dataDxfId="14"/>
    <tableColumn id="16" xr3:uid="{F5B442DA-4E2E-4BF0-BA1A-DCA5B1DC38C0}" name="ETS" dataDxfId="13"/>
    <tableColumn id="17" xr3:uid="{605249E5-5FF2-47A2-9885-6AF200306925}" name="HAZ DOCS" dataDxfId="12"/>
    <tableColumn id="18" xr3:uid="{9DF94789-4EFD-4BAB-AE05-53E5573EFBE4}" name="AMS / OTHER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E4342E-5FA4-4214-A14A-D1BA0B752484}" name="ROUTING" displayName="ROUTING" ref="A1:B27" totalsRowShown="0" headerRowDxfId="5" dataDxfId="3" headerRowBorderDxfId="4" tableBorderDxfId="2">
  <tableColumns count="2">
    <tableColumn id="1" xr3:uid="{744E4FF8-9996-4944-88AB-68B2BFD44380}" name="SERVICE NAME " dataDxfId="1"/>
    <tableColumn id="2" xr3:uid="{55720A8F-F158-430F-9640-9525C1A68323}" name="S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mm21.com/e-service/general/DashBoard.do" TargetMode="External"/><Relationship Id="rId18" Type="http://schemas.openxmlformats.org/officeDocument/2006/relationships/hyperlink" Target="https://docs.google.com/spreadsheets/d/1iNXXxrfgzuXKVe5I1kqmSBW4jRmAqalv/edit" TargetMode="External"/><Relationship Id="rId26" Type="http://schemas.openxmlformats.org/officeDocument/2006/relationships/hyperlink" Target="https://d.docs.live.net/DD9A256A07A9E045/SHAHID/Docs/DSR/DD9A256A07A9E045/SHAHID/Docs/BUSINESS%20OPPORTUNITY%20EMAIL.msg" TargetMode="External"/><Relationship Id="rId3" Type="http://schemas.openxmlformats.org/officeDocument/2006/relationships/hyperlink" Target="https://www.cma-cgm.com/ebusiness/pricing/instant-Quoting" TargetMode="External"/><Relationship Id="rId21" Type="http://schemas.openxmlformats.org/officeDocument/2006/relationships/hyperlink" Target="https://www.mymsc.com/myMSC/InstantQuote" TargetMode="External"/><Relationship Id="rId34" Type="http://schemas.openxmlformats.org/officeDocument/2006/relationships/hyperlink" Target="../OneDrive/SHAHID/Docs/Docs/DSR/MARKETING%20&amp;%20SALES.xlsx" TargetMode="External"/><Relationship Id="rId7" Type="http://schemas.openxmlformats.org/officeDocument/2006/relationships/hyperlink" Target="https://www.cma-cgm.com/ebusiness/schedules" TargetMode="External"/><Relationship Id="rId12" Type="http://schemas.openxmlformats.org/officeDocument/2006/relationships/hyperlink" Target="https://www.emiratesline.com/" TargetMode="External"/><Relationship Id="rId17" Type="http://schemas.openxmlformats.org/officeDocument/2006/relationships/hyperlink" Target="https://docs.google.com/spreadsheets/d/1qX-jGN6eOPeoq__7TXwNnRYeaYDsEHZG/edit" TargetMode="External"/><Relationship Id="rId25" Type="http://schemas.openxmlformats.org/officeDocument/2006/relationships/hyperlink" Target="https://www.google.com/" TargetMode="External"/><Relationship Id="rId33" Type="http://schemas.openxmlformats.org/officeDocument/2006/relationships/hyperlink" Target="https://www.flightradar24.com/19.07,72.95/11" TargetMode="External"/><Relationship Id="rId2" Type="http://schemas.openxmlformats.org/officeDocument/2006/relationships/hyperlink" Target="https://www.maersk.com/book/" TargetMode="External"/><Relationship Id="rId16" Type="http://schemas.openxmlformats.org/officeDocument/2006/relationships/hyperlink" Target="https://mail.google.com/mail/u/1/" TargetMode="External"/><Relationship Id="rId20" Type="http://schemas.openxmlformats.org/officeDocument/2006/relationships/hyperlink" Target="https://www.vesselfinder.com/" TargetMode="External"/><Relationship Id="rId29" Type="http://schemas.openxmlformats.org/officeDocument/2006/relationships/hyperlink" Target="https://www.importgenius.com/" TargetMode="External"/><Relationship Id="rId1" Type="http://schemas.openxmlformats.org/officeDocument/2006/relationships/hyperlink" Target="https://www.hapag-lloyd.com/solutions/quick-quotes/" TargetMode="External"/><Relationship Id="rId6" Type="http://schemas.openxmlformats.org/officeDocument/2006/relationships/hyperlink" Target="https://www.maersk.com/schedules/" TargetMode="External"/><Relationship Id="rId11" Type="http://schemas.openxmlformats.org/officeDocument/2006/relationships/hyperlink" Target="https://www.ekmtc.com/index.html" TargetMode="External"/><Relationship Id="rId24" Type="http://schemas.openxmlformats.org/officeDocument/2006/relationships/hyperlink" Target="http://www.bing.com/" TargetMode="External"/><Relationship Id="rId32" Type="http://schemas.openxmlformats.org/officeDocument/2006/relationships/hyperlink" Target="https://www.drayage.com/directory/city.cfm?category=rates" TargetMode="External"/><Relationship Id="rId5" Type="http://schemas.openxmlformats.org/officeDocument/2006/relationships/hyperlink" Target="https://www.hapag-lloyd.com/en/home.html" TargetMode="External"/><Relationship Id="rId15" Type="http://schemas.openxmlformats.org/officeDocument/2006/relationships/hyperlink" Target="https://www.google.com/maps/@40.5013714,-96.2897641,4.56z?entry=ttu" TargetMode="External"/><Relationship Id="rId23" Type="http://schemas.openxmlformats.org/officeDocument/2006/relationships/hyperlink" Target="https://booking.shipmnts.com/" TargetMode="External"/><Relationship Id="rId28" Type="http://schemas.openxmlformats.org/officeDocument/2006/relationships/hyperlink" Target="https://www.importyeti.com/" TargetMode="External"/><Relationship Id="rId36" Type="http://schemas.openxmlformats.org/officeDocument/2006/relationships/printerSettings" Target="../printerSettings/printerSettings1.bin"/><Relationship Id="rId10" Type="http://schemas.openxmlformats.org/officeDocument/2006/relationships/hyperlink" Target="https://www.unifeeder.cargoes.com/tracking" TargetMode="External"/><Relationship Id="rId19" Type="http://schemas.openxmlformats.org/officeDocument/2006/relationships/hyperlink" Target="https://www.marinetraffic.com/en/ais/home/centerx:-12.0/centery:25.0/zoom:4" TargetMode="External"/><Relationship Id="rId31" Type="http://schemas.openxmlformats.org/officeDocument/2006/relationships/hyperlink" Target="https://importkey.com/" TargetMode="External"/><Relationship Id="rId4" Type="http://schemas.openxmlformats.org/officeDocument/2006/relationships/hyperlink" Target="https://ecomm.one-line.com/one-ecom/prices/one-quote" TargetMode="External"/><Relationship Id="rId9" Type="http://schemas.openxmlformats.org/officeDocument/2006/relationships/hyperlink" Target="https://www.msc.com/en/track-a-shipment" TargetMode="External"/><Relationship Id="rId14" Type="http://schemas.openxmlformats.org/officeDocument/2006/relationships/hyperlink" Target="https://www.hmm21.com/e-service/hiquote/quotationNew.do" TargetMode="External"/><Relationship Id="rId22" Type="http://schemas.openxmlformats.org/officeDocument/2006/relationships/hyperlink" Target="https://booking.shipmnts.com/" TargetMode="External"/><Relationship Id="rId27" Type="http://schemas.openxmlformats.org/officeDocument/2006/relationships/hyperlink" Target="https://niryat.gov.in/" TargetMode="External"/><Relationship Id="rId30" Type="http://schemas.openxmlformats.org/officeDocument/2006/relationships/hyperlink" Target="https://panjiva.com/search" TargetMode="External"/><Relationship Id="rId35" Type="http://schemas.openxmlformats.org/officeDocument/2006/relationships/hyperlink" Target="../OneDrive/SHAHID/Docs/Docs/DSR/DSR-MASTER.xlsm" TargetMode="External"/><Relationship Id="rId8" Type="http://schemas.openxmlformats.org/officeDocument/2006/relationships/hyperlink" Target="https://ecomm.one-line.com/one-ecom/schedule/point-to-point-schedul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ops@gatewayexim.com;cs@gatewayexim.com;rajan@gatewayexim.com;dharmesh@gatewayexim.com" TargetMode="External"/><Relationship Id="rId2" Type="http://schemas.openxmlformats.org/officeDocument/2006/relationships/hyperlink" Target="mailto:cs@gatewayexim.com;rajan@gatewayexim.com;" TargetMode="External"/><Relationship Id="rId1" Type="http://schemas.openxmlformats.org/officeDocument/2006/relationships/hyperlink" Target="mailto:ops@gatewayexim.com;rajan@gatewayexim.com;docs1@gatewayexim.com" TargetMode="External"/><Relationship Id="rId4" Type="http://schemas.openxmlformats.org/officeDocument/2006/relationships/hyperlink" Target="mailto:docs1@gatewayexim.com;rajan@gatewayexim.com;dharmesh@gatewayexim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1.pilship.com/" TargetMode="External"/><Relationship Id="rId7" Type="http://schemas.openxmlformats.org/officeDocument/2006/relationships/table" Target="../tables/table3.xml"/><Relationship Id="rId2" Type="http://schemas.openxmlformats.org/officeDocument/2006/relationships/hyperlink" Target="https://www1.pilship.com/" TargetMode="External"/><Relationship Id="rId1" Type="http://schemas.openxmlformats.org/officeDocument/2006/relationships/hyperlink" Target="mailto:hiteshkumarpatel.k@inbrc.pilship.com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://www.msc.com/" TargetMode="External"/><Relationship Id="rId4" Type="http://schemas.openxmlformats.org/officeDocument/2006/relationships/hyperlink" Target="mailto:santosh.mishra@inmum.pilshi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  <pageSetUpPr autoPageBreaks="0"/>
  </sheetPr>
  <dimension ref="A1:N17"/>
  <sheetViews>
    <sheetView showGridLines="0" zoomScale="190" zoomScaleNormal="190" workbookViewId="0">
      <pane xSplit="13" ySplit="13" topLeftCell="O16" activePane="bottomRight" state="frozen"/>
      <selection pane="topRight" activeCell="N1" sqref="N1"/>
      <selection pane="bottomLeft" activeCell="A14" sqref="A14"/>
      <selection pane="bottomRight" activeCell="M4" sqref="M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" defaultRowHeight="10.8" x14ac:dyDescent="0.25"/>
  <cols>
    <col min="1" max="1" width="1.6640625" style="4" customWidth="1"/>
    <col min="2" max="2" width="9.44140625" style="4" customWidth="1"/>
    <col min="3" max="3" width="1.6640625" style="4" customWidth="1"/>
    <col min="4" max="5" width="10.33203125" style="86" customWidth="1"/>
    <col min="6" max="6" width="1.6640625" style="4" customWidth="1"/>
    <col min="7" max="7" width="11.88671875" style="4" customWidth="1"/>
    <col min="8" max="8" width="1.6640625" style="4" customWidth="1"/>
    <col min="9" max="9" width="14.6640625" style="4" customWidth="1"/>
    <col min="10" max="10" width="1.6640625" style="4" customWidth="1"/>
    <col min="11" max="11" width="14.88671875" style="4" customWidth="1"/>
    <col min="12" max="12" width="1.6640625" style="4" customWidth="1"/>
    <col min="13" max="13" width="13.33203125" style="4" customWidth="1"/>
    <col min="14" max="16384" width="9" style="4"/>
  </cols>
  <sheetData>
    <row r="1" spans="1:14" ht="12.6" thickBot="1" x14ac:dyDescent="0.3">
      <c r="A1" s="1"/>
      <c r="B1" s="654" t="s">
        <v>0</v>
      </c>
      <c r="C1" s="654"/>
      <c r="D1" s="842" t="s">
        <v>1</v>
      </c>
      <c r="E1" s="842"/>
      <c r="F1" s="654"/>
      <c r="G1" s="654" t="s">
        <v>2</v>
      </c>
      <c r="H1" s="72"/>
      <c r="I1" s="70"/>
      <c r="J1" s="70"/>
      <c r="K1" s="70"/>
      <c r="L1" s="70"/>
      <c r="M1" s="70"/>
      <c r="N1" s="2"/>
    </row>
    <row r="2" spans="1:14" ht="13.2" thickTop="1" thickBot="1" x14ac:dyDescent="0.3">
      <c r="A2" s="1"/>
      <c r="B2" s="73" t="s">
        <v>3</v>
      </c>
      <c r="C2" s="654"/>
      <c r="D2" s="73" t="s">
        <v>3</v>
      </c>
      <c r="E2" s="74" t="s">
        <v>4</v>
      </c>
      <c r="F2" s="654"/>
      <c r="G2" s="74" t="s">
        <v>5</v>
      </c>
      <c r="H2" s="72"/>
      <c r="I2" s="69" t="s">
        <v>6</v>
      </c>
      <c r="J2" s="75"/>
      <c r="K2" s="76" t="s">
        <v>7</v>
      </c>
      <c r="L2" s="70"/>
      <c r="M2" s="80" t="s">
        <v>8</v>
      </c>
      <c r="N2" s="2"/>
    </row>
    <row r="3" spans="1:14" ht="13.2" thickTop="1" thickBot="1" x14ac:dyDescent="0.3">
      <c r="A3" s="1"/>
      <c r="B3" s="69" t="s">
        <v>9</v>
      </c>
      <c r="C3" s="654"/>
      <c r="D3" s="69" t="s">
        <v>9</v>
      </c>
      <c r="E3" s="77" t="s">
        <v>10</v>
      </c>
      <c r="F3" s="654"/>
      <c r="G3" s="74" t="s">
        <v>11</v>
      </c>
      <c r="H3" s="78"/>
      <c r="I3" s="70"/>
      <c r="J3" s="75"/>
      <c r="K3" s="69" t="s">
        <v>12</v>
      </c>
      <c r="L3" s="70"/>
      <c r="M3" s="70"/>
      <c r="N3" s="2"/>
    </row>
    <row r="4" spans="1:14" ht="13.2" thickTop="1" thickBot="1" x14ac:dyDescent="0.3">
      <c r="A4" s="1"/>
      <c r="B4" s="79" t="s">
        <v>13</v>
      </c>
      <c r="C4" s="654"/>
      <c r="D4" s="79" t="s">
        <v>13</v>
      </c>
      <c r="E4" s="80" t="s">
        <v>14</v>
      </c>
      <c r="F4" s="654"/>
      <c r="G4" s="75"/>
      <c r="H4" s="72"/>
      <c r="I4" s="71" t="s">
        <v>15</v>
      </c>
      <c r="J4" s="75"/>
      <c r="K4" s="76" t="s">
        <v>16</v>
      </c>
      <c r="L4" s="758"/>
      <c r="M4" s="759" t="s">
        <v>17</v>
      </c>
      <c r="N4" s="2"/>
    </row>
    <row r="5" spans="1:14" ht="13.2" thickTop="1" thickBot="1" x14ac:dyDescent="0.3">
      <c r="A5" s="5"/>
      <c r="B5" s="81" t="s">
        <v>18</v>
      </c>
      <c r="C5" s="654"/>
      <c r="D5" s="81" t="s">
        <v>18</v>
      </c>
      <c r="E5" s="69" t="s">
        <v>19</v>
      </c>
      <c r="F5" s="654"/>
      <c r="G5" s="76" t="s">
        <v>20</v>
      </c>
      <c r="H5" s="72"/>
      <c r="I5" s="71" t="s">
        <v>21</v>
      </c>
      <c r="J5" s="75"/>
      <c r="K5" s="69" t="s">
        <v>22</v>
      </c>
      <c r="L5" s="758"/>
      <c r="M5" s="759" t="s">
        <v>23</v>
      </c>
      <c r="N5" s="2"/>
    </row>
    <row r="6" spans="1:14" ht="13.2" thickTop="1" thickBot="1" x14ac:dyDescent="0.3">
      <c r="A6" s="6"/>
      <c r="B6" s="69" t="s">
        <v>19</v>
      </c>
      <c r="C6" s="654"/>
      <c r="D6" s="76" t="s">
        <v>24</v>
      </c>
      <c r="E6" s="654"/>
      <c r="F6" s="654"/>
      <c r="G6" s="82" t="s">
        <v>25</v>
      </c>
      <c r="H6" s="72"/>
      <c r="I6" s="71" t="s">
        <v>26</v>
      </c>
      <c r="J6" s="75"/>
      <c r="K6" s="76" t="s">
        <v>27</v>
      </c>
      <c r="L6" s="70"/>
      <c r="M6" s="70"/>
      <c r="N6" s="2"/>
    </row>
    <row r="7" spans="1:14" ht="13.2" thickTop="1" thickBot="1" x14ac:dyDescent="0.3">
      <c r="A7" s="6"/>
      <c r="B7" s="83" t="s">
        <v>4</v>
      </c>
      <c r="C7" s="654"/>
      <c r="D7" s="654"/>
      <c r="E7" s="654"/>
      <c r="F7" s="654"/>
      <c r="G7" s="70"/>
      <c r="H7" s="72"/>
      <c r="I7" s="71" t="s">
        <v>28</v>
      </c>
      <c r="J7" s="75"/>
      <c r="K7" s="69" t="s">
        <v>29</v>
      </c>
      <c r="L7" s="70"/>
      <c r="M7" s="70"/>
      <c r="N7" s="2"/>
    </row>
    <row r="8" spans="1:14" ht="13.2" thickTop="1" thickBot="1" x14ac:dyDescent="0.3">
      <c r="A8" s="6"/>
      <c r="B8" s="72"/>
      <c r="C8" s="72"/>
      <c r="D8" s="843" t="s">
        <v>30</v>
      </c>
      <c r="E8" s="844"/>
      <c r="F8" s="72"/>
      <c r="G8" s="84"/>
      <c r="H8" s="72"/>
      <c r="I8" s="71" t="s">
        <v>31</v>
      </c>
      <c r="J8" s="75"/>
      <c r="K8" s="76" t="s">
        <v>32</v>
      </c>
      <c r="L8" s="70"/>
      <c r="M8" s="70"/>
      <c r="N8" s="2"/>
    </row>
    <row r="9" spans="1:14" ht="13.2" thickTop="1" thickBot="1" x14ac:dyDescent="0.3">
      <c r="A9" s="7"/>
      <c r="B9" s="72"/>
      <c r="C9" s="72"/>
      <c r="D9" s="845" t="s">
        <v>33</v>
      </c>
      <c r="E9" s="846"/>
      <c r="F9" s="72"/>
      <c r="G9" s="84" t="e" vm="1">
        <v>#VALUE!</v>
      </c>
      <c r="H9" s="72"/>
      <c r="I9" s="71" t="s">
        <v>34</v>
      </c>
      <c r="J9" s="75"/>
      <c r="K9" s="69" t="s">
        <v>35</v>
      </c>
      <c r="L9" s="70"/>
      <c r="M9" s="70"/>
      <c r="N9" s="2"/>
    </row>
    <row r="10" spans="1:14" ht="13.2" thickTop="1" thickBot="1" x14ac:dyDescent="0.3">
      <c r="A10" s="7"/>
      <c r="B10" s="70"/>
      <c r="C10" s="72"/>
      <c r="D10" s="843" t="s">
        <v>36</v>
      </c>
      <c r="E10" s="844"/>
      <c r="F10" s="72"/>
      <c r="G10" s="84" t="e" vm="2">
        <v>#VALUE!</v>
      </c>
      <c r="H10" s="72"/>
      <c r="I10" s="72"/>
      <c r="J10" s="70"/>
      <c r="K10" s="70"/>
      <c r="L10" s="70"/>
      <c r="N10" s="3"/>
    </row>
    <row r="11" spans="1:14" ht="13.2" thickTop="1" thickBot="1" x14ac:dyDescent="0.3">
      <c r="A11" s="5"/>
      <c r="B11" s="72"/>
      <c r="C11" s="72"/>
      <c r="D11" s="75"/>
      <c r="E11" s="75"/>
      <c r="F11" s="72"/>
      <c r="G11" s="84"/>
      <c r="H11" s="72"/>
      <c r="I11" s="93" t="s">
        <v>37</v>
      </c>
      <c r="J11" s="70"/>
      <c r="K11" s="70"/>
      <c r="L11" s="70"/>
      <c r="N11" s="3"/>
    </row>
    <row r="12" spans="1:14" ht="12.6" thickTop="1" x14ac:dyDescent="0.25">
      <c r="A12" s="5"/>
      <c r="C12" s="1"/>
      <c r="D12" s="85"/>
      <c r="E12" s="85"/>
      <c r="F12" s="1"/>
      <c r="G12" s="1"/>
      <c r="H12" s="1"/>
      <c r="I12" s="70"/>
      <c r="N12" s="3"/>
    </row>
    <row r="13" spans="1:14" x14ac:dyDescent="0.25">
      <c r="A13" s="5"/>
      <c r="B13" s="1"/>
      <c r="E13" s="85"/>
      <c r="F13" s="1"/>
      <c r="H13" s="1"/>
      <c r="J13" s="68"/>
      <c r="K13" s="68"/>
      <c r="L13" s="68"/>
      <c r="M13" s="68"/>
    </row>
    <row r="14" spans="1:14" ht="14.4" x14ac:dyDescent="0.3">
      <c r="H14" s="1"/>
      <c r="J14"/>
      <c r="K14"/>
      <c r="L14" s="8"/>
      <c r="M14" s="8"/>
    </row>
    <row r="15" spans="1:14" x14ac:dyDescent="0.25">
      <c r="H15" s="1"/>
    </row>
    <row r="17" spans="2:2" x14ac:dyDescent="0.25">
      <c r="B17" s="1"/>
    </row>
  </sheetData>
  <mergeCells count="4">
    <mergeCell ref="D1:E1"/>
    <mergeCell ref="D8:E8"/>
    <mergeCell ref="D9:E9"/>
    <mergeCell ref="D10:E10"/>
  </mergeCells>
  <hyperlinks>
    <hyperlink ref="B2" r:id="rId1" location="/" xr:uid="{B88618ED-A53E-45BA-825E-6EDA1FF14A36}"/>
    <hyperlink ref="B4" r:id="rId2" xr:uid="{E7BB678F-932E-41C8-9058-D41DF684B4A7}"/>
    <hyperlink ref="B3" r:id="rId3" xr:uid="{4F5DA165-3D9E-4720-A82A-7406FAAA5108}"/>
    <hyperlink ref="B5" r:id="rId4" xr:uid="{B4D1AF8E-FD79-43D1-85C1-4C529D7E1789}"/>
    <hyperlink ref="D2" r:id="rId5" xr:uid="{13938DEF-2F3D-49F9-A701-3E1A5C111A38}"/>
    <hyperlink ref="D4" r:id="rId6" xr:uid="{281F881C-3A8A-4FA0-9C0E-D9A8ABDDC421}"/>
    <hyperlink ref="D3" r:id="rId7" xr:uid="{84CE8FCD-1D0E-4A65-9566-FAC5C3881A2F}"/>
    <hyperlink ref="D5" r:id="rId8" xr:uid="{D41AE9CD-A771-4C15-8882-5BB59A16936F}"/>
    <hyperlink ref="E2" r:id="rId9" xr:uid="{55049588-EE63-46C4-9A01-1D15B03AC4F0}"/>
    <hyperlink ref="E3" r:id="rId10" xr:uid="{C4C84B48-8539-46B9-9B94-1D4CF6A81E48}"/>
    <hyperlink ref="E4" r:id="rId11" location="/main" xr:uid="{BEB45B53-9E3F-4D40-A475-6392EDA33EC1}"/>
    <hyperlink ref="D6" r:id="rId12" xr:uid="{C7C6C4C5-B3FD-4AB2-AD5F-8AB6FBCFAFC9}"/>
    <hyperlink ref="E5" r:id="rId13" xr:uid="{FF16A8AD-16F0-479E-A8D1-3D28B3E8B3B3}"/>
    <hyperlink ref="B6" r:id="rId14" xr:uid="{D407214D-8AEF-4297-856C-1D71A9ABC1EC}"/>
    <hyperlink ref="G6" r:id="rId15" xr:uid="{78F5024F-9210-4E70-BD4C-951F0771B52D}"/>
    <hyperlink ref="G5" r:id="rId16" location="inbox" xr:uid="{730631E8-17A7-45F5-9E8C-A37842BF8753}"/>
    <hyperlink ref="G3" r:id="rId17" location="gid=1908521578" xr:uid="{C186501D-A8D1-4A4A-9236-263FF81ED0DC}"/>
    <hyperlink ref="G2" r:id="rId18" location="gid=2111567119" xr:uid="{A4CC1F30-3744-4DD6-B3DB-2D4994FFC673}"/>
    <hyperlink ref="D8" r:id="rId19" xr:uid="{B870DA42-20EF-42ED-87C6-C45EBCFA9C06}"/>
    <hyperlink ref="D9" r:id="rId20" xr:uid="{4324B07D-B234-4CA3-8777-E557ECC6D244}"/>
    <hyperlink ref="B7" r:id="rId21" xr:uid="{1EFF919F-D85B-4A79-82DB-14B445AEBCF9}"/>
    <hyperlink ref="D10" r:id="rId22" xr:uid="{806035E5-BD60-4740-97EA-2B494C624403}"/>
    <hyperlink ref="D10:E10" r:id="rId23" display="SHIPMNTS SOFTWARE" xr:uid="{2C7DC624-B2CC-44E6-9725-61AC7582B6BC}"/>
    <hyperlink ref="G10" r:id="rId24" display="Bing" xr:uid="{4CEF938C-A0CC-4F83-9B84-24A77548309C}"/>
    <hyperlink ref="G9" r:id="rId25" display="Google" xr:uid="{3E18DF15-8C69-4FF2-BA24-215EAAD66447}"/>
    <hyperlink ref="M2" location="INDEX!A1" display="INDEX" xr:uid="{719D3579-41F3-47F5-93C4-F2FCB12F1B9C}"/>
    <hyperlink ref="I2" r:id="rId26" xr:uid="{FAA57320-3E27-49A6-9BC8-66872AE2845F}"/>
    <hyperlink ref="I4" r:id="rId27" location="?start_date=202304&amp;end_date=202401&amp;sort_table=export_achieved-sort-desc" xr:uid="{88055337-FBD6-4F5A-9798-9ABFD63852C4}"/>
    <hyperlink ref="I5" r:id="rId28" xr:uid="{C495FF05-12C5-4050-BAC7-A859949DE353}"/>
    <hyperlink ref="I6" r:id="rId29" xr:uid="{EEF0DFA0-9586-401F-AB61-B3C06CA13A76}"/>
    <hyperlink ref="I7" r:id="rId30" xr:uid="{512FDC25-8907-4529-A99A-B4EC3F670371}"/>
    <hyperlink ref="I8" r:id="rId31" xr:uid="{2AB6A4AD-4439-4764-AE52-2520FCDF3E84}"/>
    <hyperlink ref="I9" r:id="rId32" xr:uid="{CF5CC1D2-973A-4FE2-9F1C-EED3157B401F}"/>
    <hyperlink ref="I11" r:id="rId33" xr:uid="{AFCDA69D-6728-4A7E-9A57-324AC77306E9}"/>
    <hyperlink ref="K2" location="REQUEST!A1" display="QUOTE REQUEST" xr:uid="{9D6E5A27-7DDF-4FDD-84A9-8308E369DAA6}"/>
    <hyperlink ref="K9" location="MARKETING!A1" display="MARKETING" xr:uid="{B394E72C-7A18-4BAB-967A-FC672302A573}"/>
    <hyperlink ref="K3" location="SEA!A1" display="SEA" xr:uid="{58B0BA75-FBD3-411E-8FDB-BA3B967CF9D0}"/>
    <hyperlink ref="K4" location="AIR!A1" display="AIR" xr:uid="{46083905-8226-440B-B1F0-590268C2209B}"/>
    <hyperlink ref="K6" location="'CONFIRM'!A1" display="CONFIRM " xr:uid="{5AC87DC8-8989-447D-9DEE-967191A28452}"/>
    <hyperlink ref="K7" location="'Master List'!A1" display="MASTER LIST" xr:uid="{052D9042-376F-4CAB-B3CB-225765315AA1}"/>
    <hyperlink ref="K8" location="'To-Do List'!A1" display="TODO" xr:uid="{CEC36609-A27F-488F-A0D1-5C2EB26A7D8B}"/>
    <hyperlink ref="K5" location="LCL!A1" display="LCL" xr:uid="{8EF0B1B7-C0A9-4988-A7CF-64B1A21036E0}"/>
    <hyperlink ref="M5" r:id="rId34" xr:uid="{DEE3EBAA-EF34-4096-AFC1-0FE629C39346}"/>
    <hyperlink ref="M4" r:id="rId35" xr:uid="{DC6A1A03-DC07-410F-88F1-1431B71C0B31}"/>
  </hyperlinks>
  <printOptions horizontalCentered="1"/>
  <pageMargins left="0.19685039370078741" right="0.19685039370078741" top="0.19685039370078741" bottom="0.19685039370078741" header="0.31496062992125984" footer="0.31496062992125984"/>
  <pageSetup paperSize="9" orientation="portrait" r:id="rId3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4EA9F-3CA2-4C1F-8AE8-716B92547E3E}">
  <sheetPr codeName="Sheet11">
    <tabColor theme="4"/>
  </sheetPr>
  <dimension ref="A1:AG53"/>
  <sheetViews>
    <sheetView showGridLines="0" showRuler="0" showWhiteSpace="0" view="pageLayout" topLeftCell="H1" zoomScale="85" zoomScaleNormal="100" zoomScalePageLayoutView="85" workbookViewId="0">
      <selection activeCell="S12" sqref="S12"/>
    </sheetView>
  </sheetViews>
  <sheetFormatPr defaultColWidth="0" defaultRowHeight="14.4" x14ac:dyDescent="0.3"/>
  <cols>
    <col min="1" max="1" width="9" style="147" customWidth="1"/>
    <col min="2" max="2" width="21.33203125" style="147" customWidth="1"/>
    <col min="3" max="3" width="10" style="147" customWidth="1"/>
    <col min="4" max="4" width="7.6640625" style="156" customWidth="1"/>
    <col min="5" max="5" width="11.5546875" style="147" customWidth="1"/>
    <col min="6" max="6" width="13.44140625" style="147" customWidth="1"/>
    <col min="7" max="7" width="22.6640625" style="147" customWidth="1"/>
    <col min="8" max="8" width="3.6640625" style="147" customWidth="1"/>
    <col min="9" max="9" width="11" style="152" customWidth="1"/>
    <col min="10" max="10" width="9.5546875" style="147" customWidth="1"/>
    <col min="11" max="13" width="10.33203125" style="147" customWidth="1"/>
    <col min="14" max="14" width="3.6640625" style="147" customWidth="1"/>
    <col min="15" max="15" width="18.6640625" style="147" customWidth="1"/>
    <col min="16" max="16" width="14.109375" style="147" customWidth="1"/>
    <col min="17" max="17" width="3.6640625" style="147" customWidth="1"/>
    <col min="18" max="18" width="6" style="147" customWidth="1"/>
    <col min="19" max="19" width="13.77734375" style="148" customWidth="1"/>
    <col min="20" max="20" width="21.33203125" style="149" customWidth="1"/>
    <col min="21" max="21" width="19" style="148" customWidth="1"/>
    <col min="22" max="22" width="24.6640625" style="149" bestFit="1" customWidth="1"/>
    <col min="23" max="33" width="8.88671875" customWidth="1"/>
    <col min="34" max="16384" width="8.88671875" hidden="1"/>
  </cols>
  <sheetData>
    <row r="1" spans="1:27" ht="15.6" thickTop="1" thickBot="1" x14ac:dyDescent="0.35">
      <c r="A1" s="159" t="s">
        <v>38</v>
      </c>
      <c r="B1" s="146"/>
      <c r="C1" s="146"/>
      <c r="D1" s="160"/>
      <c r="E1" s="157" t="s">
        <v>39</v>
      </c>
      <c r="F1" s="161"/>
      <c r="G1" s="161"/>
      <c r="H1" s="766"/>
      <c r="I1" s="681" t="str">
        <f>"AIR FREIGHT QUOTE // "&amp;UPPER(B2)&amp;" // "&amp;UPPER(G5)&amp;" TO "&amp;UPPER(G6)&amp;" // "&amp;UPPER(G8)&amp;" KGS // "&amp;UPPER(G7)</f>
        <v>AIR FREIGHT QUOTE // AQ050326-1409 // MUMBAI, IN TO ABIDJAAN // 550 KGS // NON HAZ</v>
      </c>
      <c r="J1" s="151" t="s">
        <v>8</v>
      </c>
      <c r="K1" s="163" t="s">
        <v>156</v>
      </c>
      <c r="L1" s="163" t="s">
        <v>157</v>
      </c>
      <c r="M1" s="163" t="s">
        <v>158</v>
      </c>
      <c r="N1" s="766"/>
      <c r="O1" s="319" t="s">
        <v>159</v>
      </c>
      <c r="P1" s="164"/>
      <c r="Q1" s="766"/>
      <c r="R1" s="285"/>
    </row>
    <row r="2" spans="1:27" ht="15.6" thickTop="1" thickBot="1" x14ac:dyDescent="0.35">
      <c r="B2" s="150" t="s">
        <v>1403</v>
      </c>
      <c r="D2" s="160"/>
      <c r="E2" s="157" t="s">
        <v>47</v>
      </c>
      <c r="F2" s="161"/>
      <c r="G2" s="161"/>
      <c r="H2" s="766"/>
      <c r="I2" s="165" t="s">
        <v>22</v>
      </c>
      <c r="J2" s="163" t="s">
        <v>160</v>
      </c>
      <c r="K2" s="376"/>
      <c r="L2" s="376"/>
      <c r="M2" s="376"/>
      <c r="N2" s="766"/>
      <c r="O2" s="320" t="s">
        <v>161</v>
      </c>
      <c r="P2" s="166"/>
      <c r="Q2" s="766"/>
      <c r="R2" s="286"/>
      <c r="S2" s="167" t="s">
        <v>130</v>
      </c>
      <c r="T2" s="168"/>
      <c r="U2" s="658" t="s">
        <v>162</v>
      </c>
      <c r="V2" s="169" t="s">
        <v>163</v>
      </c>
    </row>
    <row r="3" spans="1:27" ht="15.6" thickTop="1" thickBot="1" x14ac:dyDescent="0.35">
      <c r="B3" s="170"/>
      <c r="D3" s="160"/>
      <c r="E3" s="157" t="s">
        <v>50</v>
      </c>
      <c r="F3" s="171"/>
      <c r="G3" s="171"/>
      <c r="H3" s="766"/>
      <c r="I3" s="372" t="s">
        <v>12</v>
      </c>
      <c r="J3" s="766"/>
      <c r="K3" s="766"/>
      <c r="L3" s="766"/>
      <c r="M3" s="766"/>
      <c r="N3" s="766"/>
      <c r="O3" s="321" t="s">
        <v>164</v>
      </c>
      <c r="P3" s="172"/>
      <c r="Q3" s="766"/>
      <c r="R3" s="286"/>
      <c r="S3" s="174"/>
      <c r="T3" s="345" t="s">
        <v>1313</v>
      </c>
      <c r="U3" s="659" t="s">
        <v>165</v>
      </c>
      <c r="V3" s="175" t="s">
        <v>1370</v>
      </c>
    </row>
    <row r="4" spans="1:27" ht="15.6" thickTop="1" thickBot="1" x14ac:dyDescent="0.35">
      <c r="D4" s="176"/>
      <c r="H4" s="766"/>
      <c r="I4" s="766"/>
      <c r="J4" s="766"/>
      <c r="K4" s="766"/>
      <c r="L4" s="766"/>
      <c r="M4" s="766"/>
      <c r="N4" s="766"/>
      <c r="O4" s="322" t="s">
        <v>166</v>
      </c>
      <c r="P4" s="177">
        <f>SUM(P2+P3)*P1</f>
        <v>0</v>
      </c>
      <c r="Q4" s="766"/>
      <c r="R4" s="286"/>
      <c r="S4" s="178" t="s">
        <v>167</v>
      </c>
      <c r="T4" s="179" t="s">
        <v>16</v>
      </c>
      <c r="U4" s="658" t="s">
        <v>168</v>
      </c>
      <c r="V4" s="169" t="s">
        <v>44</v>
      </c>
    </row>
    <row r="5" spans="1:27" ht="15.6" thickTop="1" thickBot="1" x14ac:dyDescent="0.35">
      <c r="A5" s="167" t="s">
        <v>130</v>
      </c>
      <c r="B5" s="180"/>
      <c r="C5" s="851"/>
      <c r="D5" s="852"/>
      <c r="E5" s="858" t="s">
        <v>131</v>
      </c>
      <c r="F5" s="859"/>
      <c r="G5" s="106" t="s">
        <v>163</v>
      </c>
      <c r="H5" s="766"/>
      <c r="I5" s="766"/>
      <c r="J5" s="766"/>
      <c r="K5" s="766"/>
      <c r="L5" s="766"/>
      <c r="M5" s="766"/>
      <c r="N5" s="766"/>
      <c r="O5" s="766"/>
      <c r="P5" s="766"/>
      <c r="Q5" s="766"/>
      <c r="R5" s="286"/>
      <c r="S5" s="181" t="s">
        <v>169</v>
      </c>
      <c r="T5" s="182" t="s">
        <v>70</v>
      </c>
      <c r="U5" s="661" t="s">
        <v>170</v>
      </c>
      <c r="V5" s="183">
        <v>1</v>
      </c>
    </row>
    <row r="6" spans="1:27" ht="15" thickBot="1" x14ac:dyDescent="0.35">
      <c r="A6" s="174"/>
      <c r="B6" s="660" t="s">
        <v>1401</v>
      </c>
      <c r="C6" s="863"/>
      <c r="D6" s="864"/>
      <c r="E6" s="860" t="s">
        <v>132</v>
      </c>
      <c r="F6" s="861"/>
      <c r="G6" s="184" t="s">
        <v>1400</v>
      </c>
      <c r="H6" s="766"/>
      <c r="I6" s="766"/>
      <c r="J6" s="766"/>
      <c r="K6" s="766"/>
      <c r="L6" s="766"/>
      <c r="M6" s="766"/>
      <c r="N6" s="766"/>
      <c r="O6" s="319" t="s">
        <v>171</v>
      </c>
      <c r="P6" s="164"/>
      <c r="Q6" s="766"/>
      <c r="R6" s="286"/>
      <c r="S6" s="187" t="s">
        <v>172</v>
      </c>
      <c r="T6" s="188" t="s">
        <v>1371</v>
      </c>
      <c r="U6" s="659" t="s">
        <v>173</v>
      </c>
      <c r="V6" s="189">
        <f ca="1">TODAY()+3</f>
        <v>46089</v>
      </c>
    </row>
    <row r="7" spans="1:27" ht="16.8" thickTop="1" thickBot="1" x14ac:dyDescent="0.35">
      <c r="A7" s="853" t="s">
        <v>133</v>
      </c>
      <c r="B7" s="854"/>
      <c r="C7" s="854" t="s">
        <v>174</v>
      </c>
      <c r="D7" s="862"/>
      <c r="E7" s="858" t="s">
        <v>66</v>
      </c>
      <c r="F7" s="859"/>
      <c r="G7" s="190" t="s">
        <v>128</v>
      </c>
      <c r="H7" s="766"/>
      <c r="I7" s="766"/>
      <c r="J7" s="766"/>
      <c r="K7" s="376" t="s">
        <v>175</v>
      </c>
      <c r="L7" s="377">
        <f>380+2.5+1+40+3.5+2</f>
        <v>429</v>
      </c>
      <c r="M7" s="766"/>
      <c r="N7" s="766"/>
      <c r="O7" s="321" t="s">
        <v>176</v>
      </c>
      <c r="P7" s="172"/>
      <c r="Q7" s="766"/>
      <c r="R7" s="286"/>
      <c r="S7" s="191"/>
      <c r="T7" s="192"/>
      <c r="U7" s="191"/>
      <c r="V7" s="192"/>
      <c r="Y7" s="774" t="s">
        <v>1312</v>
      </c>
    </row>
    <row r="8" spans="1:27" ht="15.6" thickTop="1" thickBot="1" x14ac:dyDescent="0.35">
      <c r="A8" s="847" t="s">
        <v>69</v>
      </c>
      <c r="B8" s="848"/>
      <c r="C8" s="865" t="s">
        <v>70</v>
      </c>
      <c r="D8" s="866"/>
      <c r="E8" s="867" t="s">
        <v>68</v>
      </c>
      <c r="F8" s="868"/>
      <c r="G8" s="183">
        <v>550</v>
      </c>
      <c r="H8" s="766"/>
      <c r="I8" s="766"/>
      <c r="J8" s="766"/>
      <c r="K8" s="375" t="s">
        <v>177</v>
      </c>
      <c r="L8" s="378">
        <v>40</v>
      </c>
      <c r="M8" s="766"/>
      <c r="N8" s="766"/>
      <c r="O8" s="322" t="s">
        <v>166</v>
      </c>
      <c r="P8" s="177">
        <f>SUM(P2+P3)*P1+SUM(P6*P7)</f>
        <v>0</v>
      </c>
      <c r="Q8" s="766"/>
      <c r="R8" s="286"/>
      <c r="S8" s="194" t="s">
        <v>178</v>
      </c>
      <c r="T8" s="194" t="s">
        <v>136</v>
      </c>
      <c r="U8" s="194" t="s">
        <v>61</v>
      </c>
      <c r="V8" s="194" t="s">
        <v>76</v>
      </c>
    </row>
    <row r="9" spans="1:27" ht="16.8" thickTop="1" thickBot="1" x14ac:dyDescent="0.35">
      <c r="A9" s="849" t="s">
        <v>72</v>
      </c>
      <c r="B9" s="850"/>
      <c r="C9" s="311" t="s">
        <v>1402</v>
      </c>
      <c r="D9" s="312"/>
      <c r="E9" s="849" t="s">
        <v>67</v>
      </c>
      <c r="F9" s="850"/>
      <c r="G9" s="189">
        <f ca="1">TODAY()+3</f>
        <v>46089</v>
      </c>
      <c r="H9" s="766"/>
      <c r="I9" s="766"/>
      <c r="J9" s="766"/>
      <c r="K9" s="375" t="s">
        <v>91</v>
      </c>
      <c r="L9" s="379">
        <f>IF(L8,SUM(L7:L8),"-")</f>
        <v>469</v>
      </c>
      <c r="M9" s="766"/>
      <c r="N9" s="766"/>
      <c r="O9" s="766"/>
      <c r="P9" s="766"/>
      <c r="Q9" s="766"/>
      <c r="R9" s="286"/>
      <c r="S9" s="196">
        <v>1</v>
      </c>
      <c r="T9" s="197" t="s">
        <v>179</v>
      </c>
      <c r="U9" s="198">
        <f>12993+6500</f>
        <v>19493</v>
      </c>
      <c r="V9" s="198"/>
      <c r="Y9" s="774" t="str">
        <f>UPPER(Y7)</f>
        <v>91940 LES ULIS, FRANCE</v>
      </c>
    </row>
    <row r="10" spans="1:27" ht="15.6" thickTop="1" thickBot="1" x14ac:dyDescent="0.35">
      <c r="A10" s="199"/>
      <c r="B10" s="199"/>
      <c r="C10" s="199"/>
      <c r="D10" s="200"/>
      <c r="E10" s="199"/>
      <c r="F10" s="201"/>
      <c r="G10" s="202"/>
      <c r="H10" s="766"/>
      <c r="I10" s="766"/>
      <c r="J10" s="766"/>
      <c r="K10" s="766"/>
      <c r="L10" s="766"/>
      <c r="M10" s="766"/>
      <c r="N10" s="766"/>
      <c r="O10" s="319" t="s">
        <v>180</v>
      </c>
      <c r="P10" s="203">
        <f>(K2*L2*M2)/6000</f>
        <v>0</v>
      </c>
      <c r="Q10" s="766"/>
      <c r="R10" s="286"/>
      <c r="S10" s="204">
        <v>2</v>
      </c>
      <c r="T10" s="205" t="s">
        <v>181</v>
      </c>
      <c r="U10" s="206">
        <v>450</v>
      </c>
      <c r="V10" s="206" t="s">
        <v>182</v>
      </c>
    </row>
    <row r="11" spans="1:27" ht="15.6" thickTop="1" thickBot="1" x14ac:dyDescent="0.35">
      <c r="A11" s="207" t="s">
        <v>183</v>
      </c>
      <c r="B11" s="208" t="s">
        <v>136</v>
      </c>
      <c r="C11" s="208" t="s">
        <v>137</v>
      </c>
      <c r="D11" s="306" t="s">
        <v>138</v>
      </c>
      <c r="E11" s="208" t="s">
        <v>61</v>
      </c>
      <c r="F11" s="208" t="s">
        <v>184</v>
      </c>
      <c r="G11" s="208" t="s">
        <v>76</v>
      </c>
      <c r="H11" s="766"/>
      <c r="I11" s="766"/>
      <c r="J11" s="381">
        <f>L11/F27</f>
        <v>9.0267854870435621E-2</v>
      </c>
      <c r="K11" s="376" t="s">
        <v>185</v>
      </c>
      <c r="L11" s="380">
        <f>IF(F12,(L8*G8)+SUM(F13:F15),"-")</f>
        <v>24827</v>
      </c>
      <c r="M11" s="766"/>
      <c r="N11" s="766"/>
      <c r="O11" s="322" t="s">
        <v>186</v>
      </c>
      <c r="P11" s="209"/>
      <c r="Q11" s="766"/>
      <c r="R11" s="286"/>
      <c r="S11" s="196">
        <v>3</v>
      </c>
      <c r="T11" s="211" t="s">
        <v>187</v>
      </c>
      <c r="U11" s="198">
        <v>550</v>
      </c>
      <c r="V11" s="198" t="s">
        <v>188</v>
      </c>
    </row>
    <row r="12" spans="1:27" ht="15.6" thickTop="1" thickBot="1" x14ac:dyDescent="0.35">
      <c r="A12" s="196">
        <v>1</v>
      </c>
      <c r="B12" s="211" t="s">
        <v>179</v>
      </c>
      <c r="C12" s="211" t="s">
        <v>189</v>
      </c>
      <c r="D12" s="307">
        <f>$G$8</f>
        <v>550</v>
      </c>
      <c r="E12" s="213">
        <f>L9</f>
        <v>469</v>
      </c>
      <c r="F12" s="198">
        <f>IF(G8,E12*D12,"-")</f>
        <v>257950</v>
      </c>
      <c r="G12" s="211"/>
      <c r="H12" s="766"/>
      <c r="I12" s="766"/>
      <c r="J12" s="766"/>
      <c r="K12" s="373">
        <v>0.05</v>
      </c>
      <c r="L12" s="374">
        <f>IF(F12,F27*K12,"-")</f>
        <v>13751.85</v>
      </c>
      <c r="M12" s="766"/>
      <c r="N12" s="766"/>
      <c r="O12" s="766"/>
      <c r="P12" s="766"/>
      <c r="Q12" s="766"/>
      <c r="R12" s="286"/>
      <c r="S12" s="204">
        <v>4</v>
      </c>
      <c r="T12" s="205" t="s">
        <v>190</v>
      </c>
      <c r="U12" s="206">
        <v>850</v>
      </c>
      <c r="V12" s="206" t="s">
        <v>191</v>
      </c>
    </row>
    <row r="13" spans="1:27" ht="15.6" thickTop="1" thickBot="1" x14ac:dyDescent="0.35">
      <c r="A13" s="204">
        <v>2</v>
      </c>
      <c r="B13" s="205" t="s">
        <v>181</v>
      </c>
      <c r="C13" s="215" t="s">
        <v>189</v>
      </c>
      <c r="D13" s="308">
        <f>$G$8</f>
        <v>550</v>
      </c>
      <c r="E13" s="206">
        <v>1</v>
      </c>
      <c r="F13" s="206">
        <f>IF($D$13*$E$13&lt;450, 450, $D$13*$E$13)</f>
        <v>550</v>
      </c>
      <c r="G13" s="215" t="s">
        <v>182</v>
      </c>
      <c r="H13" s="766"/>
      <c r="I13" s="206">
        <f>IF($D$13*$E$13&lt;450, 450, $D$13*$E$13)</f>
        <v>550</v>
      </c>
      <c r="J13" s="766"/>
      <c r="K13" s="766"/>
      <c r="L13" s="766"/>
      <c r="M13" s="766"/>
      <c r="N13" s="766"/>
      <c r="O13" s="766"/>
      <c r="P13" s="766"/>
      <c r="Q13" s="766"/>
      <c r="R13" s="286"/>
      <c r="S13" s="196">
        <v>5</v>
      </c>
      <c r="T13" s="211" t="s">
        <v>192</v>
      </c>
      <c r="U13" s="198">
        <v>1200</v>
      </c>
      <c r="V13" s="198"/>
    </row>
    <row r="14" spans="1:27" ht="15.6" thickTop="1" thickBot="1" x14ac:dyDescent="0.35">
      <c r="A14" s="217">
        <v>3</v>
      </c>
      <c r="B14" s="218" t="s">
        <v>187</v>
      </c>
      <c r="C14" s="196" t="s">
        <v>189</v>
      </c>
      <c r="D14" s="309">
        <f>$G$8</f>
        <v>550</v>
      </c>
      <c r="E14" s="198">
        <v>1</v>
      </c>
      <c r="F14" s="198">
        <f>IF($D$14*$E$14&lt;550, 550, $D$14*$E$14)</f>
        <v>550</v>
      </c>
      <c r="G14" s="196" t="s">
        <v>188</v>
      </c>
      <c r="H14" s="766"/>
      <c r="I14" s="198">
        <f>IF($D$14*$E$14&lt;550, 550, $D$14*$E$14)</f>
        <v>550</v>
      </c>
      <c r="J14" s="766"/>
      <c r="K14" s="373" t="s">
        <v>193</v>
      </c>
      <c r="L14" s="374">
        <f>IF(F12,$F$27*2%,"-")</f>
        <v>5500.74</v>
      </c>
      <c r="M14" s="766"/>
      <c r="N14" s="766"/>
      <c r="O14" s="766"/>
      <c r="P14" s="766"/>
      <c r="Q14" s="766"/>
      <c r="R14" s="286"/>
      <c r="S14" s="204">
        <v>6</v>
      </c>
      <c r="T14" s="205" t="s">
        <v>194</v>
      </c>
      <c r="U14" s="206">
        <v>285</v>
      </c>
      <c r="V14" s="206"/>
    </row>
    <row r="15" spans="1:27" ht="15" thickTop="1" x14ac:dyDescent="0.3">
      <c r="A15" s="204">
        <v>4</v>
      </c>
      <c r="B15" s="205" t="s">
        <v>190</v>
      </c>
      <c r="C15" s="215" t="s">
        <v>189</v>
      </c>
      <c r="D15" s="308">
        <f>$G$8</f>
        <v>550</v>
      </c>
      <c r="E15" s="344">
        <v>3.14</v>
      </c>
      <c r="F15" s="206">
        <f>IF($D$15*$E$15&lt;850, 850, $D$15*$E$15)</f>
        <v>1727</v>
      </c>
      <c r="G15" s="215" t="s">
        <v>1369</v>
      </c>
      <c r="H15" s="766"/>
      <c r="I15" s="206">
        <f>IF($D$15*$E$15&lt;850, 850, $D$15*$E$15)</f>
        <v>1727</v>
      </c>
      <c r="J15" s="766"/>
      <c r="K15" s="766"/>
      <c r="L15" s="766"/>
      <c r="M15" s="766"/>
      <c r="N15" s="766"/>
      <c r="O15" s="766"/>
      <c r="P15" s="766"/>
      <c r="Q15" s="766"/>
      <c r="R15" s="286"/>
      <c r="S15" s="196">
        <v>7</v>
      </c>
      <c r="T15" s="211" t="s">
        <v>195</v>
      </c>
      <c r="U15" s="198">
        <v>3500</v>
      </c>
      <c r="V15" s="198"/>
      <c r="AA15">
        <f>56362/66</f>
        <v>853.969696969697</v>
      </c>
    </row>
    <row r="16" spans="1:27" x14ac:dyDescent="0.3">
      <c r="A16" s="217">
        <v>5</v>
      </c>
      <c r="B16" s="218" t="s">
        <v>192</v>
      </c>
      <c r="C16" s="196" t="s">
        <v>196</v>
      </c>
      <c r="D16" s="309">
        <v>1</v>
      </c>
      <c r="E16" s="198">
        <f>IF(D15*4&lt;850, 850, D15*4)</f>
        <v>2200</v>
      </c>
      <c r="F16" s="198">
        <f>IF(E16*D16=0, "-", E16*D16)</f>
        <v>2200</v>
      </c>
      <c r="G16" s="196" t="s">
        <v>84</v>
      </c>
      <c r="H16" s="766"/>
      <c r="I16" s="198"/>
      <c r="J16" s="766"/>
      <c r="K16" s="766"/>
      <c r="L16" s="766"/>
      <c r="M16" s="766"/>
      <c r="N16" s="766"/>
      <c r="O16" s="766"/>
      <c r="P16" s="766"/>
      <c r="Q16" s="766"/>
      <c r="R16" s="286"/>
      <c r="S16" s="204">
        <v>8</v>
      </c>
      <c r="T16" s="205" t="s">
        <v>197</v>
      </c>
      <c r="U16" s="206">
        <v>1200</v>
      </c>
      <c r="V16" s="206"/>
    </row>
    <row r="17" spans="1:27" x14ac:dyDescent="0.3">
      <c r="A17" s="204">
        <v>6</v>
      </c>
      <c r="B17" s="205" t="s">
        <v>194</v>
      </c>
      <c r="C17" s="215" t="s">
        <v>196</v>
      </c>
      <c r="D17" s="308">
        <v>1</v>
      </c>
      <c r="E17" s="206">
        <v>285</v>
      </c>
      <c r="F17" s="206">
        <f t="shared" ref="F17:F21" si="0">IF(E17*D17=0, "-", E17*D17)</f>
        <v>285</v>
      </c>
      <c r="G17" s="215"/>
      <c r="H17" s="768"/>
      <c r="I17" s="768"/>
      <c r="J17" s="768"/>
      <c r="K17" s="766"/>
      <c r="L17" s="766"/>
      <c r="M17" s="766"/>
      <c r="N17" s="768"/>
      <c r="O17" s="766"/>
      <c r="P17" s="766"/>
      <c r="Q17" s="768"/>
      <c r="R17" s="286"/>
      <c r="S17" s="196">
        <v>9</v>
      </c>
      <c r="T17" s="211" t="s">
        <v>198</v>
      </c>
      <c r="U17" s="198">
        <v>800</v>
      </c>
      <c r="V17" s="198"/>
    </row>
    <row r="18" spans="1:27" x14ac:dyDescent="0.3">
      <c r="A18" s="217">
        <v>7</v>
      </c>
      <c r="B18" s="218" t="s">
        <v>195</v>
      </c>
      <c r="C18" s="196" t="s">
        <v>196</v>
      </c>
      <c r="D18" s="309">
        <v>1</v>
      </c>
      <c r="E18" s="198">
        <v>3500</v>
      </c>
      <c r="F18" s="198">
        <f t="shared" si="0"/>
        <v>3500</v>
      </c>
      <c r="G18" s="196"/>
      <c r="H18" s="768"/>
      <c r="I18" s="768"/>
      <c r="J18" s="768"/>
      <c r="K18" s="766"/>
      <c r="L18" s="766"/>
      <c r="M18" s="766"/>
      <c r="N18" s="768"/>
      <c r="O18" s="766"/>
      <c r="P18" s="766"/>
      <c r="Q18" s="768"/>
      <c r="R18" s="286"/>
      <c r="S18" s="204">
        <v>10</v>
      </c>
      <c r="T18" s="205" t="s">
        <v>199</v>
      </c>
      <c r="U18" s="206">
        <v>225</v>
      </c>
      <c r="V18" s="206"/>
    </row>
    <row r="19" spans="1:27" ht="15" customHeight="1" x14ac:dyDescent="0.3">
      <c r="A19" s="204">
        <v>8</v>
      </c>
      <c r="B19" s="205" t="s">
        <v>197</v>
      </c>
      <c r="C19" s="215" t="s">
        <v>196</v>
      </c>
      <c r="D19" s="308">
        <v>1</v>
      </c>
      <c r="E19" s="206">
        <v>1500</v>
      </c>
      <c r="F19" s="206">
        <f t="shared" si="0"/>
        <v>1500</v>
      </c>
      <c r="G19" s="215"/>
      <c r="H19" s="768"/>
      <c r="I19" s="768"/>
      <c r="J19" s="768"/>
      <c r="K19" s="768"/>
      <c r="L19" s="768"/>
      <c r="M19" s="766"/>
      <c r="N19" s="768"/>
      <c r="O19" s="766"/>
      <c r="P19" s="766"/>
      <c r="Q19" s="768"/>
      <c r="S19" s="196">
        <v>11</v>
      </c>
      <c r="T19" s="211" t="s">
        <v>201</v>
      </c>
      <c r="U19" s="198"/>
      <c r="V19" s="198"/>
      <c r="AA19">
        <f>67000/66</f>
        <v>1015.1515151515151</v>
      </c>
    </row>
    <row r="20" spans="1:27" ht="15" customHeight="1" x14ac:dyDescent="0.3">
      <c r="A20" s="217">
        <v>9</v>
      </c>
      <c r="B20" s="218" t="s">
        <v>198</v>
      </c>
      <c r="C20" s="196" t="s">
        <v>196</v>
      </c>
      <c r="D20" s="309">
        <v>1</v>
      </c>
      <c r="E20" s="198">
        <v>800</v>
      </c>
      <c r="F20" s="198">
        <f t="shared" si="0"/>
        <v>800</v>
      </c>
      <c r="G20" s="196"/>
      <c r="H20" s="768"/>
      <c r="I20" s="768"/>
      <c r="J20" s="768"/>
      <c r="K20" s="768"/>
      <c r="L20" s="768"/>
      <c r="M20" s="768"/>
      <c r="N20" s="768"/>
      <c r="O20" s="768"/>
      <c r="P20" s="768"/>
      <c r="Q20" s="768"/>
      <c r="S20" s="204">
        <v>12</v>
      </c>
      <c r="T20" s="205" t="s">
        <v>202</v>
      </c>
      <c r="U20" s="206">
        <v>600</v>
      </c>
      <c r="V20" s="206" t="s">
        <v>203</v>
      </c>
    </row>
    <row r="21" spans="1:27" x14ac:dyDescent="0.3">
      <c r="A21" s="204">
        <v>10</v>
      </c>
      <c r="B21" s="205" t="s">
        <v>199</v>
      </c>
      <c r="C21" s="215" t="s">
        <v>196</v>
      </c>
      <c r="D21" s="308">
        <v>1</v>
      </c>
      <c r="E21" s="206">
        <v>225</v>
      </c>
      <c r="F21" s="206">
        <f t="shared" si="0"/>
        <v>225</v>
      </c>
      <c r="G21" s="215"/>
      <c r="H21" s="768"/>
      <c r="I21" s="768"/>
      <c r="J21" s="768"/>
      <c r="K21" s="768"/>
      <c r="L21" s="768"/>
      <c r="M21" s="768"/>
      <c r="N21" s="768"/>
      <c r="O21" s="768"/>
      <c r="P21" s="768"/>
      <c r="Q21" s="768"/>
      <c r="S21" s="196">
        <v>13</v>
      </c>
      <c r="T21" s="211" t="s">
        <v>90</v>
      </c>
      <c r="U21" s="198">
        <v>1750</v>
      </c>
      <c r="V21" s="198"/>
    </row>
    <row r="22" spans="1:27" x14ac:dyDescent="0.3">
      <c r="A22" s="217">
        <v>11</v>
      </c>
      <c r="B22" s="218" t="s">
        <v>90</v>
      </c>
      <c r="C22" s="196" t="s">
        <v>196</v>
      </c>
      <c r="D22" s="309">
        <v>1</v>
      </c>
      <c r="E22" s="198">
        <v>1750</v>
      </c>
      <c r="F22" s="198">
        <f>IF(E22*D22=0, "-", E22*D22)</f>
        <v>1750</v>
      </c>
      <c r="G22" s="196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S22" s="204">
        <v>14</v>
      </c>
      <c r="T22" s="205" t="s">
        <v>204</v>
      </c>
      <c r="U22" s="206">
        <v>13500</v>
      </c>
      <c r="V22" s="206" t="s">
        <v>205</v>
      </c>
    </row>
    <row r="23" spans="1:27" x14ac:dyDescent="0.3">
      <c r="A23" s="204">
        <v>12</v>
      </c>
      <c r="B23" s="205" t="s">
        <v>206</v>
      </c>
      <c r="C23" s="215" t="s">
        <v>196</v>
      </c>
      <c r="D23" s="308">
        <v>1</v>
      </c>
      <c r="E23" s="206">
        <v>2500</v>
      </c>
      <c r="F23" s="206">
        <f>IF(E23*D23=0, "-", E23*D23)</f>
        <v>2500</v>
      </c>
      <c r="G23" s="215" t="s">
        <v>203</v>
      </c>
      <c r="H23" s="768"/>
      <c r="I23" s="768"/>
      <c r="J23" s="768"/>
      <c r="K23" s="768"/>
      <c r="L23" s="768"/>
      <c r="M23" s="768"/>
      <c r="N23" s="768"/>
      <c r="O23" s="768"/>
      <c r="P23" s="768"/>
      <c r="Q23" s="768"/>
      <c r="S23" s="196">
        <v>15</v>
      </c>
      <c r="T23" s="211" t="s">
        <v>207</v>
      </c>
      <c r="U23" s="198"/>
      <c r="V23" s="198"/>
    </row>
    <row r="24" spans="1:27" ht="15" thickBot="1" x14ac:dyDescent="0.35">
      <c r="A24" s="217">
        <v>13</v>
      </c>
      <c r="B24" s="218" t="s">
        <v>208</v>
      </c>
      <c r="C24" s="196" t="s">
        <v>196</v>
      </c>
      <c r="D24" s="309">
        <v>1</v>
      </c>
      <c r="E24" s="198">
        <v>1500</v>
      </c>
      <c r="F24" s="198">
        <f>IF(E24*D24=0, "-", E24*D24)</f>
        <v>1500</v>
      </c>
      <c r="G24" s="196"/>
      <c r="H24" s="768"/>
      <c r="I24" s="768"/>
      <c r="J24" s="768"/>
      <c r="K24" s="768"/>
      <c r="L24" s="768"/>
      <c r="M24" s="768"/>
      <c r="N24" s="768"/>
      <c r="O24" s="768"/>
      <c r="P24" s="768"/>
      <c r="Q24" s="768"/>
      <c r="S24" s="204">
        <v>16</v>
      </c>
      <c r="T24" s="205" t="s">
        <v>209</v>
      </c>
      <c r="U24" s="206"/>
      <c r="V24" s="206" t="s">
        <v>210</v>
      </c>
    </row>
    <row r="25" spans="1:27" ht="15" hidden="1" thickBot="1" x14ac:dyDescent="0.35">
      <c r="A25" s="204">
        <v>14</v>
      </c>
      <c r="B25" s="205" t="s">
        <v>211</v>
      </c>
      <c r="C25" s="215" t="s">
        <v>196</v>
      </c>
      <c r="D25" s="308"/>
      <c r="E25" s="206">
        <f>7500+3500</f>
        <v>11000</v>
      </c>
      <c r="F25" s="206" t="str">
        <f>IF(E25*D25=0, "-", E25*D25)</f>
        <v>-</v>
      </c>
      <c r="G25" s="215" t="s">
        <v>212</v>
      </c>
      <c r="H25" s="768"/>
      <c r="I25" s="768"/>
      <c r="J25" s="768"/>
      <c r="K25" s="768"/>
      <c r="L25" s="768"/>
      <c r="M25" s="768"/>
      <c r="N25" s="768"/>
      <c r="O25" s="768"/>
      <c r="P25" s="768"/>
      <c r="Q25" s="768"/>
      <c r="S25" s="196">
        <v>17</v>
      </c>
      <c r="T25" s="211"/>
      <c r="U25" s="198"/>
      <c r="V25" s="198"/>
    </row>
    <row r="26" spans="1:27" ht="15.6" hidden="1" thickTop="1" thickBot="1" x14ac:dyDescent="0.35">
      <c r="A26" s="204">
        <v>14</v>
      </c>
      <c r="B26" s="205" t="s">
        <v>107</v>
      </c>
      <c r="C26" s="215" t="s">
        <v>196</v>
      </c>
      <c r="D26" s="308"/>
      <c r="E26" s="206">
        <v>500</v>
      </c>
      <c r="F26" s="206" t="str">
        <f>IF(E26*D26=0, "-", E26*D26)</f>
        <v>-</v>
      </c>
      <c r="G26" s="215"/>
      <c r="H26" s="768"/>
      <c r="I26" s="768"/>
      <c r="J26" s="768"/>
      <c r="K26" s="768"/>
      <c r="L26" s="768"/>
      <c r="M26" s="768"/>
      <c r="N26" s="768"/>
      <c r="O26" s="768"/>
      <c r="P26" s="768"/>
      <c r="Q26" s="768"/>
      <c r="S26" s="194"/>
      <c r="T26" s="194"/>
      <c r="U26" s="221">
        <f>SUM(U9:U25)</f>
        <v>44403</v>
      </c>
      <c r="V26" s="194" t="s">
        <v>150</v>
      </c>
    </row>
    <row r="27" spans="1:27" ht="15.6" thickTop="1" thickBot="1" x14ac:dyDescent="0.35">
      <c r="A27" s="208"/>
      <c r="B27" s="208"/>
      <c r="C27" s="208"/>
      <c r="D27" s="306"/>
      <c r="E27" s="208" t="s">
        <v>91</v>
      </c>
      <c r="F27" s="219">
        <f>IF(G8,SUM(F12:F26),"-")</f>
        <v>275037</v>
      </c>
      <c r="G27" s="219" t="s">
        <v>150</v>
      </c>
      <c r="H27" s="768"/>
      <c r="I27" s="768"/>
      <c r="J27" s="768"/>
      <c r="K27" s="768"/>
      <c r="L27" s="768"/>
      <c r="M27" s="768"/>
      <c r="N27" s="768"/>
      <c r="O27" s="768"/>
      <c r="P27" s="768"/>
      <c r="Q27" s="768"/>
    </row>
    <row r="28" spans="1:27" ht="15" thickTop="1" x14ac:dyDescent="0.3">
      <c r="A28" s="222"/>
      <c r="C28" s="223"/>
      <c r="D28" s="160"/>
      <c r="H28" s="768"/>
      <c r="I28" s="768"/>
      <c r="J28" s="768"/>
      <c r="K28" s="768"/>
      <c r="L28" s="768"/>
      <c r="M28" s="768"/>
      <c r="N28" s="768"/>
      <c r="O28" s="768"/>
      <c r="P28" s="768"/>
      <c r="Q28" s="768"/>
    </row>
    <row r="29" spans="1:27" x14ac:dyDescent="0.3">
      <c r="A29" s="224" t="s">
        <v>213</v>
      </c>
      <c r="B29" s="225"/>
      <c r="C29" s="223"/>
      <c r="D29" s="160"/>
      <c r="H29" s="768"/>
      <c r="I29" s="768"/>
      <c r="J29" s="768"/>
      <c r="K29" s="768"/>
      <c r="L29" s="768"/>
      <c r="M29" s="768"/>
      <c r="N29" s="768"/>
      <c r="O29" s="768"/>
      <c r="P29" s="768"/>
      <c r="Q29" s="768"/>
      <c r="T29" s="682">
        <f>U26*5%</f>
        <v>2220.15</v>
      </c>
    </row>
    <row r="30" spans="1:27" x14ac:dyDescent="0.3">
      <c r="A30" s="869" t="s">
        <v>214</v>
      </c>
      <c r="B30" s="869"/>
      <c r="C30" s="869"/>
      <c r="D30" s="869"/>
      <c r="E30" s="869"/>
      <c r="F30" s="869"/>
      <c r="G30" s="869"/>
      <c r="H30" s="768"/>
      <c r="I30" s="768"/>
      <c r="J30" s="768"/>
      <c r="K30" s="768"/>
      <c r="L30" s="768"/>
      <c r="M30" s="768"/>
      <c r="N30" s="768"/>
      <c r="O30" s="768"/>
      <c r="P30" s="768"/>
      <c r="Q30" s="768"/>
      <c r="U30" s="346"/>
    </row>
    <row r="31" spans="1:27" x14ac:dyDescent="0.3">
      <c r="A31" s="869" t="s">
        <v>215</v>
      </c>
      <c r="B31" s="869"/>
      <c r="C31" s="869"/>
      <c r="D31" s="869"/>
      <c r="E31" s="869"/>
      <c r="F31" s="869"/>
      <c r="G31" s="869"/>
      <c r="H31" s="768"/>
      <c r="I31" s="768"/>
      <c r="J31" s="768"/>
      <c r="K31" s="768"/>
      <c r="L31" s="768"/>
      <c r="M31" s="768"/>
      <c r="N31" s="768"/>
      <c r="O31" s="768"/>
      <c r="P31" s="768"/>
      <c r="Q31" s="768"/>
    </row>
    <row r="32" spans="1:27" x14ac:dyDescent="0.3">
      <c r="A32" s="228"/>
      <c r="B32" s="223"/>
      <c r="C32" s="223"/>
      <c r="D32" s="160"/>
      <c r="H32" s="768"/>
      <c r="I32" s="768"/>
      <c r="J32" s="768"/>
      <c r="K32" s="768"/>
      <c r="L32" s="768"/>
      <c r="M32" s="768"/>
      <c r="N32" s="768"/>
      <c r="O32" s="768"/>
      <c r="P32" s="768"/>
      <c r="Q32" s="768"/>
    </row>
    <row r="33" spans="1:17" x14ac:dyDescent="0.3">
      <c r="A33" s="857" t="s">
        <v>216</v>
      </c>
      <c r="B33" s="857"/>
      <c r="C33" s="857"/>
      <c r="D33" s="857"/>
      <c r="E33" s="857"/>
      <c r="F33" s="857"/>
      <c r="G33" s="857"/>
      <c r="H33" s="768"/>
      <c r="I33" s="768"/>
      <c r="J33" s="768"/>
      <c r="K33" s="768"/>
      <c r="L33" s="768"/>
      <c r="M33" s="768"/>
      <c r="N33" s="768"/>
      <c r="O33" s="768"/>
      <c r="P33" s="768"/>
      <c r="Q33" s="768"/>
    </row>
    <row r="34" spans="1:17" x14ac:dyDescent="0.3">
      <c r="A34" s="857" t="s">
        <v>217</v>
      </c>
      <c r="B34" s="857"/>
      <c r="C34" s="857"/>
      <c r="D34" s="857"/>
      <c r="E34" s="857"/>
      <c r="F34" s="857"/>
      <c r="G34" s="857"/>
      <c r="H34" s="768"/>
      <c r="I34" s="768"/>
      <c r="J34" s="768"/>
      <c r="K34" s="768"/>
      <c r="L34" s="768"/>
      <c r="M34" s="768"/>
      <c r="N34" s="768"/>
      <c r="O34" s="768"/>
      <c r="P34" s="768"/>
      <c r="Q34" s="768"/>
    </row>
    <row r="35" spans="1:17" x14ac:dyDescent="0.3">
      <c r="A35" s="856" t="s">
        <v>218</v>
      </c>
      <c r="B35" s="856"/>
      <c r="C35" s="856"/>
      <c r="D35" s="856"/>
      <c r="E35" s="856"/>
      <c r="F35" s="856"/>
      <c r="G35" s="856"/>
      <c r="H35" s="768"/>
      <c r="I35" s="768"/>
      <c r="J35" s="768"/>
      <c r="K35" s="768"/>
      <c r="L35" s="768"/>
      <c r="M35" s="768"/>
      <c r="N35" s="768"/>
      <c r="O35" s="768"/>
      <c r="P35" s="768"/>
      <c r="Q35" s="768"/>
    </row>
    <row r="36" spans="1:17" x14ac:dyDescent="0.3">
      <c r="A36" s="856" t="s">
        <v>219</v>
      </c>
      <c r="B36" s="856"/>
      <c r="C36" s="856"/>
      <c r="D36" s="856"/>
      <c r="E36" s="856"/>
      <c r="F36" s="856"/>
      <c r="G36" s="856"/>
      <c r="H36" s="768"/>
      <c r="I36" s="768"/>
      <c r="J36" s="768"/>
      <c r="K36" s="768"/>
      <c r="L36" s="768"/>
      <c r="M36" s="768"/>
      <c r="N36" s="768"/>
      <c r="O36" s="768"/>
      <c r="P36" s="768"/>
      <c r="Q36" s="768"/>
    </row>
    <row r="37" spans="1:17" x14ac:dyDescent="0.3">
      <c r="A37" s="856" t="s">
        <v>220</v>
      </c>
      <c r="B37" s="856"/>
      <c r="C37" s="856"/>
      <c r="D37" s="856"/>
      <c r="E37" s="856"/>
      <c r="F37" s="856"/>
      <c r="G37" s="856"/>
      <c r="H37" s="768"/>
      <c r="I37" s="768"/>
      <c r="J37" s="768"/>
      <c r="K37" s="768"/>
      <c r="L37" s="768"/>
      <c r="M37" s="768"/>
      <c r="N37" s="768"/>
      <c r="O37" s="768"/>
      <c r="P37" s="768"/>
      <c r="Q37" s="768"/>
    </row>
    <row r="38" spans="1:17" x14ac:dyDescent="0.3">
      <c r="A38" s="856" t="s">
        <v>221</v>
      </c>
      <c r="B38" s="856"/>
      <c r="C38" s="856"/>
      <c r="D38" s="856"/>
      <c r="E38" s="856"/>
      <c r="F38" s="856"/>
      <c r="G38" s="856"/>
      <c r="H38" s="768"/>
      <c r="I38" s="768"/>
      <c r="J38" s="768"/>
      <c r="K38" s="768"/>
      <c r="L38" s="768"/>
      <c r="M38" s="768"/>
      <c r="N38" s="768"/>
      <c r="O38" s="768"/>
      <c r="P38" s="768"/>
      <c r="Q38" s="768"/>
    </row>
    <row r="39" spans="1:17" x14ac:dyDescent="0.3">
      <c r="A39" s="856" t="s">
        <v>222</v>
      </c>
      <c r="B39" s="856"/>
      <c r="C39" s="856"/>
      <c r="D39" s="856"/>
      <c r="E39" s="856"/>
      <c r="F39" s="856"/>
      <c r="G39" s="856"/>
      <c r="H39" s="768"/>
      <c r="I39" s="768"/>
      <c r="J39" s="768"/>
      <c r="K39" s="768"/>
      <c r="L39" s="768"/>
      <c r="M39" s="768"/>
      <c r="N39" s="768"/>
      <c r="O39" s="768"/>
      <c r="P39" s="768"/>
      <c r="Q39" s="768"/>
    </row>
    <row r="40" spans="1:17" x14ac:dyDescent="0.3">
      <c r="A40" s="856" t="s">
        <v>223</v>
      </c>
      <c r="B40" s="856"/>
      <c r="C40" s="856"/>
      <c r="D40" s="856"/>
      <c r="E40" s="856"/>
      <c r="F40" s="856"/>
      <c r="G40" s="856"/>
      <c r="H40" s="768"/>
      <c r="I40" s="768"/>
      <c r="J40" s="768"/>
      <c r="K40" s="768"/>
      <c r="L40" s="768"/>
      <c r="M40" s="768"/>
      <c r="N40" s="768"/>
      <c r="O40" s="768"/>
      <c r="P40" s="768"/>
      <c r="Q40" s="768"/>
    </row>
    <row r="41" spans="1:17" x14ac:dyDescent="0.3">
      <c r="A41" s="856" t="s">
        <v>224</v>
      </c>
      <c r="B41" s="856"/>
      <c r="C41" s="856"/>
      <c r="D41" s="856"/>
      <c r="E41" s="856"/>
      <c r="F41" s="856"/>
      <c r="G41" s="856"/>
      <c r="H41" s="768"/>
      <c r="I41" s="768"/>
      <c r="J41" s="768"/>
      <c r="K41" s="768"/>
      <c r="L41" s="768"/>
      <c r="M41" s="768"/>
      <c r="N41" s="768"/>
      <c r="O41" s="768"/>
      <c r="P41" s="768"/>
      <c r="Q41" s="768"/>
    </row>
    <row r="42" spans="1:17" x14ac:dyDescent="0.3">
      <c r="A42" s="856" t="s">
        <v>225</v>
      </c>
      <c r="B42" s="856"/>
      <c r="C42" s="856"/>
      <c r="D42" s="856"/>
      <c r="E42" s="856"/>
      <c r="F42" s="856"/>
      <c r="G42" s="856"/>
      <c r="H42" s="768"/>
      <c r="I42" s="768"/>
      <c r="J42" s="768"/>
      <c r="K42" s="768"/>
      <c r="L42" s="768"/>
      <c r="M42" s="768"/>
      <c r="N42" s="768"/>
      <c r="O42" s="768"/>
      <c r="P42" s="768"/>
      <c r="Q42" s="768"/>
    </row>
    <row r="43" spans="1:17" x14ac:dyDescent="0.3">
      <c r="A43" s="856" t="s">
        <v>226</v>
      </c>
      <c r="B43" s="856"/>
      <c r="C43" s="856"/>
      <c r="D43" s="856"/>
      <c r="E43" s="856"/>
      <c r="F43" s="856"/>
      <c r="G43" s="856"/>
      <c r="H43" s="768"/>
      <c r="I43" s="768"/>
      <c r="J43" s="768"/>
      <c r="K43" s="768"/>
      <c r="L43" s="768"/>
      <c r="M43" s="768"/>
      <c r="N43" s="768"/>
      <c r="O43" s="768"/>
      <c r="P43" s="768"/>
      <c r="Q43" s="768"/>
    </row>
    <row r="44" spans="1:17" x14ac:dyDescent="0.3">
      <c r="A44" s="856" t="s">
        <v>1329</v>
      </c>
      <c r="B44" s="856"/>
      <c r="C44" s="856"/>
      <c r="D44" s="856"/>
      <c r="E44" s="856"/>
      <c r="F44" s="856"/>
      <c r="G44" s="856"/>
      <c r="H44" s="768"/>
      <c r="I44" s="768"/>
      <c r="J44" s="768"/>
      <c r="K44" s="768"/>
      <c r="L44" s="768"/>
      <c r="M44" s="768"/>
      <c r="N44" s="768"/>
      <c r="O44" s="768"/>
      <c r="P44" s="768"/>
      <c r="Q44" s="768"/>
    </row>
    <row r="45" spans="1:17" x14ac:dyDescent="0.3">
      <c r="A45" s="223"/>
      <c r="B45" s="223"/>
      <c r="H45" s="768"/>
      <c r="I45" s="768"/>
      <c r="J45" s="768"/>
      <c r="K45" s="768"/>
      <c r="L45" s="768"/>
      <c r="M45" s="768"/>
      <c r="N45" s="768"/>
      <c r="O45" s="768"/>
      <c r="P45" s="768"/>
      <c r="Q45" s="768"/>
    </row>
    <row r="46" spans="1:17" x14ac:dyDescent="0.3">
      <c r="A46" s="223"/>
      <c r="B46" s="223"/>
      <c r="H46" s="768"/>
      <c r="I46" s="768"/>
      <c r="J46" s="768"/>
      <c r="K46" s="768"/>
      <c r="L46" s="768"/>
      <c r="M46" s="768"/>
      <c r="N46" s="768"/>
      <c r="O46" s="768"/>
      <c r="P46" s="768"/>
      <c r="Q46" s="768"/>
    </row>
    <row r="47" spans="1:17" x14ac:dyDescent="0.3">
      <c r="F47" s="96" t="s">
        <v>120</v>
      </c>
      <c r="G47" s="97" t="s">
        <v>121</v>
      </c>
      <c r="H47" s="768"/>
      <c r="I47" s="768"/>
      <c r="J47" s="768"/>
      <c r="K47" s="768"/>
      <c r="L47" s="768"/>
      <c r="M47" s="768"/>
      <c r="N47" s="768"/>
      <c r="O47" s="768"/>
      <c r="P47" s="768"/>
      <c r="Q47" s="768"/>
    </row>
    <row r="48" spans="1:17" x14ac:dyDescent="0.3">
      <c r="H48" s="768"/>
      <c r="I48" s="768"/>
      <c r="J48" s="768"/>
      <c r="K48" s="768"/>
      <c r="L48" s="768"/>
      <c r="M48" s="768"/>
      <c r="N48" s="768"/>
      <c r="O48" s="768"/>
      <c r="P48" s="768"/>
      <c r="Q48" s="768"/>
    </row>
    <row r="49" spans="8:17" x14ac:dyDescent="0.3">
      <c r="H49" s="768"/>
      <c r="I49" s="768"/>
      <c r="J49" s="768"/>
      <c r="K49" s="768"/>
      <c r="L49" s="768"/>
      <c r="M49" s="768"/>
      <c r="N49" s="768"/>
      <c r="O49" s="768"/>
      <c r="P49" s="768"/>
      <c r="Q49" s="768"/>
    </row>
    <row r="50" spans="8:17" x14ac:dyDescent="0.3">
      <c r="H50" s="768"/>
      <c r="I50" s="768"/>
      <c r="J50" s="768"/>
      <c r="K50" s="768"/>
      <c r="L50" s="768"/>
      <c r="M50" s="768"/>
      <c r="N50" s="768"/>
      <c r="O50" s="768"/>
      <c r="P50" s="768"/>
      <c r="Q50" s="768"/>
    </row>
    <row r="51" spans="8:17" x14ac:dyDescent="0.3">
      <c r="H51" s="768"/>
      <c r="I51" s="768"/>
      <c r="J51" s="768"/>
      <c r="K51" s="768"/>
      <c r="L51" s="768"/>
      <c r="M51" s="768"/>
      <c r="N51" s="768"/>
      <c r="O51" s="768"/>
      <c r="P51" s="768"/>
      <c r="Q51" s="768"/>
    </row>
    <row r="52" spans="8:17" x14ac:dyDescent="0.3">
      <c r="H52" s="768"/>
      <c r="I52" s="768"/>
      <c r="J52" s="768"/>
      <c r="K52" s="768"/>
      <c r="L52" s="768"/>
      <c r="M52" s="768"/>
      <c r="N52" s="768"/>
      <c r="O52" s="768"/>
      <c r="P52" s="768"/>
      <c r="Q52" s="768"/>
    </row>
    <row r="53" spans="8:17" x14ac:dyDescent="0.3">
      <c r="H53" s="768"/>
      <c r="I53" s="768"/>
      <c r="J53" s="768"/>
      <c r="K53" s="768"/>
      <c r="L53" s="768"/>
      <c r="M53" s="768"/>
      <c r="N53" s="768"/>
      <c r="O53" s="768"/>
      <c r="P53" s="768"/>
      <c r="Q53" s="768"/>
    </row>
  </sheetData>
  <mergeCells count="26">
    <mergeCell ref="A31:G31"/>
    <mergeCell ref="A35:G35"/>
    <mergeCell ref="A36:G36"/>
    <mergeCell ref="A37:G37"/>
    <mergeCell ref="A43:G43"/>
    <mergeCell ref="A38:G38"/>
    <mergeCell ref="A39:G39"/>
    <mergeCell ref="A40:G40"/>
    <mergeCell ref="A41:G41"/>
    <mergeCell ref="A42:G42"/>
    <mergeCell ref="A44:G44"/>
    <mergeCell ref="A33:G33"/>
    <mergeCell ref="C5:D5"/>
    <mergeCell ref="E5:F5"/>
    <mergeCell ref="E6:F6"/>
    <mergeCell ref="A7:B7"/>
    <mergeCell ref="C7:D7"/>
    <mergeCell ref="E7:F7"/>
    <mergeCell ref="C6:D6"/>
    <mergeCell ref="A8:B8"/>
    <mergeCell ref="C8:D8"/>
    <mergeCell ref="E8:F8"/>
    <mergeCell ref="A9:B9"/>
    <mergeCell ref="E9:F9"/>
    <mergeCell ref="A34:G34"/>
    <mergeCell ref="A30:G30"/>
  </mergeCells>
  <conditionalFormatting sqref="B10">
    <cfRule type="duplicateValues" dxfId="605" priority="19"/>
  </conditionalFormatting>
  <conditionalFormatting sqref="A11:G11">
    <cfRule type="duplicateValues" dxfId="604" priority="18"/>
  </conditionalFormatting>
  <conditionalFormatting sqref="A27:E27">
    <cfRule type="duplicateValues" dxfId="603" priority="17"/>
  </conditionalFormatting>
  <conditionalFormatting sqref="F27:G27">
    <cfRule type="duplicateValues" dxfId="602" priority="16"/>
  </conditionalFormatting>
  <conditionalFormatting sqref="I1">
    <cfRule type="duplicateValues" dxfId="601" priority="15"/>
  </conditionalFormatting>
  <conditionalFormatting sqref="B49:B1048576 B1 B10 B29 B3:B4 B45:B46 B32">
    <cfRule type="duplicateValues" dxfId="600" priority="20"/>
  </conditionalFormatting>
  <conditionalFormatting sqref="B7">
    <cfRule type="duplicateValues" dxfId="599" priority="12"/>
  </conditionalFormatting>
  <conditionalFormatting sqref="B7 B5">
    <cfRule type="duplicateValues" dxfId="598" priority="13"/>
  </conditionalFormatting>
  <conditionalFormatting sqref="T4">
    <cfRule type="duplicateValues" dxfId="597" priority="76868"/>
  </conditionalFormatting>
  <conditionalFormatting sqref="T4 T2">
    <cfRule type="duplicateValues" dxfId="596" priority="76869"/>
  </conditionalFormatting>
  <dataValidations count="1">
    <dataValidation type="list" allowBlank="1" showInputMessage="1" showErrorMessage="1" sqref="G7 V4" xr:uid="{EE2EACDF-2833-468F-BD00-34304D0FE25E}">
      <formula1>"HAZ, NON HAZ"</formula1>
    </dataValidation>
  </dataValidations>
  <hyperlinks>
    <hyperlink ref="J1" location="INDEX!A1" display="INDEX" xr:uid="{597D40E0-EC7E-4AF0-88F5-18D05E7F212E}"/>
    <hyperlink ref="I2" location="QUOTE!AX1" display="LCL" xr:uid="{ED3D2006-D694-4248-985D-D6AD5933125A}"/>
    <hyperlink ref="I3" location="QUOTE!A1" display="SEA" xr:uid="{63D2422A-B170-4179-ADF9-A4894925E26C}"/>
  </hyperlinks>
  <printOptions horizontalCentered="1"/>
  <pageMargins left="0.31496062992125984" right="0.31496062992125984" top="0.31496062992125984" bottom="0.31496062992125984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5523831-F59A-4E42-A3B5-BBB5BC72CE12}">
          <x14:formula1>
            <xm:f>FILETER!$F$2:$F$26</xm:f>
          </x14:formula1>
          <xm:sqref>C8:D8</xm:sqref>
        </x14:dataValidation>
        <x14:dataValidation type="list" allowBlank="1" showInputMessage="1" showErrorMessage="1" xr:uid="{A13E9713-A23F-410C-A853-AAFD2EBC874A}">
          <x14:formula1>
            <xm:f>FILETER!$C$2:$C$4</xm:f>
          </x14:formula1>
          <xm:sqref>G5</xm:sqref>
        </x14:dataValidation>
        <x14:dataValidation type="list" allowBlank="1" showInputMessage="1" showErrorMessage="1" xr:uid="{E0A85146-A09D-4414-B1AE-ED08E0CD14BC}">
          <x14:formula1>
            <xm:f>FILETER!$H$2:$H$13</xm:f>
          </x14:formula1>
          <xm:sqref>G47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3190-605B-49F1-B9E7-3F49A72B0AE0}">
  <sheetPr codeName="Sheet5">
    <tabColor theme="8" tint="-0.499984740745262"/>
  </sheetPr>
  <dimension ref="A1:XFC58"/>
  <sheetViews>
    <sheetView showGridLines="0" showRuler="0" showWhiteSpace="0" zoomScaleNormal="100" workbookViewId="0">
      <selection activeCell="L7" sqref="L7"/>
    </sheetView>
  </sheetViews>
  <sheetFormatPr defaultColWidth="0" defaultRowHeight="0" customHeight="1" zeroHeight="1" x14ac:dyDescent="0.3"/>
  <cols>
    <col min="1" max="1" width="11.44140625" style="98" customWidth="1"/>
    <col min="2" max="2" width="24.109375" style="94" customWidth="1"/>
    <col min="3" max="3" width="15.44140625" style="12" customWidth="1"/>
    <col min="4" max="4" width="22.109375" style="12" customWidth="1"/>
    <col min="5" max="5" width="26.109375" style="12" customWidth="1"/>
    <col min="6" max="6" width="2" style="144" customWidth="1"/>
    <col min="7" max="7" width="7.21875" style="144" customWidth="1"/>
    <col min="8" max="8" width="1.44140625" style="144" customWidth="1"/>
    <col min="9" max="9" width="14.21875" style="192" customWidth="1"/>
    <col min="10" max="10" width="0.88671875" style="144" customWidth="1"/>
    <col min="11" max="11" width="10.5546875" style="192" customWidth="1"/>
    <col min="12" max="13" width="10.33203125" style="277" customWidth="1"/>
    <col min="14" max="14" width="10.33203125" style="192" customWidth="1"/>
    <col min="15" max="16" width="10.33203125" style="275" customWidth="1"/>
    <col min="17" max="17" width="10.21875" style="274" customWidth="1"/>
    <col min="18" max="16383" width="8.88671875" style="144" hidden="1"/>
    <col min="16384" max="16384" width="1.33203125" style="144" customWidth="1"/>
  </cols>
  <sheetData>
    <row r="1" spans="1:17" ht="15.6" thickTop="1" thickBot="1" x14ac:dyDescent="0.35">
      <c r="A1" s="99" t="s">
        <v>38</v>
      </c>
      <c r="B1" s="100"/>
      <c r="C1" s="100"/>
      <c r="D1" s="101" t="s">
        <v>39</v>
      </c>
      <c r="E1" s="101"/>
      <c r="F1" s="765"/>
      <c r="G1" s="158" t="str">
        <f>"SEA FREIGHT QUOTE // "&amp;UPPER(B2)&amp;" // "&amp;UPPER(E5)&amp;" TO "&amp;UPPER(E6) &amp;" // "&amp;UPPER(C7)&amp;" // "&amp;UPPER(C8)</f>
        <v xml:space="preserve">SEA FREIGHT QUOTE //  //  TO  //  // </v>
      </c>
      <c r="H1" s="767" t="s">
        <v>40</v>
      </c>
      <c r="I1" s="272">
        <v>94</v>
      </c>
      <c r="J1" s="765"/>
      <c r="K1" s="289" t="s">
        <v>41</v>
      </c>
      <c r="L1" s="290" t="s">
        <v>1035</v>
      </c>
      <c r="M1" s="291" t="s">
        <v>146</v>
      </c>
      <c r="N1" s="292" t="s">
        <v>1316</v>
      </c>
      <c r="O1" s="765"/>
      <c r="P1" s="294" t="s">
        <v>46</v>
      </c>
      <c r="Q1" s="295"/>
    </row>
    <row r="2" spans="1:17" ht="15.6" thickTop="1" thickBot="1" x14ac:dyDescent="0.35">
      <c r="A2" s="102"/>
      <c r="B2" s="97"/>
      <c r="C2" s="97"/>
      <c r="D2" s="101" t="s">
        <v>47</v>
      </c>
      <c r="E2" s="101"/>
      <c r="F2" s="765"/>
      <c r="G2" s="151" t="s">
        <v>8</v>
      </c>
      <c r="H2" s="765"/>
      <c r="I2" s="271" t="s">
        <v>48</v>
      </c>
      <c r="J2" s="765"/>
      <c r="K2" s="296">
        <v>2137</v>
      </c>
      <c r="L2" s="297">
        <f>344+13+12+20</f>
        <v>389</v>
      </c>
      <c r="M2" s="298"/>
      <c r="N2" s="298"/>
      <c r="O2" s="765"/>
      <c r="P2" s="294" t="s">
        <v>49</v>
      </c>
      <c r="Q2" s="358"/>
    </row>
    <row r="3" spans="1:17" ht="15.6" thickTop="1" thickBot="1" x14ac:dyDescent="0.35">
      <c r="A3" s="102" t="s">
        <v>40</v>
      </c>
      <c r="B3" s="97"/>
      <c r="C3" s="97"/>
      <c r="D3" s="101" t="s">
        <v>50</v>
      </c>
      <c r="E3" s="101"/>
      <c r="F3" s="765"/>
      <c r="G3" s="766"/>
      <c r="H3" s="765"/>
      <c r="I3" s="252" t="s">
        <v>51</v>
      </c>
      <c r="J3" s="765"/>
      <c r="K3" s="299"/>
      <c r="L3" s="300"/>
      <c r="M3" s="301"/>
      <c r="N3" s="301"/>
      <c r="O3" s="765"/>
      <c r="P3" s="294"/>
      <c r="Q3" s="359"/>
    </row>
    <row r="4" spans="1:17" ht="15.6" thickTop="1" thickBot="1" x14ac:dyDescent="0.35">
      <c r="A4" s="102"/>
      <c r="B4" s="97"/>
      <c r="C4" s="97"/>
      <c r="D4" s="103"/>
      <c r="E4" s="97"/>
      <c r="F4" s="765"/>
      <c r="G4" s="766"/>
      <c r="H4" s="765"/>
      <c r="I4" s="765"/>
      <c r="J4" s="765"/>
      <c r="K4" s="765"/>
      <c r="L4" s="765"/>
      <c r="M4" s="765"/>
      <c r="N4" s="765"/>
      <c r="O4" s="765"/>
      <c r="P4" s="765"/>
      <c r="Q4" s="765"/>
    </row>
    <row r="5" spans="1:17" ht="15.6" thickTop="1" thickBot="1" x14ac:dyDescent="0.35">
      <c r="A5" s="835"/>
      <c r="B5" s="836"/>
      <c r="C5" s="104"/>
      <c r="D5" s="105" t="s">
        <v>52</v>
      </c>
      <c r="E5" s="106"/>
      <c r="F5" s="765"/>
      <c r="G5" s="766"/>
      <c r="H5" s="765"/>
      <c r="I5" s="260" t="s">
        <v>54</v>
      </c>
      <c r="J5" s="765"/>
      <c r="K5" s="264">
        <v>0.05</v>
      </c>
      <c r="L5" s="142" t="s">
        <v>55</v>
      </c>
      <c r="M5" s="140" t="s">
        <v>56</v>
      </c>
      <c r="N5" s="765"/>
      <c r="O5" s="765"/>
      <c r="P5" s="389" t="s">
        <v>58</v>
      </c>
      <c r="Q5" s="388" t="s">
        <v>57</v>
      </c>
    </row>
    <row r="6" spans="1:17" ht="15.6" thickTop="1" thickBot="1" x14ac:dyDescent="0.35">
      <c r="A6" s="107"/>
      <c r="B6" s="303"/>
      <c r="C6" s="304"/>
      <c r="D6" s="108" t="s">
        <v>59</v>
      </c>
      <c r="E6" s="109"/>
      <c r="F6" s="765"/>
      <c r="G6" s="766"/>
      <c r="H6" s="765"/>
      <c r="I6" s="261">
        <f>IF(K2,SUM(K2:N2,Q1:Q2),"-")</f>
        <v>2526</v>
      </c>
      <c r="J6" s="765"/>
      <c r="K6" s="265">
        <f>I6*$K$5</f>
        <v>126.30000000000001</v>
      </c>
      <c r="L6" s="266"/>
      <c r="M6" s="263" t="str">
        <f>IF(L6,SUM(I6+L6),"-")</f>
        <v>-</v>
      </c>
      <c r="N6" s="765"/>
      <c r="O6" s="765"/>
      <c r="P6" s="389" t="s">
        <v>62</v>
      </c>
      <c r="Q6" s="388" t="s">
        <v>61</v>
      </c>
    </row>
    <row r="7" spans="1:17" ht="15.6" thickTop="1" thickBot="1" x14ac:dyDescent="0.35">
      <c r="A7" s="831" t="s">
        <v>63</v>
      </c>
      <c r="B7" s="832"/>
      <c r="C7" s="106"/>
      <c r="D7" s="110" t="s">
        <v>64</v>
      </c>
      <c r="E7" s="111">
        <f ca="1">TODAY()</f>
        <v>46086</v>
      </c>
      <c r="F7" s="766"/>
      <c r="G7" s="766"/>
      <c r="H7" s="766"/>
      <c r="I7" s="262" t="str">
        <f>IF(K3,SUM(K3:N3,Q1:Q2),"-")</f>
        <v>-</v>
      </c>
      <c r="J7" s="765"/>
      <c r="K7" s="267" t="e">
        <f>I7*$K$5</f>
        <v>#VALUE!</v>
      </c>
      <c r="L7" s="268"/>
      <c r="M7" s="263" t="str">
        <f>IF(L7,SUM(I7+L7),"-")</f>
        <v>-</v>
      </c>
      <c r="N7" s="765"/>
      <c r="O7" s="765"/>
      <c r="P7" s="389" t="s">
        <v>62</v>
      </c>
      <c r="Q7" s="388" t="s">
        <v>65</v>
      </c>
    </row>
    <row r="8" spans="1:17" ht="15.6" thickTop="1" thickBot="1" x14ac:dyDescent="0.35">
      <c r="A8" s="833" t="s">
        <v>66</v>
      </c>
      <c r="B8" s="834"/>
      <c r="C8" s="259"/>
      <c r="D8" s="656" t="s">
        <v>67</v>
      </c>
      <c r="E8" s="753">
        <v>46112</v>
      </c>
      <c r="F8" s="766"/>
      <c r="G8" s="766"/>
      <c r="H8" s="766"/>
      <c r="I8" s="765"/>
      <c r="J8" s="765"/>
      <c r="K8" s="765"/>
      <c r="L8" s="765"/>
      <c r="M8" s="765"/>
      <c r="N8" s="765"/>
      <c r="O8" s="765"/>
      <c r="P8" s="765"/>
      <c r="Q8" s="765"/>
    </row>
    <row r="9" spans="1:17" ht="15.6" thickTop="1" thickBot="1" x14ac:dyDescent="0.35">
      <c r="A9" s="838" t="s">
        <v>68</v>
      </c>
      <c r="B9" s="839"/>
      <c r="C9" s="113"/>
      <c r="D9" s="114" t="s">
        <v>69</v>
      </c>
      <c r="E9" s="115"/>
      <c r="F9" s="766"/>
      <c r="G9" s="766"/>
      <c r="H9" s="766"/>
      <c r="I9" s="765"/>
      <c r="J9" s="766"/>
      <c r="K9" s="143" t="s">
        <v>56</v>
      </c>
      <c r="L9" s="260" t="s">
        <v>54</v>
      </c>
      <c r="M9" s="765"/>
      <c r="N9" s="347" t="s">
        <v>56</v>
      </c>
      <c r="O9" s="348" t="s">
        <v>55</v>
      </c>
      <c r="P9" s="349">
        <v>0.02</v>
      </c>
      <c r="Q9" s="350" t="s">
        <v>71</v>
      </c>
    </row>
    <row r="10" spans="1:17" ht="15.6" thickTop="1" thickBot="1" x14ac:dyDescent="0.35">
      <c r="A10" s="840" t="s">
        <v>72</v>
      </c>
      <c r="B10" s="841"/>
      <c r="C10" s="116"/>
      <c r="D10" s="108" t="s">
        <v>73</v>
      </c>
      <c r="E10" s="230"/>
      <c r="F10" s="806"/>
      <c r="G10" s="766"/>
      <c r="H10" s="766"/>
      <c r="I10" s="269">
        <f>C7</f>
        <v>0</v>
      </c>
      <c r="J10" s="765"/>
      <c r="K10" s="143" t="str">
        <f>IF(AND(ISNUMBER(SEARCH("20", C7)), ISNUMBER(SEARCH("40", C7))), "-",
   IF(ISNUMBER(SEARCH("20", C7)), M6,
   IF(ISNUMBER(SEARCH("40", C7)), M7, "-")))</f>
        <v>-</v>
      </c>
      <c r="L10" s="260" t="str">
        <f>IF(AND(ISNUMBER(SEARCH("20", C7)), ISNUMBER(SEARCH("40", C7))), "-",
   IF(ISNUMBER(SEARCH("20", C7)), I6,
   IF(ISNUMBER(SEARCH("40", C7)), I7, "-")))</f>
        <v>-</v>
      </c>
      <c r="M10" s="765"/>
      <c r="N10" s="351" t="e">
        <f>K10*I1</f>
        <v>#VALUE!</v>
      </c>
      <c r="O10" s="352" t="e">
        <f>(K10-L10)*I1</f>
        <v>#VALUE!</v>
      </c>
      <c r="P10" s="390" t="e">
        <f>N10*P9</f>
        <v>#VALUE!</v>
      </c>
      <c r="Q10" s="353" t="e">
        <f>O10-P10</f>
        <v>#VALUE!</v>
      </c>
    </row>
    <row r="11" spans="1:17" ht="15" customHeight="1" thickTop="1" thickBot="1" x14ac:dyDescent="0.35">
      <c r="A11" s="117"/>
      <c r="B11" s="118"/>
      <c r="C11" s="118"/>
      <c r="D11" s="118"/>
      <c r="E11" s="118"/>
      <c r="F11" s="766"/>
      <c r="G11" s="766"/>
      <c r="H11" s="765"/>
      <c r="I11" s="765"/>
      <c r="J11" s="765"/>
      <c r="K11" s="765"/>
      <c r="L11" s="765"/>
      <c r="M11" s="765"/>
      <c r="N11" s="765"/>
      <c r="O11" s="765"/>
      <c r="P11" s="765"/>
      <c r="Q11" s="765"/>
    </row>
    <row r="12" spans="1:17" ht="15.6" thickTop="1" thickBot="1" x14ac:dyDescent="0.35">
      <c r="A12" s="119" t="s">
        <v>74</v>
      </c>
      <c r="B12" s="120" t="s">
        <v>72</v>
      </c>
      <c r="C12" s="119" t="s">
        <v>75</v>
      </c>
      <c r="D12" s="119" t="s">
        <v>61</v>
      </c>
      <c r="E12" s="119" t="s">
        <v>76</v>
      </c>
      <c r="F12" s="766"/>
      <c r="G12" s="766"/>
      <c r="H12" s="766"/>
      <c r="I12" s="288" t="s">
        <v>72</v>
      </c>
      <c r="J12" s="765"/>
      <c r="K12" s="281" t="s">
        <v>72</v>
      </c>
      <c r="L12" s="282" t="s">
        <v>48</v>
      </c>
      <c r="M12" s="282" t="s">
        <v>51</v>
      </c>
      <c r="N12" s="283" t="s">
        <v>78</v>
      </c>
      <c r="O12" s="284" t="s">
        <v>79</v>
      </c>
      <c r="P12" s="283" t="s">
        <v>80</v>
      </c>
      <c r="Q12" s="284" t="s">
        <v>77</v>
      </c>
    </row>
    <row r="13" spans="1:17" ht="15" thickTop="1" x14ac:dyDescent="0.3">
      <c r="A13" s="121">
        <v>1</v>
      </c>
      <c r="B13" s="121" t="s">
        <v>81</v>
      </c>
      <c r="C13" s="122" t="s">
        <v>82</v>
      </c>
      <c r="D13" s="123" t="str">
        <f>K10</f>
        <v>-</v>
      </c>
      <c r="E13" s="124"/>
      <c r="F13" s="766"/>
      <c r="G13" s="766"/>
      <c r="H13" s="766"/>
      <c r="I13" s="278"/>
      <c r="J13" s="780"/>
      <c r="K13" s="278" t="s">
        <v>1389</v>
      </c>
      <c r="L13" s="279"/>
      <c r="M13" s="279"/>
      <c r="N13" s="278"/>
      <c r="O13" s="258"/>
      <c r="P13" s="280"/>
      <c r="Q13" s="278"/>
    </row>
    <row r="14" spans="1:17" ht="14.4" x14ac:dyDescent="0.3">
      <c r="A14" s="125">
        <v>2</v>
      </c>
      <c r="B14" s="125" t="s">
        <v>83</v>
      </c>
      <c r="C14" s="125" t="s">
        <v>82</v>
      </c>
      <c r="D14" s="126"/>
      <c r="E14" s="126" t="s">
        <v>84</v>
      </c>
      <c r="F14" s="766"/>
      <c r="G14" s="766"/>
      <c r="H14" s="766"/>
      <c r="I14" s="253"/>
      <c r="J14" s="780"/>
      <c r="K14" s="255"/>
      <c r="L14" s="255"/>
      <c r="M14" s="255"/>
      <c r="N14" s="253"/>
      <c r="O14" s="257"/>
      <c r="P14" s="257"/>
      <c r="Q14" s="253"/>
    </row>
    <row r="15" spans="1:17" ht="14.4" x14ac:dyDescent="0.3">
      <c r="A15" s="127">
        <v>3</v>
      </c>
      <c r="B15" s="128" t="s">
        <v>85</v>
      </c>
      <c r="C15" s="129" t="s">
        <v>82</v>
      </c>
      <c r="D15" s="130"/>
      <c r="E15" s="123"/>
      <c r="F15" s="766"/>
      <c r="G15" s="766"/>
      <c r="H15" s="766"/>
      <c r="I15" s="254"/>
      <c r="J15" s="780"/>
      <c r="K15" s="254"/>
      <c r="L15" s="256"/>
      <c r="M15" s="256"/>
      <c r="N15" s="254"/>
      <c r="O15" s="258"/>
      <c r="P15" s="258"/>
      <c r="Q15" s="254"/>
    </row>
    <row r="16" spans="1:17" ht="14.4" x14ac:dyDescent="0.3">
      <c r="A16" s="125">
        <v>4</v>
      </c>
      <c r="B16" s="125" t="s">
        <v>86</v>
      </c>
      <c r="C16" s="125" t="s">
        <v>82</v>
      </c>
      <c r="D16" s="126"/>
      <c r="E16" s="126"/>
      <c r="F16" s="766"/>
      <c r="G16" s="766"/>
      <c r="H16" s="766"/>
      <c r="I16" s="253"/>
      <c r="J16" s="780"/>
      <c r="K16" s="253"/>
      <c r="L16" s="255"/>
      <c r="M16" s="255"/>
      <c r="N16" s="255"/>
      <c r="O16" s="257"/>
      <c r="P16" s="257"/>
      <c r="Q16" s="253"/>
    </row>
    <row r="17" spans="1:17" ht="14.4" x14ac:dyDescent="0.3">
      <c r="A17" s="127">
        <v>5</v>
      </c>
      <c r="B17" s="128" t="s">
        <v>87</v>
      </c>
      <c r="C17" s="129" t="s">
        <v>87</v>
      </c>
      <c r="D17" s="130"/>
      <c r="E17" s="123"/>
      <c r="F17" s="766"/>
      <c r="G17" s="766"/>
      <c r="H17" s="766"/>
      <c r="I17" s="254"/>
      <c r="J17" s="780"/>
      <c r="K17" s="254"/>
      <c r="L17" s="256"/>
      <c r="M17" s="256"/>
      <c r="N17" s="254"/>
      <c r="O17" s="258"/>
      <c r="P17" s="258"/>
      <c r="Q17" s="254"/>
    </row>
    <row r="18" spans="1:17" ht="14.4" x14ac:dyDescent="0.3">
      <c r="A18" s="125">
        <v>6</v>
      </c>
      <c r="B18" s="125" t="s">
        <v>1309</v>
      </c>
      <c r="C18" s="125" t="s">
        <v>87</v>
      </c>
      <c r="D18" s="126"/>
      <c r="E18" s="126"/>
      <c r="F18" s="766"/>
      <c r="G18" s="766"/>
      <c r="H18" s="766"/>
      <c r="I18" s="253"/>
      <c r="J18" s="780"/>
      <c r="K18" s="253"/>
      <c r="L18" s="255"/>
      <c r="M18" s="255"/>
      <c r="N18" s="253"/>
      <c r="O18" s="257"/>
      <c r="P18" s="257"/>
      <c r="Q18" s="253"/>
    </row>
    <row r="19" spans="1:17" ht="14.4" x14ac:dyDescent="0.3">
      <c r="A19" s="127">
        <v>7</v>
      </c>
      <c r="B19" s="128" t="s">
        <v>88</v>
      </c>
      <c r="C19" s="129" t="s">
        <v>82</v>
      </c>
      <c r="D19" s="130"/>
      <c r="E19" s="123"/>
      <c r="F19" s="766"/>
      <c r="G19" s="766"/>
      <c r="H19" s="766"/>
      <c r="I19" s="254"/>
      <c r="J19" s="780"/>
      <c r="K19" s="254"/>
      <c r="L19" s="256"/>
      <c r="M19" s="256"/>
      <c r="N19" s="254"/>
      <c r="O19" s="258"/>
      <c r="P19" s="258"/>
      <c r="Q19" s="254"/>
    </row>
    <row r="20" spans="1:17" ht="14.4" x14ac:dyDescent="0.3">
      <c r="A20" s="125">
        <v>8</v>
      </c>
      <c r="B20" s="125" t="s">
        <v>89</v>
      </c>
      <c r="C20" s="125" t="s">
        <v>82</v>
      </c>
      <c r="D20" s="126"/>
      <c r="E20" s="126"/>
      <c r="F20" s="766"/>
      <c r="G20" s="766"/>
      <c r="H20" s="766"/>
      <c r="I20" s="253"/>
      <c r="J20" s="780"/>
      <c r="K20" s="253"/>
      <c r="L20" s="255"/>
      <c r="M20" s="255"/>
      <c r="N20" s="253"/>
      <c r="O20" s="257"/>
      <c r="P20" s="257"/>
      <c r="Q20" s="253"/>
    </row>
    <row r="21" spans="1:17" ht="15" thickBot="1" x14ac:dyDescent="0.35">
      <c r="A21" s="129">
        <v>9</v>
      </c>
      <c r="B21" s="129" t="s">
        <v>90</v>
      </c>
      <c r="C21" s="129" t="s">
        <v>87</v>
      </c>
      <c r="D21" s="130"/>
      <c r="E21" s="130"/>
      <c r="F21" s="766"/>
      <c r="G21" s="766"/>
      <c r="H21" s="766"/>
      <c r="I21" s="254"/>
      <c r="J21" s="780"/>
      <c r="K21" s="254"/>
      <c r="L21" s="256"/>
      <c r="M21" s="256"/>
      <c r="N21" s="254"/>
      <c r="O21" s="258"/>
      <c r="P21" s="258"/>
      <c r="Q21" s="254"/>
    </row>
    <row r="22" spans="1:17" ht="15.6" thickTop="1" thickBot="1" x14ac:dyDescent="0.35">
      <c r="A22" s="655"/>
      <c r="B22" s="131" t="s">
        <v>40</v>
      </c>
      <c r="C22" s="119" t="s">
        <v>91</v>
      </c>
      <c r="D22" s="132" cm="1">
        <f t="array" ref="D22">IF(AND(D13&lt;&gt;"",D13&lt;&gt;"-"),VALUE(SUBSTITUTE(D13,"$",""))*$I$1,0)+SUMPRODUCT(IF((D14:D21&lt;&gt;"")*(D14:D21&lt;&gt;"-"),IF(LEFT(D14:D21,1)="$",VALUE(SUBSTITUTE(D14:D21,"$",""))*$I$1,IF(ISNUMBER(D14:D21),D14:D21,0)),0))</f>
        <v>0</v>
      </c>
      <c r="E22" s="655" t="s">
        <v>92</v>
      </c>
      <c r="F22" s="766"/>
      <c r="G22" s="766"/>
      <c r="H22" s="766"/>
      <c r="I22" s="253"/>
      <c r="J22" s="780"/>
      <c r="K22" s="765"/>
      <c r="L22" s="765"/>
      <c r="M22" s="765"/>
      <c r="N22" s="765"/>
      <c r="O22" s="765"/>
      <c r="P22" s="765"/>
      <c r="Q22" s="253"/>
    </row>
    <row r="23" spans="1:17" ht="15.6" thickTop="1" thickBot="1" x14ac:dyDescent="0.35">
      <c r="A23" s="117"/>
      <c r="B23" s="118"/>
      <c r="C23" s="118"/>
      <c r="D23" s="133"/>
      <c r="E23" s="118"/>
      <c r="F23" s="766"/>
      <c r="G23" s="766"/>
      <c r="H23" s="766"/>
      <c r="I23" s="254"/>
      <c r="J23" s="780"/>
      <c r="K23" s="765"/>
      <c r="L23" s="765"/>
      <c r="M23" s="765"/>
      <c r="N23" s="765"/>
      <c r="O23" s="765"/>
      <c r="P23" s="765"/>
      <c r="Q23" s="254"/>
    </row>
    <row r="24" spans="1:17" ht="15.6" thickTop="1" thickBot="1" x14ac:dyDescent="0.35">
      <c r="A24" s="655" t="s">
        <v>74</v>
      </c>
      <c r="B24" s="112" t="s">
        <v>93</v>
      </c>
      <c r="C24" s="655" t="s">
        <v>75</v>
      </c>
      <c r="D24" s="655" t="s">
        <v>61</v>
      </c>
      <c r="E24" s="655" t="s">
        <v>76</v>
      </c>
      <c r="F24" s="766"/>
      <c r="G24" s="766"/>
      <c r="H24" s="766"/>
      <c r="I24" s="253"/>
      <c r="J24" s="780"/>
      <c r="K24" s="765"/>
      <c r="L24" s="765"/>
      <c r="M24" s="765"/>
      <c r="N24" s="765"/>
      <c r="O24" s="765"/>
      <c r="P24" s="765"/>
      <c r="Q24" s="253"/>
    </row>
    <row r="25" spans="1:17" ht="15" thickTop="1" x14ac:dyDescent="0.3">
      <c r="A25" s="129">
        <v>10</v>
      </c>
      <c r="B25" s="129" t="s">
        <v>57</v>
      </c>
      <c r="C25" s="129" t="s">
        <v>82</v>
      </c>
      <c r="D25" s="130"/>
      <c r="E25" s="130"/>
      <c r="F25" s="766"/>
      <c r="G25" s="766"/>
      <c r="H25" s="766"/>
      <c r="I25" s="254"/>
      <c r="J25" s="780"/>
      <c r="K25" s="765"/>
      <c r="L25" s="765"/>
      <c r="M25" s="765"/>
      <c r="N25" s="765"/>
      <c r="O25" s="765"/>
      <c r="P25" s="765"/>
      <c r="Q25" s="254"/>
    </row>
    <row r="26" spans="1:17" ht="14.4" x14ac:dyDescent="0.3">
      <c r="A26" s="355">
        <v>11</v>
      </c>
      <c r="B26" s="356" t="s">
        <v>93</v>
      </c>
      <c r="C26" s="125" t="s">
        <v>82</v>
      </c>
      <c r="D26" s="126"/>
      <c r="E26" s="357"/>
      <c r="F26" s="766"/>
      <c r="G26" s="766"/>
      <c r="H26" s="766"/>
      <c r="I26" s="253"/>
      <c r="J26" s="780"/>
      <c r="K26" s="765"/>
      <c r="L26" s="765"/>
      <c r="M26" s="765"/>
      <c r="N26" s="765"/>
      <c r="O26" s="765"/>
      <c r="P26" s="765"/>
      <c r="Q26" s="253"/>
    </row>
    <row r="27" spans="1:17" ht="14.4" x14ac:dyDescent="0.3">
      <c r="A27" s="129">
        <v>12</v>
      </c>
      <c r="B27" s="129" t="s">
        <v>94</v>
      </c>
      <c r="C27" s="129" t="s">
        <v>82</v>
      </c>
      <c r="D27" s="130"/>
      <c r="E27" s="130"/>
      <c r="F27" s="766"/>
      <c r="G27" s="766"/>
      <c r="H27" s="766"/>
      <c r="I27" s="254"/>
      <c r="J27" s="780"/>
      <c r="K27" s="765"/>
      <c r="L27" s="765"/>
      <c r="M27" s="765"/>
      <c r="N27" s="765"/>
      <c r="O27" s="765"/>
      <c r="P27" s="765"/>
      <c r="Q27" s="254"/>
    </row>
    <row r="28" spans="1:17" ht="14.4" x14ac:dyDescent="0.3">
      <c r="A28" s="355">
        <v>13</v>
      </c>
      <c r="B28" s="356" t="s">
        <v>96</v>
      </c>
      <c r="C28" s="125" t="s">
        <v>82</v>
      </c>
      <c r="D28" s="126"/>
      <c r="E28" s="357"/>
      <c r="F28" s="766"/>
      <c r="G28" s="766"/>
      <c r="H28" s="766"/>
      <c r="I28" s="253"/>
      <c r="J28" s="780"/>
      <c r="K28" s="765"/>
      <c r="L28" s="765"/>
      <c r="M28" s="765"/>
      <c r="N28" s="765"/>
      <c r="O28" s="765"/>
      <c r="P28" s="765"/>
      <c r="Q28" s="253"/>
    </row>
    <row r="29" spans="1:17" ht="14.4" x14ac:dyDescent="0.3">
      <c r="A29" s="129">
        <v>14</v>
      </c>
      <c r="B29" s="129" t="s">
        <v>97</v>
      </c>
      <c r="C29" s="129" t="s">
        <v>82</v>
      </c>
      <c r="D29" s="130"/>
      <c r="E29" s="130" t="s">
        <v>203</v>
      </c>
      <c r="F29" s="766"/>
      <c r="G29" s="766"/>
      <c r="H29" s="766"/>
      <c r="I29" s="254"/>
      <c r="J29" s="780"/>
      <c r="K29" s="765"/>
      <c r="L29" s="765"/>
      <c r="M29" s="765"/>
      <c r="N29" s="765"/>
      <c r="O29" s="765"/>
      <c r="P29" s="765"/>
      <c r="Q29" s="254"/>
    </row>
    <row r="30" spans="1:17" ht="14.4" x14ac:dyDescent="0.3">
      <c r="A30" s="355">
        <v>15</v>
      </c>
      <c r="B30" s="356" t="s">
        <v>98</v>
      </c>
      <c r="C30" s="125" t="s">
        <v>82</v>
      </c>
      <c r="D30" s="126"/>
      <c r="E30" s="357"/>
      <c r="F30" s="766"/>
      <c r="G30" s="766"/>
      <c r="H30" s="766"/>
      <c r="I30" s="253"/>
      <c r="J30" s="780"/>
      <c r="K30" s="765"/>
      <c r="L30" s="765"/>
      <c r="M30" s="765"/>
      <c r="N30" s="765"/>
      <c r="O30" s="765"/>
      <c r="P30" s="765"/>
      <c r="Q30" s="253"/>
    </row>
    <row r="31" spans="1:17" ht="15" customHeight="1" x14ac:dyDescent="0.3">
      <c r="A31" s="129">
        <v>16</v>
      </c>
      <c r="B31" s="129" t="s">
        <v>99</v>
      </c>
      <c r="C31" s="129" t="s">
        <v>82</v>
      </c>
      <c r="D31" s="130"/>
      <c r="E31" s="130"/>
      <c r="F31" s="766"/>
      <c r="G31" s="766"/>
      <c r="H31" s="766"/>
      <c r="I31" s="765"/>
      <c r="J31" s="780"/>
      <c r="K31" s="765"/>
      <c r="L31" s="765"/>
      <c r="M31" s="765"/>
      <c r="N31" s="765"/>
      <c r="O31" s="765"/>
      <c r="P31" s="765"/>
      <c r="Q31" s="765"/>
    </row>
    <row r="32" spans="1:17" ht="14.4" x14ac:dyDescent="0.3">
      <c r="A32" s="355">
        <v>17</v>
      </c>
      <c r="B32" s="356" t="s">
        <v>100</v>
      </c>
      <c r="C32" s="125" t="s">
        <v>82</v>
      </c>
      <c r="D32" s="126"/>
      <c r="E32" s="357"/>
      <c r="F32" s="766"/>
      <c r="G32" s="766"/>
      <c r="H32" s="766"/>
      <c r="I32" s="765"/>
      <c r="J32" s="780"/>
      <c r="K32" s="765"/>
      <c r="L32" s="765"/>
      <c r="M32" s="765"/>
      <c r="N32" s="765"/>
      <c r="O32" s="765"/>
      <c r="P32" s="765"/>
      <c r="Q32" s="765"/>
    </row>
    <row r="33" spans="1:17" ht="15" thickBot="1" x14ac:dyDescent="0.35">
      <c r="A33" s="129">
        <v>18</v>
      </c>
      <c r="B33" s="129" t="s">
        <v>1334</v>
      </c>
      <c r="C33" s="129" t="s">
        <v>82</v>
      </c>
      <c r="D33" s="130"/>
      <c r="E33" s="130"/>
      <c r="F33" s="766"/>
      <c r="G33" s="766"/>
      <c r="H33" s="766"/>
      <c r="I33" s="765"/>
      <c r="J33" s="780"/>
      <c r="K33" s="765"/>
      <c r="L33" s="765"/>
      <c r="M33" s="765"/>
      <c r="N33" s="765"/>
      <c r="O33" s="765"/>
      <c r="P33" s="765"/>
      <c r="Q33" s="765"/>
    </row>
    <row r="34" spans="1:17" ht="15.6" thickTop="1" thickBot="1" x14ac:dyDescent="0.35">
      <c r="A34" s="655"/>
      <c r="B34" s="131"/>
      <c r="C34" s="655" t="s">
        <v>91</v>
      </c>
      <c r="D34" s="136" cm="1">
        <f t="array" ref="D34">SUMPRODUCT(IF(LEFT(D25:D33,1)="$", VALUE(MID(D25:D33,2,100))*$I$1, IF(ISNUMBER(D25:D33), D25:D33, 0)))</f>
        <v>0</v>
      </c>
      <c r="E34" s="655" t="s">
        <v>92</v>
      </c>
      <c r="F34" s="766"/>
      <c r="G34" s="766"/>
      <c r="H34" s="766"/>
      <c r="I34" s="765"/>
      <c r="J34" s="780"/>
      <c r="K34" s="765"/>
      <c r="L34" s="765"/>
      <c r="M34" s="765"/>
      <c r="N34" s="765"/>
      <c r="O34" s="765"/>
      <c r="P34" s="765"/>
      <c r="Q34" s="765"/>
    </row>
    <row r="35" spans="1:17" ht="15.6" thickTop="1" thickBot="1" x14ac:dyDescent="0.35">
      <c r="A35" s="137"/>
      <c r="B35" s="95"/>
      <c r="C35" s="95"/>
      <c r="D35" s="95"/>
      <c r="E35" s="95"/>
      <c r="F35" s="766"/>
      <c r="G35" s="766"/>
      <c r="H35" s="766"/>
      <c r="I35" s="765"/>
      <c r="J35" s="780"/>
      <c r="K35" s="765"/>
      <c r="L35" s="765"/>
      <c r="M35" s="765"/>
      <c r="N35" s="765"/>
      <c r="O35" s="765"/>
      <c r="P35" s="765"/>
      <c r="Q35" s="765"/>
    </row>
    <row r="36" spans="1:17" ht="15.6" thickTop="1" thickBot="1" x14ac:dyDescent="0.35">
      <c r="A36" s="655" t="s">
        <v>74</v>
      </c>
      <c r="B36" s="112" t="s">
        <v>101</v>
      </c>
      <c r="C36" s="655" t="s">
        <v>75</v>
      </c>
      <c r="D36" s="655" t="s">
        <v>61</v>
      </c>
      <c r="E36" s="655" t="s">
        <v>76</v>
      </c>
      <c r="F36" s="766"/>
      <c r="G36" s="766"/>
      <c r="H36" s="766"/>
      <c r="I36" s="765"/>
      <c r="J36" s="780"/>
      <c r="K36" s="765"/>
      <c r="L36" s="765"/>
      <c r="M36" s="765"/>
      <c r="N36" s="765"/>
      <c r="O36" s="765"/>
      <c r="P36" s="765"/>
      <c r="Q36" s="765"/>
    </row>
    <row r="37" spans="1:17" ht="15" thickTop="1" x14ac:dyDescent="0.3">
      <c r="A37" s="692">
        <v>19</v>
      </c>
      <c r="B37" s="692" t="s">
        <v>102</v>
      </c>
      <c r="C37" s="693" t="s">
        <v>103</v>
      </c>
      <c r="D37" s="693">
        <v>3000</v>
      </c>
      <c r="E37" s="693"/>
      <c r="F37" s="766"/>
      <c r="G37" s="766"/>
      <c r="H37" s="766"/>
      <c r="I37" s="765"/>
      <c r="J37" s="765"/>
      <c r="K37" s="765"/>
      <c r="L37" s="765"/>
      <c r="M37" s="765"/>
      <c r="N37" s="765"/>
      <c r="O37" s="765"/>
      <c r="P37" s="765"/>
      <c r="Q37" s="765"/>
    </row>
    <row r="38" spans="1:17" ht="14.4" x14ac:dyDescent="0.3">
      <c r="A38" s="135">
        <v>20</v>
      </c>
      <c r="B38" s="135" t="s">
        <v>104</v>
      </c>
      <c r="C38" s="126" t="s">
        <v>87</v>
      </c>
      <c r="D38" s="126">
        <v>2500</v>
      </c>
      <c r="E38" s="126"/>
      <c r="F38" s="766"/>
      <c r="G38" s="766"/>
      <c r="H38" s="766"/>
      <c r="I38" s="765"/>
      <c r="J38" s="765"/>
      <c r="K38" s="765"/>
      <c r="L38" s="765"/>
      <c r="M38" s="765"/>
      <c r="N38" s="765"/>
      <c r="O38" s="765"/>
      <c r="P38" s="765"/>
      <c r="Q38" s="765"/>
    </row>
    <row r="39" spans="1:17" ht="14.4" x14ac:dyDescent="0.3">
      <c r="A39" s="134">
        <v>21</v>
      </c>
      <c r="B39" s="134" t="s">
        <v>105</v>
      </c>
      <c r="C39" s="694" t="s">
        <v>106</v>
      </c>
      <c r="D39" s="694">
        <v>1450</v>
      </c>
      <c r="E39" s="694"/>
      <c r="F39" s="766"/>
      <c r="G39" s="766"/>
      <c r="H39" s="766"/>
      <c r="I39" s="765"/>
      <c r="J39" s="765"/>
      <c r="K39" s="765"/>
      <c r="L39" s="765"/>
      <c r="M39" s="765"/>
      <c r="N39" s="765"/>
      <c r="O39" s="765"/>
      <c r="P39" s="765"/>
      <c r="Q39" s="765"/>
    </row>
    <row r="40" spans="1:17" ht="14.4" x14ac:dyDescent="0.3">
      <c r="A40" s="135">
        <v>22</v>
      </c>
      <c r="B40" s="135" t="s">
        <v>107</v>
      </c>
      <c r="C40" s="126" t="s">
        <v>106</v>
      </c>
      <c r="D40" s="126">
        <v>750</v>
      </c>
      <c r="E40" s="126"/>
      <c r="F40" s="766"/>
      <c r="G40" s="766"/>
      <c r="H40" s="766"/>
      <c r="I40" s="765"/>
      <c r="J40" s="765"/>
      <c r="K40" s="765"/>
      <c r="L40" s="765"/>
      <c r="M40" s="765"/>
      <c r="N40" s="765"/>
      <c r="O40" s="765"/>
      <c r="P40" s="765"/>
      <c r="Q40" s="765"/>
    </row>
    <row r="41" spans="1:17" ht="15" thickBot="1" x14ac:dyDescent="0.35">
      <c r="A41" s="695">
        <v>23</v>
      </c>
      <c r="B41" s="695" t="s">
        <v>108</v>
      </c>
      <c r="C41" s="696" t="s">
        <v>109</v>
      </c>
      <c r="D41" s="696">
        <v>3000</v>
      </c>
      <c r="E41" s="696"/>
      <c r="F41" s="766"/>
      <c r="G41" s="766"/>
      <c r="H41" s="766"/>
      <c r="I41" s="765"/>
      <c r="J41" s="765"/>
      <c r="K41" s="765"/>
      <c r="L41" s="765"/>
      <c r="M41" s="765"/>
      <c r="N41" s="765"/>
      <c r="O41" s="765"/>
      <c r="P41" s="765"/>
      <c r="Q41" s="765"/>
    </row>
    <row r="42" spans="1:17" ht="15.6" thickTop="1" thickBot="1" x14ac:dyDescent="0.35">
      <c r="A42" s="837"/>
      <c r="B42" s="837"/>
      <c r="C42" s="655"/>
      <c r="D42" s="136"/>
      <c r="E42" s="655"/>
      <c r="F42" s="766"/>
      <c r="G42" s="766"/>
      <c r="H42" s="766"/>
      <c r="I42" s="765"/>
      <c r="J42" s="765"/>
      <c r="K42" s="765"/>
      <c r="L42" s="765"/>
      <c r="M42" s="765"/>
      <c r="N42" s="765"/>
      <c r="O42" s="765"/>
      <c r="P42" s="765"/>
      <c r="Q42" s="765"/>
    </row>
    <row r="43" spans="1:17" ht="15" thickTop="1" x14ac:dyDescent="0.3">
      <c r="C43" s="94"/>
      <c r="D43" s="94"/>
      <c r="E43" s="94" t="s">
        <v>40</v>
      </c>
      <c r="F43" s="766"/>
      <c r="G43" s="766"/>
      <c r="H43" s="766"/>
      <c r="I43" s="765"/>
      <c r="J43" s="765"/>
      <c r="K43" s="765"/>
      <c r="L43" s="765"/>
      <c r="M43" s="765"/>
      <c r="N43" s="765"/>
      <c r="O43" s="765"/>
      <c r="P43" s="765"/>
      <c r="Q43" s="765"/>
    </row>
    <row r="44" spans="1:17" ht="19.95" customHeight="1" x14ac:dyDescent="0.3">
      <c r="A44" s="245" t="s">
        <v>110</v>
      </c>
      <c r="B44" s="246"/>
      <c r="C44" s="247"/>
      <c r="D44" s="247"/>
      <c r="E44" s="247"/>
      <c r="F44" s="766"/>
      <c r="G44" s="766"/>
      <c r="H44" s="766"/>
      <c r="I44" s="765"/>
      <c r="J44" s="765"/>
      <c r="K44" s="765"/>
      <c r="L44" s="765"/>
      <c r="M44" s="765"/>
      <c r="N44" s="765"/>
      <c r="O44" s="765"/>
      <c r="P44" s="765"/>
      <c r="Q44" s="765"/>
    </row>
    <row r="45" spans="1:17" ht="14.4" x14ac:dyDescent="0.3">
      <c r="A45" s="830" t="s">
        <v>111</v>
      </c>
      <c r="B45" s="830"/>
      <c r="C45" s="830"/>
      <c r="D45" s="830"/>
      <c r="E45" s="830"/>
      <c r="F45" s="766"/>
      <c r="G45" s="766"/>
      <c r="H45" s="766"/>
      <c r="I45" s="765"/>
      <c r="J45" s="765"/>
      <c r="K45" s="765"/>
      <c r="L45" s="765"/>
      <c r="M45" s="765"/>
      <c r="N45" s="765"/>
      <c r="O45" s="765"/>
      <c r="P45" s="765"/>
      <c r="Q45" s="765"/>
    </row>
    <row r="46" spans="1:17" ht="14.4" x14ac:dyDescent="0.3">
      <c r="A46" s="830" t="s">
        <v>112</v>
      </c>
      <c r="B46" s="830"/>
      <c r="C46" s="830"/>
      <c r="D46" s="830"/>
      <c r="E46" s="830"/>
      <c r="F46" s="766"/>
      <c r="G46" s="766"/>
      <c r="H46" s="766"/>
      <c r="I46" s="765"/>
      <c r="J46" s="765"/>
      <c r="K46" s="765"/>
      <c r="L46" s="765"/>
      <c r="M46" s="765"/>
      <c r="N46" s="765"/>
      <c r="O46" s="765"/>
      <c r="P46" s="765"/>
      <c r="Q46" s="765"/>
    </row>
    <row r="47" spans="1:17" ht="14.4" x14ac:dyDescent="0.3">
      <c r="A47" s="830" t="s">
        <v>1350</v>
      </c>
      <c r="B47" s="830"/>
      <c r="C47" s="830"/>
      <c r="D47" s="830"/>
      <c r="E47" s="830"/>
      <c r="F47" s="766"/>
      <c r="G47" s="766"/>
      <c r="H47" s="766"/>
      <c r="I47" s="765"/>
      <c r="J47" s="765"/>
      <c r="K47" s="765"/>
      <c r="L47" s="765"/>
      <c r="M47" s="765"/>
      <c r="N47" s="765"/>
      <c r="O47" s="765"/>
      <c r="P47" s="765"/>
      <c r="Q47" s="765"/>
    </row>
    <row r="48" spans="1:17" ht="14.4" x14ac:dyDescent="0.3">
      <c r="A48" s="830" t="s">
        <v>113</v>
      </c>
      <c r="B48" s="830"/>
      <c r="C48" s="830"/>
      <c r="D48" s="830"/>
      <c r="E48" s="830"/>
      <c r="F48" s="766"/>
      <c r="G48" s="766"/>
      <c r="H48" s="766"/>
      <c r="I48" s="765"/>
      <c r="J48" s="765"/>
      <c r="K48" s="765"/>
      <c r="L48" s="765"/>
      <c r="M48" s="765"/>
      <c r="N48" s="765"/>
      <c r="O48" s="765"/>
      <c r="P48" s="765"/>
      <c r="Q48" s="765"/>
    </row>
    <row r="49" spans="1:17" ht="14.4" x14ac:dyDescent="0.3">
      <c r="A49" s="830" t="s">
        <v>114</v>
      </c>
      <c r="B49" s="830"/>
      <c r="C49" s="830"/>
      <c r="D49" s="830"/>
      <c r="E49" s="830"/>
      <c r="F49" s="766"/>
      <c r="G49" s="766"/>
      <c r="H49" s="766"/>
      <c r="I49" s="765"/>
      <c r="J49" s="765"/>
      <c r="K49" s="765"/>
      <c r="L49" s="765"/>
      <c r="M49" s="765"/>
      <c r="N49" s="765"/>
      <c r="O49" s="765"/>
      <c r="P49" s="765"/>
      <c r="Q49" s="765"/>
    </row>
    <row r="50" spans="1:17" ht="14.4" x14ac:dyDescent="0.3">
      <c r="A50" s="830" t="s">
        <v>115</v>
      </c>
      <c r="B50" s="830"/>
      <c r="C50" s="830"/>
      <c r="D50" s="830"/>
      <c r="E50" s="830"/>
      <c r="F50" s="766"/>
      <c r="G50" s="766"/>
      <c r="H50" s="766"/>
      <c r="I50" s="765"/>
      <c r="J50" s="765"/>
      <c r="K50" s="765"/>
      <c r="L50" s="765"/>
      <c r="M50" s="765"/>
      <c r="N50" s="765"/>
      <c r="O50" s="765"/>
      <c r="P50" s="765"/>
      <c r="Q50" s="765"/>
    </row>
    <row r="51" spans="1:17" ht="14.4" x14ac:dyDescent="0.3">
      <c r="A51" s="830" t="s">
        <v>116</v>
      </c>
      <c r="B51" s="830"/>
      <c r="C51" s="830"/>
      <c r="D51" s="830"/>
      <c r="E51" s="830"/>
      <c r="F51" s="766"/>
      <c r="G51" s="766"/>
      <c r="H51" s="766"/>
      <c r="I51" s="765"/>
      <c r="J51" s="765"/>
      <c r="K51" s="765"/>
      <c r="L51" s="765"/>
      <c r="M51" s="765"/>
      <c r="N51" s="765"/>
      <c r="O51" s="765"/>
      <c r="P51" s="765"/>
      <c r="Q51" s="765"/>
    </row>
    <row r="52" spans="1:17" ht="14.4" x14ac:dyDescent="0.3">
      <c r="A52" s="830" t="s">
        <v>117</v>
      </c>
      <c r="B52" s="830"/>
      <c r="C52" s="830"/>
      <c r="D52" s="830"/>
      <c r="E52" s="830"/>
      <c r="F52" s="766"/>
      <c r="G52" s="766"/>
      <c r="H52" s="766"/>
      <c r="I52" s="765"/>
      <c r="J52" s="765"/>
      <c r="K52" s="765"/>
      <c r="L52" s="765"/>
      <c r="M52" s="765"/>
      <c r="N52" s="765"/>
      <c r="O52" s="765"/>
      <c r="P52" s="765"/>
      <c r="Q52" s="765"/>
    </row>
    <row r="53" spans="1:17" ht="14.4" x14ac:dyDescent="0.3">
      <c r="A53" s="830" t="s">
        <v>118</v>
      </c>
      <c r="B53" s="830"/>
      <c r="C53" s="830"/>
      <c r="D53" s="830"/>
      <c r="E53" s="830"/>
      <c r="F53" s="766"/>
      <c r="G53" s="766"/>
      <c r="H53" s="765"/>
      <c r="I53" s="765"/>
      <c r="J53" s="765"/>
      <c r="K53" s="765"/>
      <c r="L53" s="765"/>
      <c r="M53" s="765"/>
      <c r="N53" s="765"/>
      <c r="O53" s="765"/>
      <c r="P53" s="765"/>
      <c r="Q53" s="765"/>
    </row>
    <row r="54" spans="1:17" ht="14.4" x14ac:dyDescent="0.3">
      <c r="A54" s="830" t="s">
        <v>119</v>
      </c>
      <c r="B54" s="830"/>
      <c r="C54" s="830"/>
      <c r="D54" s="830"/>
      <c r="E54" s="830"/>
      <c r="I54" s="144"/>
      <c r="K54" s="144"/>
      <c r="L54" s="144"/>
      <c r="M54" s="144"/>
      <c r="N54" s="144"/>
      <c r="O54" s="144"/>
      <c r="P54" s="144"/>
      <c r="Q54" s="144"/>
    </row>
    <row r="55" spans="1:17" ht="19.95" customHeight="1" x14ac:dyDescent="0.3">
      <c r="A55" s="830"/>
      <c r="B55" s="830"/>
      <c r="C55" s="830"/>
      <c r="D55" s="830"/>
      <c r="E55" s="830"/>
      <c r="I55" s="144"/>
      <c r="K55" s="144"/>
      <c r="L55" s="144"/>
      <c r="M55" s="144"/>
      <c r="N55" s="144"/>
      <c r="O55" s="144"/>
      <c r="P55" s="144"/>
      <c r="Q55" s="144"/>
    </row>
    <row r="56" spans="1:17" ht="19.95" customHeight="1" x14ac:dyDescent="0.3">
      <c r="C56" s="95"/>
      <c r="D56" s="96" t="s">
        <v>120</v>
      </c>
      <c r="E56" s="97" t="s">
        <v>121</v>
      </c>
      <c r="I56" s="144"/>
      <c r="K56" s="144"/>
      <c r="L56" s="144"/>
      <c r="M56" s="144"/>
      <c r="N56" s="144"/>
      <c r="O56" s="144"/>
      <c r="P56" s="144"/>
      <c r="Q56" s="144"/>
    </row>
    <row r="57" spans="1:17" ht="19.95" customHeight="1" x14ac:dyDescent="0.3">
      <c r="I57" s="144"/>
      <c r="K57" s="144"/>
      <c r="L57" s="144"/>
      <c r="M57" s="144"/>
      <c r="N57" s="144"/>
      <c r="O57" s="144"/>
      <c r="P57" s="144"/>
      <c r="Q57" s="144"/>
    </row>
    <row r="58" spans="1:17" ht="19.95" customHeight="1" x14ac:dyDescent="0.3">
      <c r="I58" s="144"/>
      <c r="K58" s="144"/>
      <c r="L58" s="144"/>
      <c r="M58" s="144"/>
      <c r="N58" s="144"/>
      <c r="O58" s="144"/>
      <c r="P58" s="144"/>
      <c r="Q58" s="144"/>
    </row>
  </sheetData>
  <sheetProtection formatCells="0" formatColumns="0" formatRows="0" insertColumns="0" insertRows="0" sort="0" autoFilter="0"/>
  <sortState xmlns:xlrd2="http://schemas.microsoft.com/office/spreadsheetml/2017/richdata2" ref="K12:P17">
    <sortCondition ref="K12"/>
    <sortCondition ref="L12"/>
  </sortState>
  <mergeCells count="17">
    <mergeCell ref="A5:B5"/>
    <mergeCell ref="A42:B42"/>
    <mergeCell ref="A9:B9"/>
    <mergeCell ref="A10:B10"/>
    <mergeCell ref="A45:E45"/>
    <mergeCell ref="A50:E50"/>
    <mergeCell ref="A54:E54"/>
    <mergeCell ref="A55:E55"/>
    <mergeCell ref="A7:B7"/>
    <mergeCell ref="A8:B8"/>
    <mergeCell ref="A47:E47"/>
    <mergeCell ref="A48:E48"/>
    <mergeCell ref="A49:E49"/>
    <mergeCell ref="A51:E51"/>
    <mergeCell ref="A52:E52"/>
    <mergeCell ref="A53:E53"/>
    <mergeCell ref="A46:E46"/>
  </mergeCells>
  <phoneticPr fontId="35" type="noConversion"/>
  <conditionalFormatting sqref="G1">
    <cfRule type="duplicateValues" dxfId="631" priority="222"/>
  </conditionalFormatting>
  <conditionalFormatting sqref="A42 C42">
    <cfRule type="duplicateValues" dxfId="630" priority="221"/>
  </conditionalFormatting>
  <conditionalFormatting sqref="D12:E12">
    <cfRule type="duplicateValues" dxfId="629" priority="219"/>
  </conditionalFormatting>
  <conditionalFormatting sqref="A34 C34">
    <cfRule type="duplicateValues" dxfId="628" priority="218"/>
  </conditionalFormatting>
  <conditionalFormatting sqref="C22">
    <cfRule type="duplicateValues" dxfId="627" priority="223"/>
  </conditionalFormatting>
  <conditionalFormatting sqref="E22">
    <cfRule type="duplicateValues" dxfId="626" priority="224"/>
  </conditionalFormatting>
  <conditionalFormatting sqref="E34">
    <cfRule type="duplicateValues" dxfId="625" priority="217"/>
  </conditionalFormatting>
  <conditionalFormatting sqref="E42">
    <cfRule type="duplicateValues" dxfId="624" priority="216"/>
  </conditionalFormatting>
  <conditionalFormatting sqref="D22">
    <cfRule type="duplicateValues" dxfId="623" priority="214"/>
  </conditionalFormatting>
  <conditionalFormatting sqref="C24 E24">
    <cfRule type="duplicateValues" dxfId="622" priority="212"/>
  </conditionalFormatting>
  <conditionalFormatting sqref="A22">
    <cfRule type="duplicateValues" dxfId="621" priority="208"/>
  </conditionalFormatting>
  <conditionalFormatting sqref="A12">
    <cfRule type="duplicateValues" dxfId="620" priority="173"/>
  </conditionalFormatting>
  <conditionalFormatting sqref="A24">
    <cfRule type="duplicateValues" dxfId="619" priority="165"/>
  </conditionalFormatting>
  <conditionalFormatting sqref="D34">
    <cfRule type="duplicateValues" dxfId="618" priority="106"/>
  </conditionalFormatting>
  <conditionalFormatting sqref="D24">
    <cfRule type="duplicateValues" dxfId="617" priority="105"/>
  </conditionalFormatting>
  <conditionalFormatting sqref="D42">
    <cfRule type="duplicateValues" dxfId="616" priority="104"/>
  </conditionalFormatting>
  <conditionalFormatting sqref="A36">
    <cfRule type="duplicateValues" dxfId="615" priority="92"/>
  </conditionalFormatting>
  <conditionalFormatting sqref="C36 E36">
    <cfRule type="duplicateValues" dxfId="614" priority="90"/>
  </conditionalFormatting>
  <conditionalFormatting sqref="D36">
    <cfRule type="duplicateValues" dxfId="613" priority="89"/>
  </conditionalFormatting>
  <conditionalFormatting sqref="C12:E12">
    <cfRule type="duplicateValues" dxfId="612" priority="1"/>
  </conditionalFormatting>
  <dataValidations count="2">
    <dataValidation type="list" allowBlank="1" showInputMessage="1" showErrorMessage="1" sqref="P5:P7" xr:uid="{51DA0285-C4CA-42C4-AC9E-06839936E40F}">
      <formula1>"YES, NO"</formula1>
    </dataValidation>
    <dataValidation type="list" allowBlank="1" showInputMessage="1" showErrorMessage="1" sqref="C8" xr:uid="{F6C7F84C-F184-45D0-8CEB-EB2494DF1743}">
      <formula1>"NON HAZ, HAZ"</formula1>
    </dataValidation>
  </dataValidations>
  <hyperlinks>
    <hyperlink ref="G2" location="INDEX!A1" display="INDEX" xr:uid="{8448493D-8FCB-4BFD-A2EA-144D32BAD84D}"/>
  </hyperlinks>
  <printOptions horizontalCentered="1"/>
  <pageMargins left="0.19685039370078741" right="0.19685039370078741" top="0.19685039370078741" bottom="0.19685039370078741" header="0.19685039370078741" footer="0.19685039370078741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DD7FE41-D407-459E-9DBE-24C91E68AD90}">
          <x14:formula1>
            <xm:f>FILETER!$E$2:$E$500</xm:f>
          </x14:formula1>
          <xm:sqref>C10</xm:sqref>
        </x14:dataValidation>
        <x14:dataValidation type="list" allowBlank="1" showInputMessage="1" showErrorMessage="1" xr:uid="{4A63514A-15F9-4A35-A457-9583869FB0B2}">
          <x14:formula1>
            <xm:f>FILETER!$D$2:$D$260</xm:f>
          </x14:formula1>
          <xm:sqref>C7</xm:sqref>
        </x14:dataValidation>
        <x14:dataValidation type="list" allowBlank="1" showInputMessage="1" showErrorMessage="1" xr:uid="{A88573B0-3286-4E77-942F-EF60C5A096D3}">
          <x14:formula1>
            <xm:f>FILETER!$F$2:$F$26</xm:f>
          </x14:formula1>
          <xm:sqref>E9</xm:sqref>
        </x14:dataValidation>
        <x14:dataValidation type="list" allowBlank="1" showInputMessage="1" showErrorMessage="1" xr:uid="{1AF5D181-F205-4550-82F5-D9316260D94D}">
          <x14:formula1>
            <xm:f>FILETER!$H$2:$H$13</xm:f>
          </x14:formula1>
          <xm:sqref>E56</xm:sqref>
        </x14:dataValidation>
        <x14:dataValidation type="list" allowBlank="1" showInputMessage="1" showErrorMessage="1" xr:uid="{C195B1B4-608D-4AAE-9579-8F9DAFD08C1F}">
          <x14:formula1>
            <xm:f>FILETER!$C$2:$C$240</xm:f>
          </x14:formula1>
          <xm:sqref>E5</xm:sqref>
        </x14:dataValidation>
        <x14:dataValidation type="list" allowBlank="1" showInputMessage="1" showErrorMessage="1" xr:uid="{B1E85B76-1EF6-4400-8719-057CC267FC82}">
          <x14:formula1>
            <xm:f>'RATE SHEET'!$D$1:$D$3921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54B21-7949-41FD-8607-142F97545BD0}">
  <sheetPr codeName="Sheet13">
    <tabColor rgb="FFFFFF00"/>
  </sheetPr>
  <dimension ref="A1:R53"/>
  <sheetViews>
    <sheetView showGridLines="0" showRowColHeaders="0" showRuler="0" showWhiteSpace="0" view="pageLayout" zoomScaleNormal="100" workbookViewId="0">
      <selection activeCell="B6" sqref="B6"/>
    </sheetView>
  </sheetViews>
  <sheetFormatPr defaultRowHeight="14.4" x14ac:dyDescent="0.3"/>
  <cols>
    <col min="1" max="1" width="7" style="147" customWidth="1"/>
    <col min="2" max="2" width="20.88671875" style="147" customWidth="1"/>
    <col min="3" max="3" width="12.6640625" style="147" customWidth="1"/>
    <col min="4" max="4" width="8.5546875" style="156" customWidth="1"/>
    <col min="5" max="6" width="12.6640625" style="147" customWidth="1"/>
    <col min="7" max="7" width="22.109375" style="147" customWidth="1"/>
    <col min="8" max="8" width="4.44140625" style="147" customWidth="1"/>
    <col min="9" max="9" width="11" style="152" customWidth="1"/>
    <col min="10" max="10" width="3.109375" style="147" customWidth="1"/>
    <col min="11" max="11" width="9.33203125" style="147" customWidth="1"/>
    <col min="12" max="12" width="16.6640625" style="147" customWidth="1"/>
    <col min="13" max="13" width="5.109375" style="147" customWidth="1"/>
    <col min="14" max="14" width="8.88671875" style="144"/>
  </cols>
  <sheetData>
    <row r="1" spans="1:18" ht="15.6" thickTop="1" thickBot="1" x14ac:dyDescent="0.35">
      <c r="A1" s="159" t="s">
        <v>38</v>
      </c>
      <c r="B1" s="146"/>
      <c r="C1" s="146"/>
      <c r="D1" s="160"/>
      <c r="E1" s="157" t="s">
        <v>39</v>
      </c>
      <c r="F1" s="161"/>
      <c r="G1" s="161"/>
      <c r="H1" s="276"/>
      <c r="I1" s="162" t="str">
        <f>"LCL FREIGHT QUOTE // "&amp;UPPER(B2)&amp;" // "&amp;UPPER(G5)&amp;" TO "&amp;UPPER(G6)&amp;" // "&amp;UPPER(G8)&amp;" KGS // "&amp;UPPER(G7)</f>
        <v xml:space="preserve">LCL FREIGHT QUOTE //  //  TO  //  KGS // </v>
      </c>
      <c r="J1" s="276" t="s">
        <v>40</v>
      </c>
      <c r="K1" s="141" t="s">
        <v>128</v>
      </c>
      <c r="L1" s="141" t="s">
        <v>129</v>
      </c>
      <c r="M1" s="276"/>
      <c r="N1" s="276"/>
      <c r="O1" s="276"/>
      <c r="P1" s="276"/>
      <c r="Q1" s="276"/>
      <c r="R1" s="276"/>
    </row>
    <row r="2" spans="1:18" ht="15.6" thickTop="1" thickBot="1" x14ac:dyDescent="0.35">
      <c r="B2" s="150"/>
      <c r="D2" s="160"/>
      <c r="E2" s="157" t="s">
        <v>47</v>
      </c>
      <c r="F2" s="161"/>
      <c r="G2" s="161"/>
      <c r="H2" s="276"/>
      <c r="I2" s="151" t="s">
        <v>8</v>
      </c>
      <c r="J2" s="276"/>
      <c r="K2" s="139" t="s">
        <v>54</v>
      </c>
      <c r="L2" s="139"/>
      <c r="M2" s="276"/>
      <c r="N2" s="165">
        <v>92</v>
      </c>
      <c r="O2" s="276"/>
      <c r="P2" s="276"/>
      <c r="Q2" s="276"/>
      <c r="R2" s="276"/>
    </row>
    <row r="3" spans="1:18" ht="15.6" thickTop="1" thickBot="1" x14ac:dyDescent="0.35">
      <c r="B3" s="170"/>
      <c r="D3" s="160"/>
      <c r="E3" s="157" t="s">
        <v>50</v>
      </c>
      <c r="F3" s="171"/>
      <c r="G3" s="171"/>
      <c r="H3" s="276"/>
      <c r="I3" s="276"/>
      <c r="J3" s="276"/>
      <c r="K3" s="140" t="s">
        <v>56</v>
      </c>
      <c r="L3" s="140"/>
      <c r="M3" s="276"/>
      <c r="N3" s="173"/>
      <c r="O3" s="276"/>
      <c r="P3" s="276"/>
      <c r="Q3" s="276"/>
      <c r="R3" s="276"/>
    </row>
    <row r="4" spans="1:18" ht="15.6" thickTop="1" thickBot="1" x14ac:dyDescent="0.35">
      <c r="D4" s="176"/>
      <c r="H4" s="276"/>
      <c r="I4" s="276"/>
      <c r="J4" s="276"/>
      <c r="K4" s="143" t="s">
        <v>55</v>
      </c>
      <c r="L4" s="143">
        <f>L3-L2</f>
        <v>0</v>
      </c>
      <c r="M4" s="276"/>
      <c r="N4" s="276"/>
      <c r="O4" s="276"/>
      <c r="P4" s="276"/>
      <c r="Q4" s="276"/>
      <c r="R4" s="276"/>
    </row>
    <row r="5" spans="1:18" ht="15.6" thickTop="1" thickBot="1" x14ac:dyDescent="0.35">
      <c r="A5" s="167" t="s">
        <v>130</v>
      </c>
      <c r="B5" s="180"/>
      <c r="C5" s="851"/>
      <c r="D5" s="852"/>
      <c r="E5" s="853" t="s">
        <v>131</v>
      </c>
      <c r="F5" s="854"/>
      <c r="G5" s="169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</row>
    <row r="6" spans="1:18" ht="15.6" thickTop="1" thickBot="1" x14ac:dyDescent="0.35">
      <c r="A6" s="174"/>
      <c r="B6" s="318"/>
      <c r="C6" s="310"/>
      <c r="D6" s="185"/>
      <c r="E6" s="849" t="s">
        <v>132</v>
      </c>
      <c r="F6" s="850"/>
      <c r="G6" s="186"/>
      <c r="H6" s="276"/>
      <c r="I6" s="276"/>
      <c r="J6" s="276"/>
      <c r="K6" s="143" t="s">
        <v>71</v>
      </c>
      <c r="L6" s="143">
        <f>(L4*C8)</f>
        <v>0</v>
      </c>
      <c r="M6" s="276"/>
      <c r="N6" s="276"/>
      <c r="O6" s="276"/>
      <c r="P6" s="276"/>
      <c r="Q6" s="276"/>
      <c r="R6" s="276"/>
    </row>
    <row r="7" spans="1:18" ht="15.6" thickTop="1" thickBot="1" x14ac:dyDescent="0.35">
      <c r="A7" s="853" t="s">
        <v>133</v>
      </c>
      <c r="B7" s="854"/>
      <c r="C7" s="316" t="s">
        <v>22</v>
      </c>
      <c r="D7" s="317"/>
      <c r="E7" s="853" t="s">
        <v>66</v>
      </c>
      <c r="F7" s="854"/>
      <c r="G7" s="190"/>
      <c r="H7" s="276"/>
      <c r="I7" s="276"/>
      <c r="J7" s="276"/>
      <c r="K7" s="140" t="s">
        <v>71</v>
      </c>
      <c r="L7" s="391">
        <f>L6*C9</f>
        <v>0</v>
      </c>
      <c r="M7" s="276"/>
      <c r="N7" s="276"/>
      <c r="O7" s="276"/>
      <c r="P7" s="276"/>
      <c r="Q7" s="276"/>
      <c r="R7" s="276"/>
    </row>
    <row r="8" spans="1:18" ht="15" thickTop="1" x14ac:dyDescent="0.3">
      <c r="A8" s="847" t="s">
        <v>134</v>
      </c>
      <c r="B8" s="848"/>
      <c r="C8" s="314"/>
      <c r="D8" s="315"/>
      <c r="E8" s="847" t="s">
        <v>68</v>
      </c>
      <c r="F8" s="848"/>
      <c r="G8" s="193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</row>
    <row r="9" spans="1:18" ht="15" thickBot="1" x14ac:dyDescent="0.35">
      <c r="A9" s="849" t="s">
        <v>135</v>
      </c>
      <c r="B9" s="850"/>
      <c r="C9" s="775">
        <v>92</v>
      </c>
      <c r="D9" s="313"/>
      <c r="E9" s="849" t="s">
        <v>67</v>
      </c>
      <c r="F9" s="850"/>
      <c r="G9" s="195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</row>
    <row r="10" spans="1:18" ht="15.6" thickTop="1" thickBot="1" x14ac:dyDescent="0.35">
      <c r="A10" s="199"/>
      <c r="B10" s="199"/>
      <c r="C10" s="199"/>
      <c r="D10" s="200"/>
      <c r="E10" s="199"/>
      <c r="F10" s="199"/>
      <c r="G10" s="202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</row>
    <row r="11" spans="1:18" ht="15.6" thickTop="1" thickBot="1" x14ac:dyDescent="0.35">
      <c r="A11" s="207" t="s">
        <v>74</v>
      </c>
      <c r="B11" s="208" t="s">
        <v>136</v>
      </c>
      <c r="C11" s="208" t="s">
        <v>137</v>
      </c>
      <c r="D11" s="210" t="s">
        <v>138</v>
      </c>
      <c r="E11" s="208" t="s">
        <v>139</v>
      </c>
      <c r="F11" s="208" t="s">
        <v>91</v>
      </c>
      <c r="G11" s="208" t="s">
        <v>76</v>
      </c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6"/>
    </row>
    <row r="12" spans="1:18" ht="15" thickTop="1" x14ac:dyDescent="0.3">
      <c r="A12" s="196">
        <v>1</v>
      </c>
      <c r="B12" s="211" t="s">
        <v>81</v>
      </c>
      <c r="C12" s="211" t="s">
        <v>140</v>
      </c>
      <c r="D12" s="212">
        <f>$C$8</f>
        <v>0</v>
      </c>
      <c r="E12" s="214">
        <f>L3</f>
        <v>0</v>
      </c>
      <c r="F12" s="214">
        <f t="shared" ref="F12:F24" si="0">IF(E12="", "-", IF(ISNUMBER(E12), E12*D12, (SUBSTITUTE(E12,"$","")*D12)*$C$9))</f>
        <v>0</v>
      </c>
      <c r="G12" s="211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6"/>
    </row>
    <row r="13" spans="1:18" x14ac:dyDescent="0.3">
      <c r="A13" s="204">
        <v>2</v>
      </c>
      <c r="B13" s="205" t="s">
        <v>83</v>
      </c>
      <c r="C13" s="215" t="s">
        <v>140</v>
      </c>
      <c r="D13" s="216">
        <f>$C$8</f>
        <v>0</v>
      </c>
      <c r="E13" s="206"/>
      <c r="F13" s="206" t="str">
        <f t="shared" si="0"/>
        <v>-</v>
      </c>
      <c r="G13" s="215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</row>
    <row r="14" spans="1:18" x14ac:dyDescent="0.3">
      <c r="A14" s="196">
        <v>3</v>
      </c>
      <c r="B14" s="211" t="s">
        <v>141</v>
      </c>
      <c r="C14" s="211" t="s">
        <v>87</v>
      </c>
      <c r="D14" s="212">
        <v>1</v>
      </c>
      <c r="E14" s="198"/>
      <c r="F14" s="198" t="str">
        <f t="shared" si="0"/>
        <v>-</v>
      </c>
      <c r="G14" s="211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</row>
    <row r="15" spans="1:18" x14ac:dyDescent="0.3">
      <c r="A15" s="204">
        <v>4</v>
      </c>
      <c r="B15" s="205" t="s">
        <v>94</v>
      </c>
      <c r="C15" s="215" t="s">
        <v>87</v>
      </c>
      <c r="D15" s="216">
        <v>1</v>
      </c>
      <c r="E15" s="206"/>
      <c r="F15" s="206" t="str">
        <f t="shared" si="0"/>
        <v>-</v>
      </c>
      <c r="G15" s="215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6"/>
    </row>
    <row r="16" spans="1:18" x14ac:dyDescent="0.3">
      <c r="A16" s="196">
        <v>5</v>
      </c>
      <c r="B16" s="211" t="s">
        <v>93</v>
      </c>
      <c r="C16" s="211" t="s">
        <v>87</v>
      </c>
      <c r="D16" s="212">
        <v>1</v>
      </c>
      <c r="E16" s="198"/>
      <c r="F16" s="198" t="str">
        <f t="shared" si="0"/>
        <v>-</v>
      </c>
      <c r="G16" s="211"/>
      <c r="H16" s="276"/>
      <c r="I16" s="276"/>
      <c r="J16" s="276"/>
      <c r="K16" s="276"/>
      <c r="L16" s="276"/>
      <c r="M16" s="276"/>
      <c r="N16" s="276"/>
      <c r="O16" s="276"/>
      <c r="P16" s="276"/>
      <c r="Q16" s="276"/>
      <c r="R16" s="276"/>
    </row>
    <row r="17" spans="1:18" x14ac:dyDescent="0.3">
      <c r="A17" s="204">
        <v>6</v>
      </c>
      <c r="B17" s="205" t="s">
        <v>143</v>
      </c>
      <c r="C17" s="215" t="s">
        <v>87</v>
      </c>
      <c r="D17" s="216">
        <v>0</v>
      </c>
      <c r="E17" s="206"/>
      <c r="F17" s="206" t="str">
        <f t="shared" si="0"/>
        <v>-</v>
      </c>
      <c r="G17" s="215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276"/>
    </row>
    <row r="18" spans="1:18" x14ac:dyDescent="0.3">
      <c r="A18" s="196">
        <v>7</v>
      </c>
      <c r="B18" s="211" t="s">
        <v>144</v>
      </c>
      <c r="C18" s="211" t="s">
        <v>87</v>
      </c>
      <c r="D18" s="212">
        <v>0</v>
      </c>
      <c r="E18" s="198"/>
      <c r="F18" s="198" t="str">
        <f t="shared" si="0"/>
        <v>-</v>
      </c>
      <c r="G18" s="211" t="s">
        <v>145</v>
      </c>
      <c r="H18" s="276"/>
      <c r="I18" s="276"/>
      <c r="J18" s="276"/>
      <c r="K18" s="276"/>
      <c r="L18" s="276"/>
      <c r="M18" s="276"/>
      <c r="N18" s="276"/>
      <c r="O18" s="276"/>
      <c r="P18" s="276"/>
      <c r="Q18" s="276"/>
      <c r="R18" s="276"/>
    </row>
    <row r="19" spans="1:18" x14ac:dyDescent="0.3">
      <c r="A19" s="204">
        <v>8</v>
      </c>
      <c r="B19" s="205" t="s">
        <v>146</v>
      </c>
      <c r="C19" s="215" t="s">
        <v>87</v>
      </c>
      <c r="D19" s="216">
        <v>0</v>
      </c>
      <c r="E19" s="206"/>
      <c r="F19" s="206" t="str">
        <f t="shared" si="0"/>
        <v>-</v>
      </c>
      <c r="G19" s="215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276"/>
    </row>
    <row r="20" spans="1:18" x14ac:dyDescent="0.3">
      <c r="A20" s="196">
        <v>9</v>
      </c>
      <c r="B20" s="211" t="s">
        <v>89</v>
      </c>
      <c r="C20" s="211" t="s">
        <v>87</v>
      </c>
      <c r="D20" s="212">
        <v>0</v>
      </c>
      <c r="E20" s="198"/>
      <c r="F20" s="198" t="str">
        <f t="shared" si="0"/>
        <v>-</v>
      </c>
      <c r="G20" s="211" t="s">
        <v>145</v>
      </c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6"/>
    </row>
    <row r="21" spans="1:18" x14ac:dyDescent="0.3">
      <c r="A21" s="204">
        <v>10</v>
      </c>
      <c r="B21" s="205" t="s">
        <v>147</v>
      </c>
      <c r="C21" s="215" t="s">
        <v>87</v>
      </c>
      <c r="D21" s="216">
        <v>0</v>
      </c>
      <c r="E21" s="206"/>
      <c r="F21" s="206" t="str">
        <f t="shared" si="0"/>
        <v>-</v>
      </c>
      <c r="G21" s="215"/>
      <c r="H21" s="276"/>
      <c r="I21" s="276"/>
      <c r="J21" s="276"/>
      <c r="K21" s="276"/>
      <c r="L21" s="276"/>
      <c r="M21" s="276"/>
      <c r="N21" s="276"/>
      <c r="O21" s="276"/>
      <c r="P21" s="276"/>
      <c r="Q21" s="276"/>
      <c r="R21" s="276"/>
    </row>
    <row r="22" spans="1:18" x14ac:dyDescent="0.3">
      <c r="A22" s="196">
        <v>11</v>
      </c>
      <c r="B22" s="211" t="s">
        <v>148</v>
      </c>
      <c r="C22" s="211" t="s">
        <v>106</v>
      </c>
      <c r="D22" s="212">
        <f>C8</f>
        <v>0</v>
      </c>
      <c r="E22" s="198"/>
      <c r="F22" s="198" t="str">
        <f t="shared" si="0"/>
        <v>-</v>
      </c>
      <c r="G22" s="211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</row>
    <row r="23" spans="1:18" x14ac:dyDescent="0.3">
      <c r="A23" s="204">
        <v>12</v>
      </c>
      <c r="B23" s="205" t="s">
        <v>149</v>
      </c>
      <c r="C23" s="215" t="s">
        <v>106</v>
      </c>
      <c r="D23" s="216">
        <v>0</v>
      </c>
      <c r="E23" s="206"/>
      <c r="F23" s="206" t="str">
        <f t="shared" si="0"/>
        <v>-</v>
      </c>
      <c r="G23" s="215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</row>
    <row r="24" spans="1:18" ht="15" thickBot="1" x14ac:dyDescent="0.35">
      <c r="A24" s="196">
        <v>13</v>
      </c>
      <c r="B24" s="211" t="s">
        <v>102</v>
      </c>
      <c r="C24" s="211" t="s">
        <v>106</v>
      </c>
      <c r="D24" s="212">
        <v>1</v>
      </c>
      <c r="E24" s="198"/>
      <c r="F24" s="198" t="str">
        <f t="shared" si="0"/>
        <v>-</v>
      </c>
      <c r="G24" s="211" t="s">
        <v>842</v>
      </c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</row>
    <row r="25" spans="1:18" ht="15.6" thickTop="1" thickBot="1" x14ac:dyDescent="0.35">
      <c r="A25" s="208"/>
      <c r="B25" s="208"/>
      <c r="C25" s="208"/>
      <c r="D25" s="208"/>
      <c r="E25" s="208" t="s">
        <v>91</v>
      </c>
      <c r="F25" s="219" cm="1">
        <f t="array" ref="F25">IF(AND(F12&lt;&gt;"",F12&lt;&gt;"-"),VALUE(SUBSTITUTE(F12,"$",""))*$C$9,0)+SUMPRODUCT(IF((F13:F24&lt;&gt;"")*(F13:F24&lt;&gt;"-"),IF(LEFT(F13:F24,1)="$",VALUE(SUBSTITUTE(F13:F24,"$",""))*$C$9,IF(ISNUMBER(F13:F24),F13:F24,0)),0))</f>
        <v>0</v>
      </c>
      <c r="G25" s="219" t="s">
        <v>150</v>
      </c>
      <c r="H25" s="276"/>
      <c r="I25" s="276"/>
      <c r="J25" s="276"/>
      <c r="K25" s="276"/>
      <c r="L25" s="276"/>
      <c r="M25" s="276"/>
      <c r="N25" s="276"/>
      <c r="O25" s="276"/>
      <c r="P25" s="276"/>
      <c r="Q25" s="276"/>
      <c r="R25" s="276"/>
    </row>
    <row r="26" spans="1:18" ht="15" thickTop="1" x14ac:dyDescent="0.3">
      <c r="A26" s="657"/>
      <c r="B26" s="153"/>
      <c r="C26" s="154"/>
      <c r="D26" s="154"/>
      <c r="E26" s="220"/>
      <c r="F26" s="220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6"/>
    </row>
    <row r="27" spans="1:18" x14ac:dyDescent="0.3">
      <c r="A27" s="155" t="s">
        <v>110</v>
      </c>
      <c r="B27" s="153"/>
      <c r="C27" s="154"/>
      <c r="D27" s="154"/>
      <c r="H27" s="276"/>
      <c r="I27" s="276"/>
      <c r="J27" s="276"/>
      <c r="K27" s="276"/>
      <c r="L27" s="276"/>
      <c r="M27" s="276"/>
      <c r="N27" s="276"/>
      <c r="O27" s="276"/>
      <c r="P27" s="276"/>
      <c r="Q27" s="276"/>
      <c r="R27" s="276"/>
    </row>
    <row r="28" spans="1:18" x14ac:dyDescent="0.3">
      <c r="A28" s="855" t="s">
        <v>151</v>
      </c>
      <c r="B28" s="855"/>
      <c r="C28" s="855"/>
      <c r="D28" s="855"/>
      <c r="E28" s="855"/>
      <c r="F28" s="855"/>
      <c r="G28" s="855"/>
      <c r="H28" s="276"/>
      <c r="I28" s="276"/>
      <c r="J28" s="276"/>
      <c r="K28" s="276"/>
      <c r="L28" s="276"/>
      <c r="M28" s="276"/>
      <c r="N28" s="276"/>
      <c r="O28" s="276"/>
      <c r="P28" s="276"/>
      <c r="Q28" s="276"/>
      <c r="R28" s="276"/>
    </row>
    <row r="29" spans="1:18" x14ac:dyDescent="0.3">
      <c r="A29" s="855" t="s">
        <v>152</v>
      </c>
      <c r="B29" s="855"/>
      <c r="C29" s="855"/>
      <c r="D29" s="855"/>
      <c r="E29" s="855"/>
      <c r="F29" s="855"/>
      <c r="G29" s="855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276"/>
    </row>
    <row r="30" spans="1:18" x14ac:dyDescent="0.3">
      <c r="A30" s="855" t="s">
        <v>153</v>
      </c>
      <c r="B30" s="855"/>
      <c r="C30" s="855"/>
      <c r="D30" s="855"/>
      <c r="E30" s="855"/>
      <c r="F30" s="855"/>
      <c r="G30" s="855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6"/>
    </row>
    <row r="31" spans="1:18" x14ac:dyDescent="0.3">
      <c r="A31" s="855" t="s">
        <v>154</v>
      </c>
      <c r="B31" s="855"/>
      <c r="C31" s="855"/>
      <c r="D31" s="855"/>
      <c r="E31" s="855"/>
      <c r="F31" s="855"/>
      <c r="G31" s="855"/>
      <c r="H31" s="276"/>
      <c r="I31" s="276"/>
      <c r="J31" s="276"/>
      <c r="K31" s="276"/>
      <c r="L31" s="276"/>
      <c r="M31" s="276"/>
      <c r="N31" s="276"/>
      <c r="O31" s="276"/>
      <c r="P31" s="276"/>
      <c r="Q31" s="276"/>
      <c r="R31" s="276"/>
    </row>
    <row r="32" spans="1:18" x14ac:dyDescent="0.3">
      <c r="A32" s="855" t="s">
        <v>155</v>
      </c>
      <c r="B32" s="855"/>
      <c r="C32" s="855"/>
      <c r="D32" s="855"/>
      <c r="E32" s="855"/>
      <c r="F32" s="855"/>
      <c r="G32" s="855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6"/>
    </row>
    <row r="33" spans="1:18" x14ac:dyDescent="0.3">
      <c r="A33" s="657"/>
      <c r="B33" s="153"/>
      <c r="C33" s="154"/>
      <c r="D33" s="154"/>
      <c r="E33" s="220"/>
      <c r="F33" s="220"/>
      <c r="H33" s="276"/>
      <c r="I33" s="276"/>
      <c r="J33" s="276"/>
      <c r="K33" s="276"/>
      <c r="L33" s="276"/>
      <c r="M33" s="276"/>
      <c r="N33" s="276"/>
      <c r="O33" s="276"/>
      <c r="P33" s="276"/>
      <c r="Q33" s="276"/>
      <c r="R33" s="276"/>
    </row>
    <row r="34" spans="1:18" x14ac:dyDescent="0.3">
      <c r="A34" s="657"/>
      <c r="B34" s="153"/>
      <c r="C34" s="154"/>
      <c r="D34" s="154"/>
      <c r="E34" s="220"/>
      <c r="F34" s="220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6"/>
    </row>
    <row r="35" spans="1:18" x14ac:dyDescent="0.3">
      <c r="A35" s="657"/>
      <c r="B35" s="153"/>
      <c r="C35" s="154"/>
      <c r="D35" s="154"/>
      <c r="E35" s="220"/>
      <c r="F35" s="220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</row>
    <row r="36" spans="1:18" x14ac:dyDescent="0.3">
      <c r="A36" s="657"/>
      <c r="B36" s="153"/>
      <c r="C36" s="154"/>
      <c r="D36" s="154"/>
      <c r="E36" s="220"/>
      <c r="F36" s="96" t="s">
        <v>120</v>
      </c>
      <c r="G36" s="97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</row>
    <row r="37" spans="1:18" x14ac:dyDescent="0.3">
      <c r="A37" s="657"/>
      <c r="B37" s="153"/>
      <c r="C37" s="154"/>
      <c r="D37" s="154"/>
      <c r="E37" s="226"/>
      <c r="F37" s="226"/>
      <c r="G37" s="227"/>
      <c r="H37" s="276"/>
      <c r="I37" s="276"/>
      <c r="J37" s="276"/>
      <c r="K37" s="276"/>
      <c r="L37" s="276"/>
      <c r="M37" s="276"/>
      <c r="N37" s="276"/>
      <c r="O37" s="276"/>
      <c r="P37" s="276"/>
      <c r="Q37" s="276"/>
      <c r="R37" s="276"/>
    </row>
    <row r="38" spans="1:18" x14ac:dyDescent="0.3">
      <c r="A38" s="226"/>
      <c r="B38" s="226"/>
      <c r="C38" s="226"/>
      <c r="D38" s="229"/>
      <c r="E38" s="226"/>
      <c r="F38" s="226"/>
      <c r="G38" s="227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76"/>
    </row>
    <row r="39" spans="1:18" x14ac:dyDescent="0.3">
      <c r="A39" s="226"/>
      <c r="B39" s="226"/>
      <c r="C39" s="226"/>
      <c r="D39" s="229"/>
      <c r="E39" s="226"/>
      <c r="F39" s="226"/>
      <c r="G39" s="227"/>
      <c r="H39" s="276"/>
      <c r="I39" s="276"/>
      <c r="J39" s="276"/>
      <c r="K39" s="276"/>
      <c r="L39" s="276"/>
      <c r="M39" s="276"/>
      <c r="N39" s="276"/>
      <c r="O39" s="276"/>
      <c r="P39" s="276"/>
      <c r="Q39" s="276"/>
      <c r="R39" s="276"/>
    </row>
    <row r="40" spans="1:18" x14ac:dyDescent="0.3">
      <c r="A40" s="226"/>
      <c r="B40" s="226"/>
      <c r="C40" s="226"/>
      <c r="D40" s="229"/>
      <c r="H40" s="276"/>
      <c r="I40" s="276"/>
      <c r="J40" s="276"/>
      <c r="K40" s="276"/>
      <c r="L40" s="276"/>
      <c r="M40" s="276"/>
      <c r="N40" s="276"/>
      <c r="O40" s="276"/>
      <c r="P40" s="276"/>
      <c r="Q40" s="276"/>
      <c r="R40" s="276"/>
    </row>
    <row r="41" spans="1:18" x14ac:dyDescent="0.3">
      <c r="A41" s="226"/>
      <c r="B41" s="226"/>
      <c r="C41" s="226"/>
      <c r="D41" s="229"/>
      <c r="E41" s="226"/>
      <c r="F41" s="226"/>
      <c r="G41" s="227"/>
      <c r="H41" s="276"/>
      <c r="I41" s="276"/>
      <c r="J41" s="276"/>
      <c r="K41" s="276"/>
      <c r="L41" s="276"/>
      <c r="M41" s="276"/>
      <c r="N41" s="276"/>
      <c r="O41" s="276"/>
      <c r="P41" s="276"/>
      <c r="Q41" s="276"/>
      <c r="R41" s="276"/>
    </row>
    <row r="42" spans="1:18" x14ac:dyDescent="0.3">
      <c r="A42" s="226"/>
      <c r="B42" s="226"/>
      <c r="C42" s="226"/>
      <c r="D42" s="229"/>
      <c r="E42" s="226"/>
      <c r="F42" s="226"/>
      <c r="G42" s="227"/>
      <c r="H42" s="276"/>
      <c r="I42" s="276"/>
      <c r="J42" s="276"/>
      <c r="K42" s="276"/>
      <c r="L42" s="276"/>
      <c r="M42" s="276"/>
      <c r="N42" s="276"/>
      <c r="O42" s="276"/>
      <c r="P42" s="276"/>
      <c r="Q42" s="276"/>
      <c r="R42" s="276"/>
    </row>
    <row r="43" spans="1:18" x14ac:dyDescent="0.3">
      <c r="A43" s="223"/>
      <c r="B43" s="223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6"/>
    </row>
    <row r="44" spans="1:18" x14ac:dyDescent="0.3">
      <c r="A44" s="223"/>
      <c r="B44" s="223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6"/>
    </row>
    <row r="45" spans="1:18" x14ac:dyDescent="0.3">
      <c r="H45" s="276"/>
      <c r="I45" s="276"/>
      <c r="J45" s="276"/>
      <c r="K45" s="276"/>
      <c r="L45" s="276"/>
      <c r="M45" s="276"/>
      <c r="N45" s="276"/>
      <c r="O45" s="276"/>
      <c r="P45" s="276"/>
      <c r="Q45" s="276"/>
      <c r="R45" s="276"/>
    </row>
    <row r="46" spans="1:18" x14ac:dyDescent="0.3"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</row>
    <row r="47" spans="1:18" x14ac:dyDescent="0.3">
      <c r="H47" s="276"/>
      <c r="I47" s="276"/>
      <c r="J47" s="276"/>
      <c r="K47" s="276"/>
      <c r="L47" s="276"/>
      <c r="M47" s="276"/>
      <c r="N47" s="276"/>
      <c r="O47" s="276"/>
      <c r="P47" s="276"/>
      <c r="Q47" s="276"/>
      <c r="R47" s="276"/>
    </row>
    <row r="48" spans="1:18" x14ac:dyDescent="0.3">
      <c r="H48" s="276"/>
      <c r="I48" s="276"/>
      <c r="J48" s="276"/>
      <c r="K48" s="276"/>
      <c r="L48" s="276"/>
      <c r="M48" s="276"/>
      <c r="N48" s="276"/>
      <c r="O48" s="276"/>
      <c r="P48" s="276"/>
      <c r="Q48" s="276"/>
      <c r="R48" s="276"/>
    </row>
    <row r="49" spans="8:18" x14ac:dyDescent="0.3">
      <c r="H49" s="276"/>
      <c r="I49" s="276"/>
      <c r="J49" s="276"/>
      <c r="K49" s="276"/>
      <c r="L49" s="276"/>
      <c r="M49" s="276"/>
      <c r="N49" s="276"/>
      <c r="O49" s="276"/>
      <c r="P49" s="276"/>
      <c r="Q49" s="276"/>
      <c r="R49" s="276"/>
    </row>
    <row r="50" spans="8:18" x14ac:dyDescent="0.3"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</row>
    <row r="51" spans="8:18" x14ac:dyDescent="0.3">
      <c r="H51" s="276"/>
      <c r="I51" s="276"/>
      <c r="J51" s="276"/>
      <c r="K51" s="276"/>
      <c r="L51" s="276"/>
      <c r="M51" s="276"/>
      <c r="N51" s="276"/>
      <c r="O51" s="276"/>
      <c r="P51" s="276"/>
      <c r="Q51" s="276"/>
      <c r="R51" s="276"/>
    </row>
    <row r="52" spans="8:18" x14ac:dyDescent="0.3">
      <c r="H52" s="276"/>
      <c r="I52" s="276"/>
      <c r="J52" s="276"/>
      <c r="K52" s="276"/>
      <c r="L52" s="276"/>
      <c r="M52" s="276"/>
      <c r="N52" s="276"/>
      <c r="O52" s="276"/>
      <c r="P52" s="276"/>
      <c r="Q52" s="276"/>
      <c r="R52" s="276"/>
    </row>
    <row r="53" spans="8:18" x14ac:dyDescent="0.3">
      <c r="H53" s="276"/>
      <c r="I53" s="276"/>
      <c r="J53" s="276"/>
      <c r="K53" s="276"/>
      <c r="L53" s="276"/>
      <c r="M53" s="276"/>
      <c r="N53" s="276"/>
      <c r="O53" s="276"/>
      <c r="P53" s="276"/>
      <c r="Q53" s="276"/>
      <c r="R53" s="276"/>
    </row>
  </sheetData>
  <mergeCells count="14">
    <mergeCell ref="A28:G28"/>
    <mergeCell ref="A29:G29"/>
    <mergeCell ref="A30:G30"/>
    <mergeCell ref="A31:G31"/>
    <mergeCell ref="A32:G32"/>
    <mergeCell ref="A8:B8"/>
    <mergeCell ref="E8:F8"/>
    <mergeCell ref="A9:B9"/>
    <mergeCell ref="E9:F9"/>
    <mergeCell ref="C5:D5"/>
    <mergeCell ref="E5:F5"/>
    <mergeCell ref="E6:F6"/>
    <mergeCell ref="A7:B7"/>
    <mergeCell ref="E7:F7"/>
  </mergeCells>
  <conditionalFormatting sqref="I1">
    <cfRule type="duplicateValues" dxfId="611" priority="6"/>
  </conditionalFormatting>
  <conditionalFormatting sqref="B7 B10">
    <cfRule type="duplicateValues" dxfId="610" priority="4"/>
  </conditionalFormatting>
  <conditionalFormatting sqref="A11:G11">
    <cfRule type="duplicateValues" dxfId="609" priority="3"/>
  </conditionalFormatting>
  <conditionalFormatting sqref="B47:B1048576 B7 B1 B10 B38:B44 B3:B5">
    <cfRule type="duplicateValues" dxfId="608" priority="5"/>
  </conditionalFormatting>
  <conditionalFormatting sqref="A25:E25">
    <cfRule type="duplicateValues" dxfId="607" priority="2"/>
  </conditionalFormatting>
  <conditionalFormatting sqref="F25:G25">
    <cfRule type="duplicateValues" dxfId="606" priority="1"/>
  </conditionalFormatting>
  <dataValidations count="1">
    <dataValidation type="list" allowBlank="1" showInputMessage="1" showErrorMessage="1" sqref="G7" xr:uid="{8C8F1AB1-587B-41DD-B381-7F4171AF6E3C}">
      <formula1>"HAZ, NON HAZ"</formula1>
    </dataValidation>
  </dataValidations>
  <hyperlinks>
    <hyperlink ref="I2" location="INDEX!A1" display="INDEX" xr:uid="{089F7DE1-B3E5-4145-B312-629A14AD952C}"/>
  </hyperlinks>
  <printOptions horizontalCentered="1"/>
  <pageMargins left="0.31496062992125984" right="0.31496062992125984" top="0.31496062992125984" bottom="0.31496062992125984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5250D0F-16FA-405A-A558-408EDBB5CC3B}">
          <x14:formula1>
            <xm:f>FILETER!$H$2:$H$13</xm:f>
          </x14:formula1>
          <xm:sqref>G36</xm:sqref>
        </x14:dataValidation>
        <x14:dataValidation type="list" allowBlank="1" showInputMessage="1" showErrorMessage="1" xr:uid="{2CD1169D-04ED-4A51-B0F9-65D5C88C1993}">
          <x14:formula1>
            <xm:f>FILETER!$C$6:$C$240</xm:f>
          </x14:formula1>
          <xm:sqref>G5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9EBB3-525C-4CF4-8457-4CD170C2633C}">
  <sheetPr codeName="Sheet20"/>
  <dimension ref="A1:AM1"/>
  <sheetViews>
    <sheetView workbookViewId="0"/>
  </sheetViews>
  <sheetFormatPr defaultRowHeight="14.4" x14ac:dyDescent="0.3"/>
  <sheetData>
    <row r="1" spans="1:39" x14ac:dyDescent="0.3">
      <c r="A1" t="s">
        <v>122</v>
      </c>
      <c r="B1">
        <v>-7</v>
      </c>
      <c r="C1" s="10">
        <v>45894</v>
      </c>
      <c r="D1" t="s">
        <v>123</v>
      </c>
      <c r="E1" t="s">
        <v>124</v>
      </c>
      <c r="F1" t="s">
        <v>125</v>
      </c>
      <c r="G1" t="s">
        <v>126</v>
      </c>
      <c r="I1" t="s">
        <v>127</v>
      </c>
      <c r="J1" t="s">
        <v>48</v>
      </c>
      <c r="K1">
        <v>2843</v>
      </c>
      <c r="L1" t="s">
        <v>4</v>
      </c>
      <c r="M1">
        <v>2716</v>
      </c>
      <c r="N1">
        <v>127</v>
      </c>
      <c r="O1" s="10">
        <v>45914</v>
      </c>
      <c r="P1">
        <v>13</v>
      </c>
      <c r="R1" s="496">
        <v>12590</v>
      </c>
      <c r="S1" s="323">
        <v>9</v>
      </c>
      <c r="T1" s="496">
        <v>170</v>
      </c>
      <c r="U1" s="496">
        <v>4900</v>
      </c>
      <c r="V1" s="323">
        <v>30</v>
      </c>
      <c r="W1" s="496">
        <v>2800</v>
      </c>
      <c r="Y1" s="323">
        <v>30</v>
      </c>
      <c r="AK1" t="s">
        <v>128</v>
      </c>
      <c r="AL1">
        <v>8000</v>
      </c>
      <c r="AM1" t="s">
        <v>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22F8F-ED20-45EC-A6DA-E8FC9DC3F101}">
  <sheetPr codeName="Sheet18">
    <tabColor rgb="FFFF0000"/>
    <pageSetUpPr autoPageBreaks="0"/>
  </sheetPr>
  <dimension ref="A1:AQ179"/>
  <sheetViews>
    <sheetView showGridLines="0" tabSelected="1" zoomScale="85" zoomScaleNormal="85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F5" sqref="F5"/>
    </sheetView>
  </sheetViews>
  <sheetFormatPr defaultRowHeight="14.4" x14ac:dyDescent="0.3"/>
  <cols>
    <col min="1" max="1" width="3.109375" customWidth="1"/>
    <col min="2" max="3" width="26.44140625" style="703" customWidth="1"/>
    <col min="4" max="4" width="17.33203125" style="703" customWidth="1"/>
    <col min="5" max="5" width="16.44140625" style="703" customWidth="1"/>
    <col min="6" max="6" width="13.44140625" style="703" customWidth="1"/>
    <col min="7" max="7" width="16.33203125" style="703" customWidth="1"/>
    <col min="8" max="8" width="16.33203125" style="752" customWidth="1"/>
    <col min="9" max="9" width="11.5546875" style="43" customWidth="1"/>
    <col min="10" max="12" width="11.5546875" customWidth="1"/>
    <col min="13" max="15" width="9.5546875" customWidth="1"/>
    <col min="16" max="17" width="24" customWidth="1"/>
    <col min="18" max="18" width="32.33203125" customWidth="1"/>
    <col min="19" max="19" width="16.109375" customWidth="1"/>
    <col min="20" max="20" width="11.5546875" customWidth="1"/>
    <col min="21" max="21" width="19" customWidth="1"/>
    <col min="22" max="22" width="19" style="87" customWidth="1"/>
    <col min="23" max="23" width="12.33203125" style="87" customWidth="1"/>
    <col min="24" max="24" width="6.88671875" customWidth="1"/>
    <col min="25" max="36" width="9.5546875" customWidth="1"/>
    <col min="37" max="37" width="1.88671875" customWidth="1"/>
    <col min="39" max="39" width="72.88671875" bestFit="1" customWidth="1"/>
    <col min="40" max="40" width="19.5546875" customWidth="1"/>
    <col min="41" max="42" width="14.33203125" customWidth="1"/>
    <col min="43" max="43" width="15.5546875" customWidth="1"/>
    <col min="45" max="45" width="2.6640625" customWidth="1"/>
    <col min="46" max="46" width="10.33203125" bestFit="1" customWidth="1"/>
    <col min="47" max="47" width="1.6640625" customWidth="1"/>
    <col min="55" max="55" width="2.6640625" customWidth="1"/>
  </cols>
  <sheetData>
    <row r="1" spans="1:43" ht="18.600000000000001" customHeight="1" thickTop="1" thickBot="1" x14ac:dyDescent="0.35">
      <c r="A1" s="145"/>
      <c r="B1" s="732"/>
      <c r="C1" s="733"/>
      <c r="D1" s="733"/>
      <c r="E1" s="734" t="s">
        <v>40</v>
      </c>
      <c r="F1" s="735" t="s">
        <v>41</v>
      </c>
      <c r="G1" s="736" t="s">
        <v>42</v>
      </c>
      <c r="H1" s="737" t="s">
        <v>43</v>
      </c>
      <c r="I1" s="415" t="s">
        <v>44</v>
      </c>
      <c r="J1" s="416" t="s">
        <v>45</v>
      </c>
      <c r="K1" s="417" t="s">
        <v>46</v>
      </c>
      <c r="L1" s="358"/>
      <c r="M1" s="138"/>
      <c r="N1" s="138"/>
      <c r="O1" s="138"/>
      <c r="P1" s="138"/>
      <c r="Q1" s="138"/>
      <c r="R1" s="138"/>
      <c r="S1" s="138"/>
      <c r="T1" s="138"/>
      <c r="U1" s="138"/>
      <c r="V1" s="485"/>
      <c r="W1" s="485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M1" s="393" t="s">
        <v>227</v>
      </c>
      <c r="AN1" s="394">
        <v>45889.712500000001</v>
      </c>
    </row>
    <row r="2" spans="1:43" ht="18.600000000000001" customHeight="1" thickTop="1" thickBot="1" x14ac:dyDescent="0.35">
      <c r="A2" s="145"/>
      <c r="B2" s="738" t="s">
        <v>232</v>
      </c>
      <c r="C2" s="739">
        <v>1</v>
      </c>
      <c r="D2" s="733"/>
      <c r="E2" s="734" t="s">
        <v>40</v>
      </c>
      <c r="F2" s="740">
        <v>2137</v>
      </c>
      <c r="G2" s="741">
        <f>344+13+12+20</f>
        <v>389</v>
      </c>
      <c r="H2" s="742"/>
      <c r="I2" s="291"/>
      <c r="J2" s="291"/>
      <c r="K2" s="294" t="s">
        <v>49</v>
      </c>
      <c r="L2" s="295"/>
      <c r="M2" s="138"/>
      <c r="N2" s="138"/>
      <c r="O2" s="138"/>
      <c r="P2" s="138"/>
      <c r="Q2" s="138"/>
      <c r="R2" s="138"/>
      <c r="S2" s="138"/>
      <c r="T2" s="138"/>
      <c r="U2" s="138"/>
      <c r="V2" s="485"/>
      <c r="W2" s="485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M2" s="395" t="s">
        <v>228</v>
      </c>
      <c r="AN2" s="396">
        <v>45900</v>
      </c>
    </row>
    <row r="3" spans="1:43" ht="15.6" thickTop="1" thickBot="1" x14ac:dyDescent="0.35">
      <c r="A3" s="145"/>
      <c r="B3" s="743" t="s">
        <v>53</v>
      </c>
      <c r="C3" s="744">
        <f>1000+10560+(16*30)</f>
        <v>12040</v>
      </c>
      <c r="D3" s="733"/>
      <c r="E3" s="734"/>
      <c r="F3" s="734"/>
      <c r="G3" s="734"/>
      <c r="H3" s="734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485"/>
      <c r="W3" s="485"/>
      <c r="X3" s="145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M3" s="398" t="s">
        <v>229</v>
      </c>
      <c r="AN3" s="403">
        <v>88.5</v>
      </c>
    </row>
    <row r="4" spans="1:43" ht="15.6" thickTop="1" thickBot="1" x14ac:dyDescent="0.35">
      <c r="A4" s="145"/>
      <c r="B4" s="745" t="s">
        <v>484</v>
      </c>
      <c r="C4" s="746">
        <v>46096</v>
      </c>
      <c r="D4" s="733"/>
      <c r="E4" s="734"/>
      <c r="F4" s="734"/>
      <c r="G4" s="734"/>
      <c r="H4" s="734"/>
      <c r="I4" s="260" t="s">
        <v>54</v>
      </c>
      <c r="J4" s="264">
        <v>0.05</v>
      </c>
      <c r="K4" s="142" t="s">
        <v>55</v>
      </c>
      <c r="L4" s="140" t="s">
        <v>56</v>
      </c>
      <c r="M4" s="138"/>
      <c r="N4" s="138"/>
      <c r="O4" s="138"/>
      <c r="P4" s="138"/>
      <c r="Q4" s="138"/>
      <c r="R4" s="138"/>
      <c r="S4" s="138"/>
      <c r="T4" s="138"/>
      <c r="U4" s="138"/>
      <c r="V4" s="485"/>
      <c r="W4" s="485"/>
      <c r="X4" s="145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M4" s="400" t="s">
        <v>231</v>
      </c>
      <c r="AN4" s="401" t="s">
        <v>232</v>
      </c>
      <c r="AP4" s="410" t="s">
        <v>232</v>
      </c>
      <c r="AQ4" s="411"/>
    </row>
    <row r="5" spans="1:43" ht="15.6" thickTop="1" thickBot="1" x14ac:dyDescent="0.35">
      <c r="A5" s="145"/>
      <c r="B5" s="747" t="s">
        <v>48</v>
      </c>
      <c r="C5" s="748" t="s">
        <v>128</v>
      </c>
      <c r="D5" s="749"/>
      <c r="E5" s="734"/>
      <c r="F5" s="734"/>
      <c r="G5" s="734"/>
      <c r="H5" s="734"/>
      <c r="I5" s="262">
        <f>IF(F2,SUM(F2:J2,L1:L2),"-")</f>
        <v>2526</v>
      </c>
      <c r="J5" s="413">
        <f>I5*J4</f>
        <v>126.30000000000001</v>
      </c>
      <c r="K5" s="414">
        <v>200</v>
      </c>
      <c r="L5" s="263">
        <f>IF(K5,SUM(I5+K5),"-")</f>
        <v>2726</v>
      </c>
      <c r="M5" s="138"/>
      <c r="N5" s="138"/>
      <c r="O5" s="138"/>
      <c r="P5" s="138"/>
      <c r="Q5" s="138"/>
      <c r="R5" s="138"/>
      <c r="S5" s="138"/>
      <c r="T5" s="138"/>
      <c r="U5" s="138"/>
      <c r="V5" s="485"/>
      <c r="W5" s="485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M5" s="398" t="s">
        <v>233</v>
      </c>
      <c r="AN5" s="399" t="s">
        <v>232</v>
      </c>
      <c r="AP5" s="407" t="s">
        <v>232</v>
      </c>
      <c r="AQ5" s="408"/>
    </row>
    <row r="6" spans="1:43" ht="15.6" thickTop="1" thickBot="1" x14ac:dyDescent="0.35">
      <c r="A6" s="145"/>
      <c r="B6" s="732"/>
      <c r="C6" s="733"/>
      <c r="D6" s="733"/>
      <c r="E6" s="734"/>
      <c r="F6" s="734"/>
      <c r="G6" s="734"/>
      <c r="H6" s="734"/>
      <c r="I6" s="419"/>
      <c r="J6" s="138"/>
      <c r="K6" s="138"/>
      <c r="L6" s="276"/>
      <c r="M6" s="138"/>
      <c r="N6" s="138"/>
      <c r="O6" s="138"/>
      <c r="P6" s="479" t="s">
        <v>234</v>
      </c>
      <c r="Q6" s="480"/>
      <c r="R6" s="481"/>
      <c r="S6" s="394">
        <v>45897.65347222222</v>
      </c>
      <c r="T6" s="145"/>
      <c r="U6" s="466"/>
      <c r="V6" s="453">
        <f>S23*5%</f>
        <v>16377.25</v>
      </c>
      <c r="W6" s="270"/>
      <c r="X6" s="145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M6" s="400" t="s">
        <v>235</v>
      </c>
      <c r="AN6" s="401">
        <v>35400</v>
      </c>
      <c r="AP6" s="406">
        <v>8850</v>
      </c>
      <c r="AQ6" s="399">
        <v>26550</v>
      </c>
    </row>
    <row r="7" spans="1:43" ht="15.6" thickTop="1" thickBot="1" x14ac:dyDescent="0.35">
      <c r="A7" s="145"/>
      <c r="B7" s="732"/>
      <c r="C7" s="732"/>
      <c r="D7" s="732"/>
      <c r="E7" s="732"/>
      <c r="F7" s="734"/>
      <c r="G7" s="734"/>
      <c r="H7" s="732"/>
      <c r="I7" s="145"/>
      <c r="J7" s="145"/>
      <c r="K7" s="145"/>
      <c r="L7" s="276"/>
      <c r="M7" s="138"/>
      <c r="N7" s="138"/>
      <c r="O7" s="138"/>
      <c r="P7" s="476" t="s">
        <v>228</v>
      </c>
      <c r="Q7" s="477"/>
      <c r="R7" s="478"/>
      <c r="S7" s="396">
        <v>45914</v>
      </c>
      <c r="T7" s="145"/>
      <c r="U7" s="466"/>
      <c r="V7" s="270"/>
      <c r="W7" s="270"/>
      <c r="X7" s="145"/>
      <c r="Y7" s="145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M7" s="398" t="s">
        <v>236</v>
      </c>
      <c r="AN7" s="399">
        <v>0</v>
      </c>
      <c r="AP7" s="407">
        <v>0</v>
      </c>
      <c r="AQ7" s="408">
        <v>0</v>
      </c>
    </row>
    <row r="8" spans="1:43" ht="15.6" thickTop="1" thickBot="1" x14ac:dyDescent="0.35">
      <c r="A8" s="145"/>
      <c r="B8" s="732"/>
      <c r="C8" s="732"/>
      <c r="D8" s="732"/>
      <c r="E8" s="732"/>
      <c r="F8" s="732"/>
      <c r="G8" s="732"/>
      <c r="H8" s="732"/>
      <c r="I8" s="145"/>
      <c r="J8" s="145"/>
      <c r="K8" s="145"/>
      <c r="L8" s="145"/>
      <c r="M8" s="145"/>
      <c r="N8" s="138"/>
      <c r="O8" s="138"/>
      <c r="P8" s="467" t="s">
        <v>229</v>
      </c>
      <c r="Q8" s="468"/>
      <c r="R8" s="469"/>
      <c r="S8" s="403">
        <v>88.5</v>
      </c>
      <c r="T8" s="145"/>
      <c r="U8" s="466"/>
      <c r="V8" s="270"/>
      <c r="W8" s="270"/>
      <c r="X8" s="145"/>
      <c r="Y8" s="145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M8" s="400" t="s">
        <v>237</v>
      </c>
      <c r="AN8" s="401">
        <v>14500</v>
      </c>
      <c r="AP8" s="406">
        <v>3000</v>
      </c>
      <c r="AQ8" s="399">
        <v>11500</v>
      </c>
    </row>
    <row r="9" spans="1:43" ht="15.6" thickTop="1" thickBot="1" x14ac:dyDescent="0.35">
      <c r="A9" s="145"/>
      <c r="B9" s="479" t="str">
        <f>" CIF - "&amp;UPPER(B3)&amp;" TO "&amp;UPPER(B4)&amp;" //  FCL RATES"</f>
        <v xml:space="preserve"> CIF - NHAVA SHEVA, IN TO DURBAN, ZA //  FCL RATES</v>
      </c>
      <c r="C9" s="480"/>
      <c r="D9" s="481"/>
      <c r="E9" s="394">
        <v>46086.513888888891</v>
      </c>
      <c r="F9" s="732"/>
      <c r="G9" s="732"/>
      <c r="H9" s="732"/>
      <c r="I9" s="145"/>
      <c r="J9" s="145"/>
      <c r="K9" s="145"/>
      <c r="L9" s="145"/>
      <c r="M9" s="145"/>
      <c r="N9" s="138"/>
      <c r="O9" s="138"/>
      <c r="P9" s="470" t="s">
        <v>231</v>
      </c>
      <c r="Q9" s="471"/>
      <c r="R9" s="472"/>
      <c r="S9" s="401" t="s">
        <v>232</v>
      </c>
      <c r="T9" s="145"/>
      <c r="U9" s="466"/>
      <c r="V9" s="457" t="s">
        <v>232</v>
      </c>
      <c r="W9" s="458"/>
      <c r="X9" s="145"/>
      <c r="Y9" s="145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M9" s="398" t="s">
        <v>238</v>
      </c>
      <c r="AN9" s="399">
        <v>1770</v>
      </c>
      <c r="AP9" s="407">
        <v>1770</v>
      </c>
      <c r="AQ9" s="408">
        <v>0</v>
      </c>
    </row>
    <row r="10" spans="1:43" ht="15.6" thickTop="1" thickBot="1" x14ac:dyDescent="0.35">
      <c r="A10" s="145"/>
      <c r="B10" s="476" t="str">
        <f>" ~ 20 GP  "&amp;" // "&amp;UPPER(C5)&amp;" // "&amp;UPPER(C3)&amp;" KGS"</f>
        <v xml:space="preserve"> ~ 20 GP   // NON HAZ // 12040 KGS</v>
      </c>
      <c r="C10" s="477"/>
      <c r="D10" s="478"/>
      <c r="E10" s="396">
        <f>C4</f>
        <v>46096</v>
      </c>
      <c r="F10" s="732"/>
      <c r="G10" s="732"/>
      <c r="H10" s="732"/>
      <c r="I10" s="145"/>
      <c r="J10" s="145"/>
      <c r="K10" s="145"/>
      <c r="L10" s="145"/>
      <c r="M10" s="145"/>
      <c r="N10" s="138"/>
      <c r="O10" s="138"/>
      <c r="P10" s="473" t="s">
        <v>233</v>
      </c>
      <c r="Q10" s="474"/>
      <c r="R10" s="475"/>
      <c r="S10" s="399" t="s">
        <v>232</v>
      </c>
      <c r="T10" s="145"/>
      <c r="U10" s="466"/>
      <c r="V10" s="453" t="s">
        <v>232</v>
      </c>
      <c r="W10" s="455"/>
      <c r="X10" s="145"/>
      <c r="Y10" s="145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M10" s="400" t="s">
        <v>239</v>
      </c>
      <c r="AN10" s="401">
        <v>3750</v>
      </c>
      <c r="AP10" s="406">
        <v>0</v>
      </c>
      <c r="AQ10" s="399">
        <v>3750</v>
      </c>
    </row>
    <row r="11" spans="1:43" ht="15.6" thickTop="1" thickBot="1" x14ac:dyDescent="0.35">
      <c r="A11" s="145"/>
      <c r="B11" s="467" t="s">
        <v>229</v>
      </c>
      <c r="C11" s="468"/>
      <c r="D11" s="469"/>
      <c r="E11" s="403">
        <v>92</v>
      </c>
      <c r="F11" s="732"/>
      <c r="G11" s="732"/>
      <c r="H11" s="732"/>
      <c r="I11" s="145"/>
      <c r="J11" s="145"/>
      <c r="K11" s="145"/>
      <c r="L11" s="145"/>
      <c r="M11" s="145"/>
      <c r="N11" s="138"/>
      <c r="O11" s="138"/>
      <c r="P11" s="470" t="s">
        <v>240</v>
      </c>
      <c r="Q11" s="471"/>
      <c r="R11" s="472"/>
      <c r="S11" s="401">
        <f>S8*2750</f>
        <v>243375</v>
      </c>
      <c r="T11" s="145"/>
      <c r="U11" s="466"/>
      <c r="V11" s="451">
        <f>S11-W11</f>
        <v>19912.5</v>
      </c>
      <c r="W11" s="454">
        <f>2525*S8</f>
        <v>223462.5</v>
      </c>
      <c r="X11" s="145"/>
      <c r="Y11" s="145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M11" s="398" t="s">
        <v>241</v>
      </c>
      <c r="AN11" s="399">
        <v>14790</v>
      </c>
      <c r="AP11" s="407">
        <v>1000</v>
      </c>
      <c r="AQ11" s="408">
        <v>13790</v>
      </c>
    </row>
    <row r="12" spans="1:43" ht="15.6" thickTop="1" thickBot="1" x14ac:dyDescent="0.35">
      <c r="A12" s="145"/>
      <c r="B12" s="470" t="str">
        <f>" TRANSPORTATION FROM "&amp;(B2)&amp;" TO "&amp;UPPER(B3)&amp;" - "&amp;UPPER(C2)&amp;" VEHICELS"</f>
        <v xml:space="preserve"> TRANSPORTATION FROM - TO NHAVA SHEVA, IN - 1 VEHICELS</v>
      </c>
      <c r="C12" s="471"/>
      <c r="D12" s="472"/>
      <c r="E12" s="401" t="s">
        <v>232</v>
      </c>
      <c r="F12" s="732"/>
      <c r="G12" s="457" t="str">
        <f>IF(OR(H12="-",H12=""),"-",E12-H12)</f>
        <v>-</v>
      </c>
      <c r="H12" s="486"/>
      <c r="I12" s="145"/>
      <c r="J12" s="145"/>
      <c r="K12" s="145"/>
      <c r="L12" s="145"/>
      <c r="M12" s="145"/>
      <c r="N12" s="138"/>
      <c r="O12" s="138"/>
      <c r="P12" s="473" t="s">
        <v>236</v>
      </c>
      <c r="Q12" s="474"/>
      <c r="R12" s="475"/>
      <c r="S12" s="399">
        <v>0</v>
      </c>
      <c r="T12" s="145"/>
      <c r="U12" s="466"/>
      <c r="V12" s="453">
        <f t="shared" ref="V12:V21" si="0">S12-W12</f>
        <v>0</v>
      </c>
      <c r="W12" s="455">
        <v>0</v>
      </c>
      <c r="X12" s="145"/>
      <c r="Y12" s="145"/>
      <c r="Z12" s="138"/>
      <c r="AA12" s="138"/>
      <c r="AB12" s="138"/>
      <c r="AC12" s="138"/>
      <c r="AD12" s="138"/>
      <c r="AE12" s="138"/>
      <c r="AF12" s="138"/>
      <c r="AG12" s="138"/>
      <c r="AH12" s="138"/>
      <c r="AI12" s="138"/>
      <c r="AJ12" s="138"/>
      <c r="AK12" s="138"/>
      <c r="AM12" s="400" t="s">
        <v>242</v>
      </c>
      <c r="AN12" s="401">
        <v>29000</v>
      </c>
      <c r="AP12" s="406">
        <v>0</v>
      </c>
      <c r="AQ12" s="399">
        <v>29000</v>
      </c>
    </row>
    <row r="13" spans="1:43" ht="15" thickTop="1" x14ac:dyDescent="0.3">
      <c r="A13" s="145"/>
      <c r="B13" s="473" t="s">
        <v>233</v>
      </c>
      <c r="C13" s="474"/>
      <c r="D13" s="475"/>
      <c r="E13" s="399" t="s">
        <v>232</v>
      </c>
      <c r="F13" s="732"/>
      <c r="G13" s="453" t="str">
        <f>IF(OR(H13="-",H13=""),"-",E13-H13)</f>
        <v>-</v>
      </c>
      <c r="H13" s="487"/>
      <c r="I13" s="145"/>
      <c r="J13" s="881" t="s">
        <v>48</v>
      </c>
      <c r="K13" s="882"/>
      <c r="L13" s="145"/>
      <c r="M13" s="145"/>
      <c r="N13" s="138"/>
      <c r="O13" s="138"/>
      <c r="P13" s="470" t="s">
        <v>243</v>
      </c>
      <c r="Q13" s="471"/>
      <c r="R13" s="472"/>
      <c r="S13" s="401">
        <v>14500</v>
      </c>
      <c r="T13" s="145"/>
      <c r="U13" s="466"/>
      <c r="V13" s="451">
        <f t="shared" si="0"/>
        <v>4800</v>
      </c>
      <c r="W13" s="454">
        <v>9700</v>
      </c>
      <c r="X13" s="145"/>
      <c r="Y13" s="145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M13" s="398" t="s">
        <v>244</v>
      </c>
      <c r="AN13" s="399">
        <v>5100</v>
      </c>
      <c r="AP13" s="407">
        <v>0</v>
      </c>
      <c r="AQ13" s="408">
        <v>5100</v>
      </c>
    </row>
    <row r="14" spans="1:43" ht="15" thickBot="1" x14ac:dyDescent="0.35">
      <c r="A14" s="145"/>
      <c r="B14" s="470" t="str">
        <f>" SEA FREIGHT  - CIF  $"&amp;UPPER(L5)&amp;""</f>
        <v xml:space="preserve"> SEA FREIGHT  - CIF  $2726</v>
      </c>
      <c r="C14" s="471"/>
      <c r="D14" s="472"/>
      <c r="E14" s="401">
        <f>L5*E11</f>
        <v>250792</v>
      </c>
      <c r="F14" s="732"/>
      <c r="G14" s="451">
        <f>IF(OR(H14="-",H14=""),"-",E14-H14)</f>
        <v>18400</v>
      </c>
      <c r="H14" s="488">
        <f>I5*E11</f>
        <v>232392</v>
      </c>
      <c r="I14" s="145"/>
      <c r="J14" s="883"/>
      <c r="K14" s="884"/>
      <c r="L14" s="145"/>
      <c r="M14" s="145"/>
      <c r="N14" s="138"/>
      <c r="O14" s="138"/>
      <c r="P14" s="473" t="s">
        <v>238</v>
      </c>
      <c r="Q14" s="474"/>
      <c r="R14" s="475"/>
      <c r="S14" s="399">
        <v>1770</v>
      </c>
      <c r="T14" s="145"/>
      <c r="U14" s="466"/>
      <c r="V14" s="453">
        <f t="shared" si="0"/>
        <v>1770</v>
      </c>
      <c r="W14" s="455">
        <v>0</v>
      </c>
      <c r="X14" s="145"/>
      <c r="Y14" s="145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M14" s="400" t="s">
        <v>245</v>
      </c>
      <c r="AN14" s="401">
        <v>0</v>
      </c>
      <c r="AP14" s="406">
        <v>0</v>
      </c>
      <c r="AQ14" s="399">
        <v>0</v>
      </c>
    </row>
    <row r="15" spans="1:43" ht="15.6" thickTop="1" thickBot="1" x14ac:dyDescent="0.35">
      <c r="A15" s="145"/>
      <c r="B15" s="473" t="s">
        <v>246</v>
      </c>
      <c r="C15" s="474"/>
      <c r="D15" s="475"/>
      <c r="E15" s="399" t="s">
        <v>232</v>
      </c>
      <c r="F15" s="732"/>
      <c r="G15" s="453" t="str">
        <f>IF(OR(H15="-",H15=""),"-",E15-H15)</f>
        <v>-</v>
      </c>
      <c r="H15" s="487" t="s">
        <v>232</v>
      </c>
      <c r="I15" s="145"/>
      <c r="J15" s="145"/>
      <c r="K15" s="145"/>
      <c r="L15" s="145"/>
      <c r="M15" s="145"/>
      <c r="N15" s="138"/>
      <c r="O15" s="138"/>
      <c r="P15" s="470" t="s">
        <v>239</v>
      </c>
      <c r="Q15" s="471"/>
      <c r="R15" s="472"/>
      <c r="S15" s="401" t="s">
        <v>232</v>
      </c>
      <c r="T15" s="145"/>
      <c r="U15" s="466"/>
      <c r="V15" s="451" t="s">
        <v>232</v>
      </c>
      <c r="W15" s="454">
        <v>25</v>
      </c>
      <c r="X15" s="145"/>
      <c r="Y15" s="145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M15" s="398" t="s">
        <v>247</v>
      </c>
      <c r="AN15" s="399">
        <v>3500</v>
      </c>
      <c r="AP15" s="407">
        <v>1000</v>
      </c>
      <c r="AQ15" s="408">
        <v>2500</v>
      </c>
    </row>
    <row r="16" spans="1:43" ht="15.6" thickTop="1" thickBot="1" x14ac:dyDescent="0.35">
      <c r="A16" s="145"/>
      <c r="B16" s="470" t="s">
        <v>243</v>
      </c>
      <c r="C16" s="471"/>
      <c r="D16" s="472"/>
      <c r="E16" s="401">
        <v>14500</v>
      </c>
      <c r="F16" s="732"/>
      <c r="G16" s="451">
        <f t="shared" ref="G16:G25" si="1">IF(OR(H16="-",H16=""),"-",E16-H16)</f>
        <v>3567</v>
      </c>
      <c r="H16" s="488">
        <v>10933</v>
      </c>
      <c r="I16" s="145"/>
      <c r="J16" s="420">
        <f>E26*K16</f>
        <v>15524.1</v>
      </c>
      <c r="K16" s="264">
        <v>0.05</v>
      </c>
      <c r="L16" s="145"/>
      <c r="M16" s="145"/>
      <c r="N16" s="138"/>
      <c r="O16" s="138"/>
      <c r="P16" s="473" t="s">
        <v>241</v>
      </c>
      <c r="Q16" s="474"/>
      <c r="R16" s="475"/>
      <c r="S16" s="399">
        <v>15800</v>
      </c>
      <c r="T16" s="145"/>
      <c r="U16" s="466"/>
      <c r="V16" s="453">
        <f t="shared" si="0"/>
        <v>800</v>
      </c>
      <c r="W16" s="455">
        <v>15000</v>
      </c>
      <c r="X16" s="145"/>
      <c r="Y16" s="145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M16" s="400" t="s">
        <v>248</v>
      </c>
      <c r="AN16" s="401">
        <v>14800</v>
      </c>
      <c r="AP16" s="406">
        <v>1300</v>
      </c>
      <c r="AQ16" s="399">
        <v>13500</v>
      </c>
    </row>
    <row r="17" spans="1:43" ht="15.6" thickTop="1" thickBot="1" x14ac:dyDescent="0.35">
      <c r="A17" s="145"/>
      <c r="B17" s="473" t="s">
        <v>249</v>
      </c>
      <c r="C17" s="474"/>
      <c r="D17" s="475"/>
      <c r="E17" s="399">
        <f>20*E11</f>
        <v>1840</v>
      </c>
      <c r="F17" s="732"/>
      <c r="G17" s="453">
        <f t="shared" si="1"/>
        <v>1840</v>
      </c>
      <c r="H17" s="487">
        <v>0</v>
      </c>
      <c r="I17" s="145"/>
      <c r="J17" s="420">
        <f>G26</f>
        <v>28517</v>
      </c>
      <c r="K17" s="418" t="s">
        <v>55</v>
      </c>
      <c r="L17" s="145"/>
      <c r="M17" s="145"/>
      <c r="N17" s="138"/>
      <c r="O17" s="138"/>
      <c r="P17" s="470" t="s">
        <v>250</v>
      </c>
      <c r="Q17" s="471"/>
      <c r="R17" s="472"/>
      <c r="S17" s="401">
        <v>29000</v>
      </c>
      <c r="T17" s="145"/>
      <c r="U17" s="466"/>
      <c r="V17" s="451">
        <f t="shared" si="0"/>
        <v>2000</v>
      </c>
      <c r="W17" s="454">
        <v>27000</v>
      </c>
      <c r="X17" s="145"/>
      <c r="Y17" s="145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M17" s="398" t="s">
        <v>251</v>
      </c>
      <c r="AN17" s="399">
        <v>1500</v>
      </c>
      <c r="AP17" s="412">
        <v>0</v>
      </c>
      <c r="AQ17" s="409">
        <v>1500</v>
      </c>
    </row>
    <row r="18" spans="1:43" ht="15.6" thickTop="1" thickBot="1" x14ac:dyDescent="0.35">
      <c r="A18" s="145"/>
      <c r="B18" s="470" t="s">
        <v>252</v>
      </c>
      <c r="C18" s="471"/>
      <c r="D18" s="472"/>
      <c r="E18" s="401">
        <v>3750</v>
      </c>
      <c r="F18" s="732"/>
      <c r="G18" s="451">
        <f t="shared" si="1"/>
        <v>0</v>
      </c>
      <c r="H18" s="488">
        <v>3750</v>
      </c>
      <c r="I18" s="145"/>
      <c r="J18" s="420">
        <f>J17-J16</f>
        <v>12992.9</v>
      </c>
      <c r="K18" s="584">
        <f>J18/E26</f>
        <v>4.1847514509697821E-2</v>
      </c>
      <c r="L18" s="145"/>
      <c r="M18" s="145"/>
      <c r="N18" s="138"/>
      <c r="O18" s="138"/>
      <c r="P18" s="473" t="s">
        <v>244</v>
      </c>
      <c r="Q18" s="474"/>
      <c r="R18" s="475"/>
      <c r="S18" s="399">
        <v>5100</v>
      </c>
      <c r="T18" s="145"/>
      <c r="U18" s="466"/>
      <c r="V18" s="453">
        <f t="shared" si="0"/>
        <v>0</v>
      </c>
      <c r="W18" s="455">
        <v>5100</v>
      </c>
      <c r="X18" s="145"/>
      <c r="Y18" s="145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M18" s="402" t="s">
        <v>253</v>
      </c>
      <c r="AN18" s="397">
        <v>124110</v>
      </c>
      <c r="AP18" s="404">
        <v>16920</v>
      </c>
      <c r="AQ18" s="405">
        <v>107190</v>
      </c>
    </row>
    <row r="19" spans="1:43" ht="15" thickTop="1" x14ac:dyDescent="0.3">
      <c r="A19" s="145"/>
      <c r="B19" s="473" t="s">
        <v>1156</v>
      </c>
      <c r="C19" s="474"/>
      <c r="D19" s="475"/>
      <c r="E19" s="399">
        <v>16500</v>
      </c>
      <c r="F19" s="732"/>
      <c r="G19" s="453">
        <f t="shared" si="1"/>
        <v>2710</v>
      </c>
      <c r="H19" s="487">
        <v>13790</v>
      </c>
      <c r="I19" s="145"/>
      <c r="J19" s="145"/>
      <c r="K19" s="145"/>
      <c r="L19" s="145"/>
      <c r="M19" s="145"/>
      <c r="N19" s="138"/>
      <c r="O19" s="138"/>
      <c r="P19" s="470" t="s">
        <v>245</v>
      </c>
      <c r="Q19" s="471"/>
      <c r="R19" s="472"/>
      <c r="S19" s="401">
        <v>0</v>
      </c>
      <c r="T19" s="145"/>
      <c r="U19" s="466"/>
      <c r="V19" s="451">
        <f t="shared" si="0"/>
        <v>0</v>
      </c>
      <c r="W19" s="454">
        <v>0</v>
      </c>
      <c r="X19" s="145"/>
      <c r="Y19" s="145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</row>
    <row r="20" spans="1:43" x14ac:dyDescent="0.3">
      <c r="A20" s="145"/>
      <c r="B20" s="470" t="str">
        <f>" NO.OF PALLET ~ "&amp;(D5)&amp;""</f>
        <v xml:space="preserve"> NO.OF PALLET ~ </v>
      </c>
      <c r="C20" s="471"/>
      <c r="D20" s="472"/>
      <c r="E20" s="401">
        <f>D5*1450</f>
        <v>0</v>
      </c>
      <c r="F20" s="732"/>
      <c r="G20" s="451">
        <f t="shared" si="1"/>
        <v>0</v>
      </c>
      <c r="H20" s="488">
        <f>D5*1350</f>
        <v>0</v>
      </c>
      <c r="I20" s="145"/>
      <c r="J20" s="145"/>
      <c r="K20" s="145"/>
      <c r="L20" s="145"/>
      <c r="M20" s="145"/>
      <c r="N20" s="138"/>
      <c r="O20" s="138"/>
      <c r="P20" s="473" t="s">
        <v>247</v>
      </c>
      <c r="Q20" s="474"/>
      <c r="R20" s="475"/>
      <c r="S20" s="399">
        <v>3500</v>
      </c>
      <c r="T20" s="145"/>
      <c r="U20" s="466"/>
      <c r="V20" s="453">
        <f t="shared" si="0"/>
        <v>1000</v>
      </c>
      <c r="W20" s="455">
        <v>2500</v>
      </c>
      <c r="X20" s="145"/>
      <c r="Y20" s="145"/>
      <c r="Z20" s="138"/>
      <c r="AA20" s="138"/>
      <c r="AB20" s="138"/>
      <c r="AC20" s="138"/>
      <c r="AD20" s="138"/>
      <c r="AE20" s="138"/>
      <c r="AF20" s="138"/>
      <c r="AG20" s="138"/>
      <c r="AH20" s="138"/>
      <c r="AI20" s="138"/>
      <c r="AJ20" s="138"/>
      <c r="AK20" s="138"/>
      <c r="AN20" s="60"/>
    </row>
    <row r="21" spans="1:43" x14ac:dyDescent="0.3">
      <c r="A21" s="145"/>
      <c r="B21" s="473" t="s">
        <v>244</v>
      </c>
      <c r="C21" s="474"/>
      <c r="D21" s="475"/>
      <c r="E21" s="399">
        <v>5100</v>
      </c>
      <c r="F21" s="732"/>
      <c r="G21" s="453">
        <f t="shared" si="1"/>
        <v>0</v>
      </c>
      <c r="H21" s="487">
        <v>5100</v>
      </c>
      <c r="I21" s="145"/>
      <c r="J21" s="145"/>
      <c r="K21" s="145"/>
      <c r="L21" s="145"/>
      <c r="M21" s="145"/>
      <c r="N21" s="138"/>
      <c r="O21" s="138"/>
      <c r="P21" s="470" t="s">
        <v>248</v>
      </c>
      <c r="Q21" s="471"/>
      <c r="R21" s="472"/>
      <c r="S21" s="401">
        <v>14500</v>
      </c>
      <c r="T21" s="145"/>
      <c r="U21" s="466"/>
      <c r="V21" s="451">
        <f t="shared" si="0"/>
        <v>1000</v>
      </c>
      <c r="W21" s="454">
        <v>13500</v>
      </c>
      <c r="X21" s="145"/>
      <c r="Y21" s="145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N21" s="60"/>
    </row>
    <row r="22" spans="1:43" ht="15" thickBot="1" x14ac:dyDescent="0.35">
      <c r="A22" s="145"/>
      <c r="B22" s="470" t="s">
        <v>245</v>
      </c>
      <c r="C22" s="471"/>
      <c r="D22" s="472"/>
      <c r="E22" s="401">
        <v>0</v>
      </c>
      <c r="F22" s="732"/>
      <c r="G22" s="451">
        <f t="shared" si="1"/>
        <v>0</v>
      </c>
      <c r="H22" s="488">
        <v>0</v>
      </c>
      <c r="I22" s="145"/>
      <c r="J22" s="145"/>
      <c r="K22" s="145"/>
      <c r="L22" s="145"/>
      <c r="M22" s="145"/>
      <c r="N22" s="138"/>
      <c r="O22" s="138"/>
      <c r="P22" s="473" t="s">
        <v>251</v>
      </c>
      <c r="Q22" s="474"/>
      <c r="R22" s="475"/>
      <c r="S22" s="399" t="s">
        <v>232</v>
      </c>
      <c r="T22" s="145"/>
      <c r="U22" s="466"/>
      <c r="V22" s="452" t="s">
        <v>232</v>
      </c>
      <c r="W22" s="456" t="s">
        <v>232</v>
      </c>
      <c r="X22" s="145"/>
      <c r="Y22" s="145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N22" s="60"/>
    </row>
    <row r="23" spans="1:43" ht="15.6" thickTop="1" thickBot="1" x14ac:dyDescent="0.35">
      <c r="A23" s="145"/>
      <c r="B23" s="473" t="s">
        <v>247</v>
      </c>
      <c r="C23" s="474"/>
      <c r="D23" s="475"/>
      <c r="E23" s="399">
        <v>3500</v>
      </c>
      <c r="F23" s="732"/>
      <c r="G23" s="453">
        <f t="shared" si="1"/>
        <v>1000</v>
      </c>
      <c r="H23" s="487">
        <v>2500</v>
      </c>
      <c r="I23" s="145"/>
      <c r="J23" s="145"/>
      <c r="K23" s="145"/>
      <c r="L23" s="145"/>
      <c r="M23" s="145"/>
      <c r="N23" s="138"/>
      <c r="O23" s="138"/>
      <c r="P23" s="482" t="s">
        <v>253</v>
      </c>
      <c r="Q23" s="483"/>
      <c r="R23" s="484"/>
      <c r="S23" s="397">
        <f>SUM(S9:S22)</f>
        <v>327545</v>
      </c>
      <c r="T23" s="145"/>
      <c r="U23" s="466"/>
      <c r="V23" s="397">
        <f>SUM(V9:V22)</f>
        <v>31282.5</v>
      </c>
      <c r="W23" s="397">
        <f>SUM(W9:W22)</f>
        <v>296287.5</v>
      </c>
      <c r="X23" s="145"/>
      <c r="Y23" s="145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M23" s="393" t="s">
        <v>254</v>
      </c>
      <c r="AN23" s="394">
        <v>45891.668055555558</v>
      </c>
    </row>
    <row r="24" spans="1:43" ht="15.6" thickTop="1" thickBot="1" x14ac:dyDescent="0.35">
      <c r="A24" s="145"/>
      <c r="B24" s="470" t="s">
        <v>248</v>
      </c>
      <c r="C24" s="471"/>
      <c r="D24" s="472"/>
      <c r="E24" s="401">
        <v>14500</v>
      </c>
      <c r="F24" s="732"/>
      <c r="G24" s="451">
        <f t="shared" si="1"/>
        <v>1000</v>
      </c>
      <c r="H24" s="488">
        <v>13500</v>
      </c>
      <c r="I24" s="145"/>
      <c r="J24" s="145"/>
      <c r="K24" s="145"/>
      <c r="L24" s="145"/>
      <c r="M24" s="145"/>
      <c r="N24" s="138"/>
      <c r="O24" s="138"/>
      <c r="P24" s="138"/>
      <c r="Q24" s="138"/>
      <c r="R24" s="138"/>
      <c r="S24" s="138"/>
      <c r="T24" s="138"/>
      <c r="U24" s="145"/>
      <c r="V24" s="270"/>
      <c r="W24" s="270"/>
      <c r="X24" s="145"/>
      <c r="Y24" s="145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M24" s="395" t="s">
        <v>228</v>
      </c>
      <c r="AN24" s="396">
        <v>45900</v>
      </c>
    </row>
    <row r="25" spans="1:43" ht="15.6" thickTop="1" thickBot="1" x14ac:dyDescent="0.35">
      <c r="A25" s="145"/>
      <c r="B25" s="473" t="s">
        <v>251</v>
      </c>
      <c r="C25" s="474"/>
      <c r="D25" s="475"/>
      <c r="E25" s="399" t="s">
        <v>232</v>
      </c>
      <c r="F25" s="732"/>
      <c r="G25" s="453" t="str">
        <f t="shared" si="1"/>
        <v>-</v>
      </c>
      <c r="H25" s="489"/>
      <c r="I25" s="145"/>
      <c r="J25" s="145"/>
      <c r="K25" s="145"/>
      <c r="L25" s="145"/>
      <c r="M25" s="145"/>
      <c r="N25" s="138"/>
      <c r="O25" s="138"/>
      <c r="P25" s="879" t="s">
        <v>255</v>
      </c>
      <c r="Q25" s="880"/>
      <c r="R25" s="880"/>
      <c r="S25" s="490" t="s">
        <v>256</v>
      </c>
      <c r="T25" s="138"/>
      <c r="U25" s="145"/>
      <c r="V25" s="270"/>
      <c r="W25" s="270"/>
      <c r="X25" s="145"/>
      <c r="Y25" s="145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M25" s="398" t="s">
        <v>229</v>
      </c>
      <c r="AN25" s="403">
        <v>88.5</v>
      </c>
    </row>
    <row r="26" spans="1:43" ht="15.6" thickTop="1" thickBot="1" x14ac:dyDescent="0.35">
      <c r="A26" s="145"/>
      <c r="B26" s="482" t="s">
        <v>253</v>
      </c>
      <c r="C26" s="483"/>
      <c r="D26" s="484"/>
      <c r="E26" s="397">
        <f>SUM(E12:E25)</f>
        <v>310482</v>
      </c>
      <c r="F26" s="732"/>
      <c r="G26" s="397">
        <f>E26-H26</f>
        <v>28517</v>
      </c>
      <c r="H26" s="397">
        <f>SUM(H12:H25)</f>
        <v>281965</v>
      </c>
      <c r="I26" s="145"/>
      <c r="J26" s="145"/>
      <c r="K26" s="145"/>
      <c r="L26" s="145"/>
      <c r="M26" s="145"/>
      <c r="N26" s="138"/>
      <c r="O26" s="138"/>
      <c r="P26" s="467" t="s">
        <v>257</v>
      </c>
      <c r="Q26" s="468"/>
      <c r="R26" s="469"/>
      <c r="S26" s="491" t="s">
        <v>258</v>
      </c>
      <c r="T26" s="138"/>
      <c r="U26" s="138"/>
      <c r="V26" s="485"/>
      <c r="W26" s="485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M26" s="400" t="s">
        <v>259</v>
      </c>
      <c r="AN26" s="401" t="s">
        <v>232</v>
      </c>
      <c r="AP26" s="410" t="s">
        <v>232</v>
      </c>
      <c r="AQ26" s="411"/>
    </row>
    <row r="27" spans="1:43" ht="15.6" thickTop="1" thickBot="1" x14ac:dyDescent="0.35">
      <c r="A27" s="145"/>
      <c r="B27" s="734"/>
      <c r="C27" s="734"/>
      <c r="D27" s="734"/>
      <c r="E27" s="734"/>
      <c r="F27" s="734"/>
      <c r="G27" s="734"/>
      <c r="H27" s="734"/>
      <c r="I27" s="138"/>
      <c r="J27" s="138"/>
      <c r="K27" s="138"/>
      <c r="L27" s="138"/>
      <c r="M27" s="138"/>
      <c r="N27" s="138"/>
      <c r="O27" s="138"/>
      <c r="P27" s="470" t="s">
        <v>260</v>
      </c>
      <c r="Q27" s="471"/>
      <c r="R27" s="472"/>
      <c r="S27" s="492">
        <v>88.5</v>
      </c>
      <c r="T27" s="138"/>
      <c r="U27" s="138"/>
      <c r="V27" s="485"/>
      <c r="W27" s="485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M27" s="398" t="s">
        <v>233</v>
      </c>
      <c r="AN27" s="399" t="s">
        <v>232</v>
      </c>
      <c r="AP27" s="407" t="s">
        <v>232</v>
      </c>
      <c r="AQ27" s="408"/>
    </row>
    <row r="28" spans="1:43" ht="15.6" customHeight="1" thickTop="1" thickBot="1" x14ac:dyDescent="0.35">
      <c r="A28" s="145"/>
      <c r="B28" s="479" t="str">
        <f>" CIF - "&amp;UPPER(B3)&amp;" TO "&amp;UPPER(B4)&amp;" // "&amp;UPPER(C5)&amp;" // FCL RATES"</f>
        <v xml:space="preserve"> CIF - NHAVA SHEVA, IN TO DURBAN, ZA // NON HAZ // FCL RATES</v>
      </c>
      <c r="C28" s="480"/>
      <c r="D28" s="481"/>
      <c r="E28" s="394">
        <v>46071.661805555559</v>
      </c>
      <c r="F28" s="732"/>
      <c r="G28" s="734"/>
      <c r="H28" s="734"/>
      <c r="I28" s="138"/>
      <c r="J28" s="138"/>
      <c r="K28" s="138"/>
      <c r="L28" s="138"/>
      <c r="M28" s="138"/>
      <c r="N28" s="138"/>
      <c r="O28" s="138"/>
      <c r="P28" s="473" t="s">
        <v>261</v>
      </c>
      <c r="Q28" s="474"/>
      <c r="R28" s="475"/>
      <c r="S28" s="399">
        <v>39500</v>
      </c>
      <c r="T28" s="138"/>
      <c r="U28" s="138"/>
      <c r="V28" s="485"/>
      <c r="W28" s="485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M28" s="400" t="s">
        <v>262</v>
      </c>
      <c r="AN28" s="401">
        <v>267801</v>
      </c>
      <c r="AP28" s="406">
        <v>22125</v>
      </c>
      <c r="AQ28" s="399">
        <v>245676</v>
      </c>
    </row>
    <row r="29" spans="1:43" ht="15.6" customHeight="1" thickTop="1" thickBot="1" x14ac:dyDescent="0.35">
      <c r="A29" s="145"/>
      <c r="B29" s="476" t="str">
        <f>" ~ 40 HC "&amp;" // "&amp;UPPER(C3)&amp;" KGS"</f>
        <v xml:space="preserve"> ~ 40 HC  // 12040 KGS</v>
      </c>
      <c r="C29" s="477"/>
      <c r="D29" s="478"/>
      <c r="E29" s="396">
        <f>C4</f>
        <v>46096</v>
      </c>
      <c r="F29" s="732"/>
      <c r="G29" s="734"/>
      <c r="H29" s="734"/>
      <c r="I29" s="138"/>
      <c r="J29" s="138"/>
      <c r="K29" s="138"/>
      <c r="L29" s="138"/>
      <c r="M29" s="138"/>
      <c r="N29" s="138"/>
      <c r="O29" s="138"/>
      <c r="P29" s="470" t="s">
        <v>263</v>
      </c>
      <c r="Q29" s="471"/>
      <c r="R29" s="472"/>
      <c r="S29" s="401">
        <v>3000</v>
      </c>
      <c r="T29" s="138"/>
      <c r="U29" s="138"/>
      <c r="V29" s="485"/>
      <c r="W29" s="485"/>
      <c r="X29" s="138"/>
      <c r="Y29" s="138"/>
      <c r="Z29" s="138"/>
      <c r="AA29" s="138"/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M29" s="398" t="s">
        <v>236</v>
      </c>
      <c r="AN29" s="399">
        <v>0</v>
      </c>
      <c r="AP29" s="407">
        <v>0</v>
      </c>
      <c r="AQ29" s="408">
        <v>0</v>
      </c>
    </row>
    <row r="30" spans="1:43" ht="15.6" thickTop="1" thickBot="1" x14ac:dyDescent="0.35">
      <c r="A30" s="145"/>
      <c r="B30" s="467" t="s">
        <v>229</v>
      </c>
      <c r="C30" s="468"/>
      <c r="D30" s="469"/>
      <c r="E30" s="403">
        <v>92</v>
      </c>
      <c r="F30" s="732"/>
      <c r="G30" s="732"/>
      <c r="H30" s="732"/>
      <c r="I30" s="138"/>
      <c r="J30" s="138"/>
      <c r="K30" s="138"/>
      <c r="L30" s="138"/>
      <c r="M30" s="138"/>
      <c r="N30" s="138"/>
      <c r="O30" s="138"/>
      <c r="P30" s="473" t="s">
        <v>264</v>
      </c>
      <c r="Q30" s="474"/>
      <c r="R30" s="475"/>
      <c r="S30" s="399">
        <v>15930</v>
      </c>
      <c r="T30" s="138"/>
      <c r="U30" s="138"/>
      <c r="V30" s="485"/>
      <c r="W30" s="485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M30" s="400" t="s">
        <v>237</v>
      </c>
      <c r="AN30" s="401">
        <v>19500</v>
      </c>
      <c r="AP30" s="406">
        <v>3400</v>
      </c>
      <c r="AQ30" s="399">
        <v>16100</v>
      </c>
    </row>
    <row r="31" spans="1:43" ht="15" thickTop="1" x14ac:dyDescent="0.3">
      <c r="A31" s="145"/>
      <c r="B31" s="470" t="str">
        <f>" TRANSPORTATION FROM "&amp;(B2)&amp;" TO "&amp;UPPER(B3)&amp;" - "&amp;UPPER(C2)&amp;" VEHICELS"</f>
        <v xml:space="preserve"> TRANSPORTATION FROM - TO NHAVA SHEVA, IN - 1 VEHICELS</v>
      </c>
      <c r="C31" s="471"/>
      <c r="D31" s="472"/>
      <c r="E31" s="401" t="s">
        <v>232</v>
      </c>
      <c r="F31" s="732"/>
      <c r="G31" s="457" t="str">
        <f>IF(OR(H31="-",H31=""),"-",E31-H31)</f>
        <v>-</v>
      </c>
      <c r="H31" s="486" t="s">
        <v>232</v>
      </c>
      <c r="I31" s="138"/>
      <c r="J31" s="881" t="s">
        <v>51</v>
      </c>
      <c r="K31" s="882"/>
      <c r="L31" s="138"/>
      <c r="M31" s="138"/>
      <c r="N31" s="138"/>
      <c r="O31" s="138"/>
      <c r="P31" s="470" t="s">
        <v>265</v>
      </c>
      <c r="Q31" s="471"/>
      <c r="R31" s="472"/>
      <c r="S31" s="401">
        <v>0</v>
      </c>
      <c r="T31" s="138"/>
      <c r="U31" s="138"/>
      <c r="V31" s="485"/>
      <c r="W31" s="485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M31" s="398" t="s">
        <v>238</v>
      </c>
      <c r="AN31" s="399">
        <v>1770</v>
      </c>
      <c r="AP31" s="407">
        <v>1770</v>
      </c>
      <c r="AQ31" s="408">
        <v>0</v>
      </c>
    </row>
    <row r="32" spans="1:43" ht="15" thickBot="1" x14ac:dyDescent="0.35">
      <c r="A32" s="145"/>
      <c r="B32" s="473" t="s">
        <v>233</v>
      </c>
      <c r="C32" s="474"/>
      <c r="D32" s="475"/>
      <c r="E32" s="399" t="s">
        <v>232</v>
      </c>
      <c r="F32" s="732"/>
      <c r="G32" s="453" t="str">
        <f>IF(OR(H32="-",H32=""),"-",E32-H32)</f>
        <v>-</v>
      </c>
      <c r="H32" s="487" t="s">
        <v>232</v>
      </c>
      <c r="I32" s="138"/>
      <c r="J32" s="883"/>
      <c r="K32" s="884"/>
      <c r="L32" s="138"/>
      <c r="M32" s="138"/>
      <c r="N32" s="138"/>
      <c r="O32" s="138"/>
      <c r="P32" s="473" t="s">
        <v>266</v>
      </c>
      <c r="Q32" s="474"/>
      <c r="R32" s="475"/>
      <c r="S32" s="399">
        <v>13500</v>
      </c>
      <c r="T32" s="138"/>
      <c r="U32" s="138"/>
      <c r="V32" s="485"/>
      <c r="W32" s="485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M32" s="400" t="s">
        <v>239</v>
      </c>
      <c r="AN32" s="401">
        <v>3750</v>
      </c>
      <c r="AP32" s="406">
        <v>0</v>
      </c>
      <c r="AQ32" s="399">
        <v>3750</v>
      </c>
    </row>
    <row r="33" spans="1:43" ht="15" thickTop="1" x14ac:dyDescent="0.3">
      <c r="A33" s="145"/>
      <c r="B33" s="470" t="str">
        <f>" SEA FREIGHT  - CIF  $"&amp;UPPER(L5)&amp;""</f>
        <v xml:space="preserve"> SEA FREIGHT  - CIF  $2726</v>
      </c>
      <c r="C33" s="471"/>
      <c r="D33" s="472"/>
      <c r="E33" s="401">
        <f>L5*E11</f>
        <v>250792</v>
      </c>
      <c r="F33" s="732"/>
      <c r="G33" s="451">
        <f>IF(OR(H33="-",H33=""),"-",E33-H33)</f>
        <v>18400</v>
      </c>
      <c r="H33" s="488">
        <f>I5*E11</f>
        <v>232392</v>
      </c>
      <c r="I33" s="138"/>
      <c r="J33" s="138"/>
      <c r="K33" s="138"/>
      <c r="L33" s="138"/>
      <c r="M33" s="138"/>
      <c r="N33" s="138"/>
      <c r="O33" s="138"/>
      <c r="P33" s="470" t="s">
        <v>267</v>
      </c>
      <c r="Q33" s="471"/>
      <c r="R33" s="472"/>
      <c r="S33" s="401">
        <v>1770</v>
      </c>
      <c r="T33" s="138"/>
      <c r="U33" s="138"/>
      <c r="V33" s="485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M33" s="398" t="s">
        <v>241</v>
      </c>
      <c r="AN33" s="399">
        <v>27500</v>
      </c>
      <c r="AP33" s="407">
        <v>4010</v>
      </c>
      <c r="AQ33" s="408">
        <v>23490</v>
      </c>
    </row>
    <row r="34" spans="1:43" ht="15" thickBot="1" x14ac:dyDescent="0.35">
      <c r="A34" s="145"/>
      <c r="B34" s="473" t="s">
        <v>236</v>
      </c>
      <c r="C34" s="474"/>
      <c r="D34" s="475"/>
      <c r="E34" s="399">
        <v>0</v>
      </c>
      <c r="F34" s="732"/>
      <c r="G34" s="453">
        <f>IF(OR(H34="-",H34=""),"-",E34-H34)</f>
        <v>0</v>
      </c>
      <c r="H34" s="487">
        <v>0</v>
      </c>
      <c r="I34" s="138"/>
      <c r="J34" s="138"/>
      <c r="K34" s="138"/>
      <c r="L34" s="138"/>
      <c r="M34" s="138"/>
      <c r="N34" s="138"/>
      <c r="O34" s="138"/>
      <c r="P34" s="473" t="s">
        <v>268</v>
      </c>
      <c r="Q34" s="474"/>
      <c r="R34" s="475"/>
      <c r="S34" s="399">
        <v>0</v>
      </c>
      <c r="T34" s="138"/>
      <c r="U34" s="138"/>
      <c r="V34" s="485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M34" s="400" t="s">
        <v>269</v>
      </c>
      <c r="AN34" s="401">
        <v>40600</v>
      </c>
      <c r="AP34" s="406">
        <v>2800</v>
      </c>
      <c r="AQ34" s="399">
        <v>37800</v>
      </c>
    </row>
    <row r="35" spans="1:43" ht="15.6" thickTop="1" thickBot="1" x14ac:dyDescent="0.35">
      <c r="A35" s="145"/>
      <c r="B35" s="470" t="s">
        <v>243</v>
      </c>
      <c r="C35" s="471"/>
      <c r="D35" s="472"/>
      <c r="E35" s="401">
        <v>21500</v>
      </c>
      <c r="F35" s="732"/>
      <c r="G35" s="451">
        <f t="shared" ref="G35:G44" si="2">IF(OR(H35="-",H35=""),"-",E35-H35)</f>
        <v>-138</v>
      </c>
      <c r="H35" s="488">
        <v>21638</v>
      </c>
      <c r="I35" s="138"/>
      <c r="J35" s="420">
        <f>E45*K35</f>
        <v>16336.6</v>
      </c>
      <c r="K35" s="264">
        <v>0.05</v>
      </c>
      <c r="L35" s="138"/>
      <c r="M35" s="138"/>
      <c r="N35" s="138"/>
      <c r="O35" s="138"/>
      <c r="P35" s="470" t="s">
        <v>270</v>
      </c>
      <c r="Q35" s="471"/>
      <c r="R35" s="472"/>
      <c r="S35" s="401">
        <v>15500</v>
      </c>
      <c r="T35" s="138"/>
      <c r="U35" s="138"/>
      <c r="V35" s="485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M35" s="398" t="s">
        <v>244</v>
      </c>
      <c r="AN35" s="399">
        <v>5100</v>
      </c>
      <c r="AP35" s="407">
        <v>0</v>
      </c>
      <c r="AQ35" s="408">
        <v>5100</v>
      </c>
    </row>
    <row r="36" spans="1:43" ht="15.6" thickTop="1" thickBot="1" x14ac:dyDescent="0.35">
      <c r="A36" s="145"/>
      <c r="B36" s="473" t="s">
        <v>238</v>
      </c>
      <c r="C36" s="474"/>
      <c r="D36" s="475"/>
      <c r="E36" s="399">
        <f>20*E30</f>
        <v>1840</v>
      </c>
      <c r="F36" s="732"/>
      <c r="G36" s="453">
        <f t="shared" si="2"/>
        <v>70</v>
      </c>
      <c r="H36" s="487">
        <v>1770</v>
      </c>
      <c r="I36" s="138"/>
      <c r="J36" s="420">
        <f>G45</f>
        <v>26042</v>
      </c>
      <c r="K36" s="418" t="s">
        <v>55</v>
      </c>
      <c r="L36" s="138"/>
      <c r="M36" s="138"/>
      <c r="N36" s="138"/>
      <c r="O36" s="138"/>
      <c r="P36" s="473" t="s">
        <v>271</v>
      </c>
      <c r="Q36" s="474"/>
      <c r="R36" s="475"/>
      <c r="S36" s="399">
        <v>0</v>
      </c>
      <c r="T36" s="138"/>
      <c r="U36" s="138"/>
      <c r="V36" s="485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M36" s="400" t="s">
        <v>245</v>
      </c>
      <c r="AN36" s="401">
        <v>0</v>
      </c>
      <c r="AP36" s="406">
        <v>0</v>
      </c>
      <c r="AQ36" s="399">
        <v>0</v>
      </c>
    </row>
    <row r="37" spans="1:43" ht="15.6" thickTop="1" thickBot="1" x14ac:dyDescent="0.35">
      <c r="A37" s="145"/>
      <c r="B37" s="470" t="s">
        <v>272</v>
      </c>
      <c r="C37" s="471"/>
      <c r="D37" s="472"/>
      <c r="E37" s="401" t="s">
        <v>232</v>
      </c>
      <c r="F37" s="732"/>
      <c r="G37" s="451" t="str">
        <f t="shared" si="2"/>
        <v>-</v>
      </c>
      <c r="H37" s="488" t="s">
        <v>232</v>
      </c>
      <c r="I37" s="138"/>
      <c r="J37" s="420">
        <f>J36-J35</f>
        <v>9705.4</v>
      </c>
      <c r="K37" s="584">
        <f>J37/E45</f>
        <v>2.9704467269811342E-2</v>
      </c>
      <c r="L37" s="138"/>
      <c r="M37" s="138"/>
      <c r="N37" s="138"/>
      <c r="O37" s="138"/>
      <c r="P37" s="470" t="s">
        <v>273</v>
      </c>
      <c r="Q37" s="471"/>
      <c r="R37" s="472"/>
      <c r="S37" s="401">
        <v>4000</v>
      </c>
      <c r="T37" s="138"/>
      <c r="U37" s="138"/>
      <c r="V37" s="485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M37" s="398" t="s">
        <v>247</v>
      </c>
      <c r="AN37" s="399">
        <v>3500</v>
      </c>
      <c r="AP37" s="407">
        <v>1000</v>
      </c>
      <c r="AQ37" s="408">
        <v>2500</v>
      </c>
    </row>
    <row r="38" spans="1:43" ht="15" thickTop="1" x14ac:dyDescent="0.3">
      <c r="A38" s="145"/>
      <c r="B38" s="473" t="s">
        <v>1156</v>
      </c>
      <c r="C38" s="474"/>
      <c r="D38" s="475"/>
      <c r="E38" s="399">
        <v>27500</v>
      </c>
      <c r="F38" s="732"/>
      <c r="G38" s="453">
        <f t="shared" si="2"/>
        <v>3710</v>
      </c>
      <c r="H38" s="487">
        <v>23790</v>
      </c>
      <c r="I38" s="138"/>
      <c r="J38" s="138"/>
      <c r="K38" s="138"/>
      <c r="L38" s="138"/>
      <c r="M38" s="138"/>
      <c r="N38" s="138"/>
      <c r="O38" s="138"/>
      <c r="P38" s="473" t="s">
        <v>274</v>
      </c>
      <c r="Q38" s="474"/>
      <c r="R38" s="475"/>
      <c r="S38" s="399">
        <v>5100</v>
      </c>
      <c r="T38" s="138"/>
      <c r="U38" s="138"/>
      <c r="V38" s="485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M38" s="400" t="s">
        <v>248</v>
      </c>
      <c r="AN38" s="401">
        <v>16500</v>
      </c>
      <c r="AP38" s="406">
        <v>3000</v>
      </c>
      <c r="AQ38" s="399">
        <v>13500</v>
      </c>
    </row>
    <row r="39" spans="1:43" ht="15" thickBot="1" x14ac:dyDescent="0.35">
      <c r="A39" s="145"/>
      <c r="B39" s="470" t="str">
        <f>" NO.OF PALLET~ "&amp;(D5)&amp;""</f>
        <v xml:space="preserve"> NO.OF PALLET~ </v>
      </c>
      <c r="C39" s="471"/>
      <c r="D39" s="472"/>
      <c r="E39" s="401">
        <f>D5*1450</f>
        <v>0</v>
      </c>
      <c r="F39" s="732"/>
      <c r="G39" s="451">
        <f t="shared" si="2"/>
        <v>0</v>
      </c>
      <c r="H39" s="488">
        <f>D5*1350</f>
        <v>0</v>
      </c>
      <c r="I39" s="138"/>
      <c r="J39" s="138"/>
      <c r="K39" s="138"/>
      <c r="L39" s="138"/>
      <c r="M39" s="138"/>
      <c r="N39" s="138"/>
      <c r="O39" s="138"/>
      <c r="P39" s="470" t="s">
        <v>107</v>
      </c>
      <c r="Q39" s="471"/>
      <c r="R39" s="472"/>
      <c r="S39" s="401">
        <v>4000</v>
      </c>
      <c r="T39" s="138"/>
      <c r="U39" s="138"/>
      <c r="V39" s="485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M39" s="398" t="s">
        <v>251</v>
      </c>
      <c r="AN39" s="399">
        <v>1500</v>
      </c>
      <c r="AP39" s="412">
        <v>0</v>
      </c>
      <c r="AQ39" s="409">
        <v>1500</v>
      </c>
    </row>
    <row r="40" spans="1:43" ht="15.6" thickTop="1" thickBot="1" x14ac:dyDescent="0.35">
      <c r="A40" s="145"/>
      <c r="B40" s="473" t="s">
        <v>244</v>
      </c>
      <c r="C40" s="474"/>
      <c r="D40" s="475"/>
      <c r="E40" s="399">
        <v>5100</v>
      </c>
      <c r="F40" s="732"/>
      <c r="G40" s="453">
        <f t="shared" si="2"/>
        <v>0</v>
      </c>
      <c r="H40" s="487">
        <v>5100</v>
      </c>
      <c r="I40" s="138"/>
      <c r="J40" s="138"/>
      <c r="K40" s="138"/>
      <c r="L40" s="138"/>
      <c r="M40" s="138"/>
      <c r="N40" s="138"/>
      <c r="O40" s="138"/>
      <c r="P40" s="473" t="s">
        <v>275</v>
      </c>
      <c r="Q40" s="474"/>
      <c r="R40" s="475"/>
      <c r="S40" s="399">
        <v>3000</v>
      </c>
      <c r="T40" s="138"/>
      <c r="U40" s="138"/>
      <c r="V40" s="485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M40" s="402" t="s">
        <v>253</v>
      </c>
      <c r="AN40" s="397">
        <v>387521</v>
      </c>
      <c r="AP40" s="404">
        <v>38105</v>
      </c>
      <c r="AQ40" s="405">
        <v>349416</v>
      </c>
    </row>
    <row r="41" spans="1:43" ht="15" thickTop="1" x14ac:dyDescent="0.3">
      <c r="A41" s="145"/>
      <c r="B41" s="470" t="s">
        <v>245</v>
      </c>
      <c r="C41" s="471"/>
      <c r="D41" s="472"/>
      <c r="E41" s="401">
        <v>0</v>
      </c>
      <c r="F41" s="732"/>
      <c r="G41" s="451">
        <f t="shared" si="2"/>
        <v>0</v>
      </c>
      <c r="H41" s="488">
        <v>0</v>
      </c>
      <c r="I41" s="138"/>
      <c r="J41" s="138"/>
      <c r="K41" s="138"/>
      <c r="L41" s="138"/>
      <c r="M41" s="138"/>
      <c r="N41" s="138"/>
      <c r="O41" s="138"/>
      <c r="P41" s="470" t="s">
        <v>276</v>
      </c>
      <c r="Q41" s="471"/>
      <c r="R41" s="472"/>
      <c r="S41" s="401">
        <v>14500</v>
      </c>
      <c r="T41" s="138"/>
      <c r="U41" s="138"/>
      <c r="V41" s="485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</row>
    <row r="42" spans="1:43" ht="15" thickBot="1" x14ac:dyDescent="0.35">
      <c r="A42" s="145"/>
      <c r="B42" s="473" t="s">
        <v>247</v>
      </c>
      <c r="C42" s="474"/>
      <c r="D42" s="475"/>
      <c r="E42" s="399">
        <v>3500</v>
      </c>
      <c r="F42" s="732"/>
      <c r="G42" s="453">
        <f t="shared" si="2"/>
        <v>1000</v>
      </c>
      <c r="H42" s="487">
        <v>2500</v>
      </c>
      <c r="I42" s="138"/>
      <c r="J42" s="138"/>
      <c r="K42" s="138"/>
      <c r="L42" s="138"/>
      <c r="M42" s="138"/>
      <c r="N42" s="138"/>
      <c r="O42" s="138"/>
      <c r="P42" s="473" t="s">
        <v>277</v>
      </c>
      <c r="Q42" s="474"/>
      <c r="R42" s="475"/>
      <c r="S42" s="399" t="s">
        <v>232</v>
      </c>
      <c r="T42" s="138"/>
      <c r="U42" s="138"/>
      <c r="V42" s="485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</row>
    <row r="43" spans="1:43" ht="15.6" customHeight="1" thickTop="1" thickBot="1" x14ac:dyDescent="0.35">
      <c r="A43" s="145"/>
      <c r="B43" s="470" t="s">
        <v>248</v>
      </c>
      <c r="C43" s="471"/>
      <c r="D43" s="472"/>
      <c r="E43" s="401">
        <v>16500</v>
      </c>
      <c r="F43" s="732"/>
      <c r="G43" s="451">
        <f t="shared" si="2"/>
        <v>3000</v>
      </c>
      <c r="H43" s="488">
        <v>13500</v>
      </c>
      <c r="I43" s="138"/>
      <c r="J43" s="138"/>
      <c r="K43" s="138"/>
      <c r="L43" s="138"/>
      <c r="M43" s="138"/>
      <c r="N43" s="138"/>
      <c r="O43" s="138"/>
      <c r="P43" s="494" t="s">
        <v>278</v>
      </c>
      <c r="Q43" s="495"/>
      <c r="R43" s="495"/>
      <c r="S43" s="493">
        <v>119800</v>
      </c>
      <c r="T43" s="138"/>
      <c r="U43" s="138"/>
      <c r="V43" s="485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M43" s="642" t="s">
        <v>279</v>
      </c>
      <c r="AN43" s="643" t="s">
        <v>256</v>
      </c>
    </row>
    <row r="44" spans="1:43" ht="15.6" customHeight="1" thickTop="1" thickBot="1" x14ac:dyDescent="0.35">
      <c r="A44" s="145"/>
      <c r="B44" s="473" t="s">
        <v>251</v>
      </c>
      <c r="C44" s="474"/>
      <c r="D44" s="475"/>
      <c r="E44" s="399" t="s">
        <v>232</v>
      </c>
      <c r="F44" s="732"/>
      <c r="G44" s="453" t="str">
        <f t="shared" si="2"/>
        <v>-</v>
      </c>
      <c r="H44" s="489" t="s">
        <v>232</v>
      </c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M44" s="644" t="s">
        <v>257</v>
      </c>
      <c r="AN44" s="645" t="s">
        <v>258</v>
      </c>
    </row>
    <row r="45" spans="1:43" ht="15.6" thickTop="1" thickBot="1" x14ac:dyDescent="0.35">
      <c r="A45" s="145"/>
      <c r="B45" s="482" t="s">
        <v>253</v>
      </c>
      <c r="C45" s="483"/>
      <c r="D45" s="484"/>
      <c r="E45" s="397">
        <f>SUM(E31:E44)</f>
        <v>326732</v>
      </c>
      <c r="F45" s="732"/>
      <c r="G45" s="397">
        <f>E45-H45</f>
        <v>26042</v>
      </c>
      <c r="H45" s="397">
        <f>SUM(H31:H44)</f>
        <v>300690</v>
      </c>
      <c r="I45" s="138"/>
      <c r="J45" s="138"/>
      <c r="K45" s="138"/>
      <c r="L45" s="138"/>
      <c r="M45" s="138"/>
      <c r="N45" s="138"/>
      <c r="O45" s="138"/>
      <c r="P45" s="479" t="s">
        <v>280</v>
      </c>
      <c r="Q45" s="480"/>
      <c r="R45" s="481"/>
      <c r="S45" s="394">
        <v>45897.65347222222</v>
      </c>
      <c r="T45" s="138"/>
      <c r="U45" s="145"/>
      <c r="V45" s="145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M45" s="646" t="s">
        <v>260</v>
      </c>
      <c r="AN45" s="647">
        <v>90</v>
      </c>
    </row>
    <row r="46" spans="1:43" ht="15.6" thickTop="1" thickBot="1" x14ac:dyDescent="0.35">
      <c r="A46" s="145"/>
      <c r="B46" s="734"/>
      <c r="C46" s="734"/>
      <c r="D46" s="734"/>
      <c r="E46" s="734"/>
      <c r="F46" s="734"/>
      <c r="G46" s="734"/>
      <c r="H46" s="734"/>
      <c r="I46" s="138"/>
      <c r="J46" s="138"/>
      <c r="K46" s="138"/>
      <c r="L46" s="138"/>
      <c r="M46" s="138"/>
      <c r="N46" s="138"/>
      <c r="O46" s="138"/>
      <c r="P46" s="476" t="s">
        <v>228</v>
      </c>
      <c r="Q46" s="477"/>
      <c r="R46" s="478"/>
      <c r="S46" s="396">
        <v>45914</v>
      </c>
      <c r="T46" s="138"/>
      <c r="U46" s="145"/>
      <c r="V46" s="145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M46" s="644" t="s">
        <v>261</v>
      </c>
      <c r="AN46" s="648">
        <v>39500</v>
      </c>
    </row>
    <row r="47" spans="1:43" ht="15.6" thickTop="1" thickBot="1" x14ac:dyDescent="0.35">
      <c r="A47" s="145"/>
      <c r="B47" s="870" t="s">
        <v>281</v>
      </c>
      <c r="C47" s="871"/>
      <c r="D47" s="872"/>
      <c r="E47" s="750" t="s">
        <v>282</v>
      </c>
      <c r="F47" s="734"/>
      <c r="G47" s="734"/>
      <c r="H47" s="734"/>
      <c r="I47" s="138"/>
      <c r="J47" s="138"/>
      <c r="K47" s="138"/>
      <c r="L47" s="138"/>
      <c r="M47" s="138"/>
      <c r="N47" s="138"/>
      <c r="O47" s="138"/>
      <c r="P47" s="467" t="s">
        <v>229</v>
      </c>
      <c r="Q47" s="468"/>
      <c r="R47" s="469"/>
      <c r="S47" s="403">
        <v>88.5</v>
      </c>
      <c r="T47" s="138"/>
      <c r="U47" s="145"/>
      <c r="V47" s="145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M47" s="646" t="s">
        <v>263</v>
      </c>
      <c r="AN47" s="649">
        <v>3000</v>
      </c>
    </row>
    <row r="48" spans="1:43" ht="15.6" thickTop="1" thickBot="1" x14ac:dyDescent="0.35">
      <c r="A48" s="145"/>
      <c r="B48" s="663" t="s">
        <v>128</v>
      </c>
      <c r="C48" s="664"/>
      <c r="D48" s="664"/>
      <c r="E48" s="631" t="s">
        <v>283</v>
      </c>
      <c r="F48" s="734"/>
      <c r="G48" s="734"/>
      <c r="H48" s="734"/>
      <c r="I48" s="138"/>
      <c r="J48" s="138"/>
      <c r="K48" s="138"/>
      <c r="L48" s="138"/>
      <c r="M48" s="138"/>
      <c r="N48" s="138"/>
      <c r="O48" s="138"/>
      <c r="P48" s="470" t="s">
        <v>284</v>
      </c>
      <c r="Q48" s="471"/>
      <c r="R48" s="472"/>
      <c r="S48" s="401">
        <v>39000</v>
      </c>
      <c r="T48" s="138"/>
      <c r="U48" s="457">
        <v>5000</v>
      </c>
      <c r="V48" s="486">
        <v>34000</v>
      </c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M48" s="644" t="s">
        <v>285</v>
      </c>
      <c r="AN48" s="648">
        <f>160*90</f>
        <v>14400</v>
      </c>
    </row>
    <row r="49" spans="1:40" ht="15.6" thickTop="1" thickBot="1" x14ac:dyDescent="0.35">
      <c r="A49" s="145"/>
      <c r="B49" s="653" t="s">
        <v>286</v>
      </c>
      <c r="C49" s="665"/>
      <c r="D49" s="665"/>
      <c r="E49" s="632" t="s">
        <v>287</v>
      </c>
      <c r="F49" s="734"/>
      <c r="G49" s="734"/>
      <c r="H49" s="734"/>
      <c r="I49" s="138"/>
      <c r="J49" s="138"/>
      <c r="K49" s="138"/>
      <c r="L49" s="138"/>
      <c r="M49" s="138"/>
      <c r="N49" s="138"/>
      <c r="O49" s="138"/>
      <c r="P49" s="473" t="s">
        <v>233</v>
      </c>
      <c r="Q49" s="474"/>
      <c r="R49" s="475"/>
      <c r="S49" s="399">
        <v>2800</v>
      </c>
      <c r="T49" s="138"/>
      <c r="U49" s="453">
        <v>0</v>
      </c>
      <c r="V49" s="487">
        <v>2800</v>
      </c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M49" s="646" t="s">
        <v>265</v>
      </c>
      <c r="AN49" s="649">
        <v>0</v>
      </c>
    </row>
    <row r="50" spans="1:40" ht="15.6" thickTop="1" thickBot="1" x14ac:dyDescent="0.35">
      <c r="A50" s="145"/>
      <c r="B50" s="666" t="s">
        <v>288</v>
      </c>
      <c r="C50" s="667"/>
      <c r="D50" s="667"/>
      <c r="E50" s="633">
        <v>62000</v>
      </c>
      <c r="F50" s="734"/>
      <c r="G50" s="734"/>
      <c r="H50" s="734"/>
      <c r="I50" s="138"/>
      <c r="J50" s="138"/>
      <c r="K50" s="138"/>
      <c r="L50" s="138"/>
      <c r="M50" s="138"/>
      <c r="N50" s="138"/>
      <c r="O50" s="138"/>
      <c r="P50" s="470" t="s">
        <v>289</v>
      </c>
      <c r="Q50" s="471"/>
      <c r="R50" s="472"/>
      <c r="S50" s="401">
        <v>14160</v>
      </c>
      <c r="T50" s="138"/>
      <c r="U50" s="451">
        <v>9735</v>
      </c>
      <c r="V50" s="488">
        <v>4425</v>
      </c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M50" s="644" t="s">
        <v>266</v>
      </c>
      <c r="AN50" s="648">
        <v>13500</v>
      </c>
    </row>
    <row r="51" spans="1:40" ht="15.6" thickTop="1" thickBot="1" x14ac:dyDescent="0.35">
      <c r="A51" s="145"/>
      <c r="B51" s="653" t="s">
        <v>290</v>
      </c>
      <c r="C51" s="665"/>
      <c r="D51" s="665"/>
      <c r="E51" s="634">
        <v>2020</v>
      </c>
      <c r="F51" s="734"/>
      <c r="G51" s="734"/>
      <c r="H51" s="734"/>
      <c r="I51" s="138"/>
      <c r="J51" s="138"/>
      <c r="K51" s="138"/>
      <c r="L51" s="138"/>
      <c r="M51" s="138"/>
      <c r="N51" s="138"/>
      <c r="O51" s="138"/>
      <c r="P51" s="473" t="s">
        <v>236</v>
      </c>
      <c r="Q51" s="474"/>
      <c r="R51" s="475"/>
      <c r="S51" s="399">
        <v>0</v>
      </c>
      <c r="T51" s="138"/>
      <c r="U51" s="453">
        <v>0</v>
      </c>
      <c r="V51" s="487">
        <v>0</v>
      </c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M51" s="646" t="s">
        <v>267</v>
      </c>
      <c r="AN51" s="649">
        <v>1770</v>
      </c>
    </row>
    <row r="52" spans="1:40" ht="15.6" thickTop="1" thickBot="1" x14ac:dyDescent="0.35">
      <c r="A52" s="145"/>
      <c r="B52" s="666" t="s">
        <v>291</v>
      </c>
      <c r="C52" s="667"/>
      <c r="D52" s="667"/>
      <c r="E52" s="633" t="s">
        <v>232</v>
      </c>
      <c r="F52" s="734"/>
      <c r="G52" s="734"/>
      <c r="H52" s="734"/>
      <c r="I52" s="138"/>
      <c r="J52" s="138"/>
      <c r="K52" s="138"/>
      <c r="L52" s="138"/>
      <c r="M52" s="138"/>
      <c r="N52" s="138"/>
      <c r="O52" s="138"/>
      <c r="P52" s="470" t="s">
        <v>243</v>
      </c>
      <c r="Q52" s="471"/>
      <c r="R52" s="472"/>
      <c r="S52" s="401">
        <v>14500</v>
      </c>
      <c r="T52" s="138"/>
      <c r="U52" s="451">
        <v>4700</v>
      </c>
      <c r="V52" s="488">
        <v>9800</v>
      </c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M52" s="644" t="s">
        <v>268</v>
      </c>
      <c r="AN52" s="648">
        <v>0</v>
      </c>
    </row>
    <row r="53" spans="1:40" ht="15.6" thickTop="1" thickBot="1" x14ac:dyDescent="0.35">
      <c r="A53" s="145"/>
      <c r="B53" s="653" t="s">
        <v>1155</v>
      </c>
      <c r="C53" s="665"/>
      <c r="D53" s="665"/>
      <c r="E53" s="634">
        <f>3550*92</f>
        <v>326600</v>
      </c>
      <c r="F53" s="734"/>
      <c r="G53" s="734"/>
      <c r="H53" s="734"/>
      <c r="I53" s="138"/>
      <c r="J53" s="138"/>
      <c r="K53" s="138"/>
      <c r="L53" s="138"/>
      <c r="M53" s="138"/>
      <c r="N53" s="138"/>
      <c r="O53" s="138"/>
      <c r="P53" s="473" t="s">
        <v>238</v>
      </c>
      <c r="Q53" s="474"/>
      <c r="R53" s="475"/>
      <c r="S53" s="399">
        <v>1770</v>
      </c>
      <c r="T53" s="138"/>
      <c r="U53" s="453">
        <v>0</v>
      </c>
      <c r="V53" s="487">
        <v>1770</v>
      </c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M53" s="646" t="s">
        <v>270</v>
      </c>
      <c r="AN53" s="649">
        <v>16500</v>
      </c>
    </row>
    <row r="54" spans="1:40" ht="15.6" thickTop="1" thickBot="1" x14ac:dyDescent="0.35">
      <c r="A54" s="145"/>
      <c r="B54" s="666" t="s">
        <v>292</v>
      </c>
      <c r="C54" s="667"/>
      <c r="D54" s="667"/>
      <c r="E54" s="633" t="s">
        <v>232</v>
      </c>
      <c r="F54" s="734"/>
      <c r="G54" s="734"/>
      <c r="H54" s="734"/>
      <c r="I54" s="138"/>
      <c r="J54" s="138"/>
      <c r="K54" s="138"/>
      <c r="L54" s="138"/>
      <c r="M54" s="138"/>
      <c r="N54" s="138"/>
      <c r="O54" s="138"/>
      <c r="P54" s="470" t="s">
        <v>239</v>
      </c>
      <c r="Q54" s="471"/>
      <c r="R54" s="472"/>
      <c r="S54" s="401" t="s">
        <v>232</v>
      </c>
      <c r="T54" s="138"/>
      <c r="U54" s="451" t="e" vm="3">
        <v>#VALUE!</v>
      </c>
      <c r="V54" s="488" t="s">
        <v>232</v>
      </c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M54" s="644" t="s">
        <v>293</v>
      </c>
      <c r="AN54" s="648">
        <v>0</v>
      </c>
    </row>
    <row r="55" spans="1:40" ht="15.6" thickTop="1" thickBot="1" x14ac:dyDescent="0.35">
      <c r="A55" s="145"/>
      <c r="B55" s="653" t="s">
        <v>294</v>
      </c>
      <c r="C55" s="665"/>
      <c r="D55" s="665"/>
      <c r="E55" s="634">
        <v>12000</v>
      </c>
      <c r="F55" s="734"/>
      <c r="G55" s="734"/>
      <c r="H55" s="734"/>
      <c r="I55" s="138"/>
      <c r="J55" s="138"/>
      <c r="K55" s="138"/>
      <c r="L55" s="138"/>
      <c r="M55" s="138"/>
      <c r="N55" s="138"/>
      <c r="O55" s="138"/>
      <c r="P55" s="473" t="s">
        <v>241</v>
      </c>
      <c r="Q55" s="474"/>
      <c r="R55" s="475"/>
      <c r="S55" s="399">
        <v>16500</v>
      </c>
      <c r="T55" s="138"/>
      <c r="U55" s="453">
        <v>1500</v>
      </c>
      <c r="V55" s="487">
        <v>15000</v>
      </c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M55" s="646" t="s">
        <v>273</v>
      </c>
      <c r="AN55" s="649">
        <v>4000</v>
      </c>
    </row>
    <row r="56" spans="1:40" ht="15.6" thickTop="1" thickBot="1" x14ac:dyDescent="0.35">
      <c r="A56" s="145"/>
      <c r="B56" s="666" t="s">
        <v>295</v>
      </c>
      <c r="C56" s="667"/>
      <c r="D56" s="667"/>
      <c r="E56" s="633">
        <v>6500</v>
      </c>
      <c r="F56" s="734"/>
      <c r="G56" s="734"/>
      <c r="H56" s="734"/>
      <c r="I56" s="138"/>
      <c r="J56" s="138"/>
      <c r="K56" s="138"/>
      <c r="L56" s="138"/>
      <c r="M56" s="138"/>
      <c r="N56" s="138"/>
      <c r="O56" s="138"/>
      <c r="P56" s="470" t="s">
        <v>296</v>
      </c>
      <c r="Q56" s="471"/>
      <c r="R56" s="472"/>
      <c r="S56" s="401">
        <v>0</v>
      </c>
      <c r="T56" s="138"/>
      <c r="U56" s="451">
        <v>0</v>
      </c>
      <c r="V56" s="488">
        <v>0</v>
      </c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M56" s="644" t="s">
        <v>274</v>
      </c>
      <c r="AN56" s="648">
        <v>5100</v>
      </c>
    </row>
    <row r="57" spans="1:40" ht="15.6" thickTop="1" thickBot="1" x14ac:dyDescent="0.35">
      <c r="A57" s="145"/>
      <c r="B57" s="653" t="s">
        <v>314</v>
      </c>
      <c r="C57" s="665"/>
      <c r="D57" s="665"/>
      <c r="E57" s="634" t="s">
        <v>232</v>
      </c>
      <c r="F57" s="734"/>
      <c r="G57" s="734"/>
      <c r="H57" s="734"/>
      <c r="I57" s="138"/>
      <c r="J57" s="138"/>
      <c r="K57" s="138"/>
      <c r="L57" s="138"/>
      <c r="M57" s="138"/>
      <c r="N57" s="138"/>
      <c r="O57" s="138"/>
      <c r="P57" s="473" t="s">
        <v>244</v>
      </c>
      <c r="Q57" s="474"/>
      <c r="R57" s="475"/>
      <c r="S57" s="399">
        <v>5100</v>
      </c>
      <c r="T57" s="138"/>
      <c r="U57" s="453">
        <v>0</v>
      </c>
      <c r="V57" s="487">
        <v>5100</v>
      </c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M57" s="646" t="s">
        <v>107</v>
      </c>
      <c r="AN57" s="649">
        <v>4000</v>
      </c>
    </row>
    <row r="58" spans="1:40" ht="15.6" thickTop="1" thickBot="1" x14ac:dyDescent="0.35">
      <c r="A58" s="145"/>
      <c r="B58" s="666" t="s">
        <v>315</v>
      </c>
      <c r="C58" s="667"/>
      <c r="D58" s="667"/>
      <c r="E58" s="633" t="s">
        <v>232</v>
      </c>
      <c r="F58" s="734"/>
      <c r="G58" s="734"/>
      <c r="H58" s="734"/>
      <c r="I58" s="138"/>
      <c r="J58" s="138"/>
      <c r="K58" s="138"/>
      <c r="L58" s="138"/>
      <c r="M58" s="138"/>
      <c r="N58" s="138"/>
      <c r="O58" s="138"/>
      <c r="P58" s="470" t="s">
        <v>245</v>
      </c>
      <c r="Q58" s="471"/>
      <c r="R58" s="472"/>
      <c r="S58" s="401">
        <v>0</v>
      </c>
      <c r="T58" s="138"/>
      <c r="U58" s="451">
        <v>0</v>
      </c>
      <c r="V58" s="488">
        <v>0</v>
      </c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M58" s="644" t="s">
        <v>275</v>
      </c>
      <c r="AN58" s="648">
        <v>3000</v>
      </c>
    </row>
    <row r="59" spans="1:40" ht="15.6" thickTop="1" thickBot="1" x14ac:dyDescent="0.35">
      <c r="A59" s="145"/>
      <c r="B59" s="653" t="s">
        <v>316</v>
      </c>
      <c r="C59" s="665"/>
      <c r="D59" s="665"/>
      <c r="E59" s="634" t="s">
        <v>232</v>
      </c>
      <c r="F59" s="734"/>
      <c r="G59" s="734"/>
      <c r="H59" s="734"/>
      <c r="I59" s="138"/>
      <c r="J59" s="138"/>
      <c r="K59" s="138"/>
      <c r="L59" s="138"/>
      <c r="M59" s="138"/>
      <c r="N59" s="138"/>
      <c r="O59" s="138"/>
      <c r="P59" s="473" t="s">
        <v>247</v>
      </c>
      <c r="Q59" s="474"/>
      <c r="R59" s="475"/>
      <c r="S59" s="399">
        <v>3500</v>
      </c>
      <c r="T59" s="138"/>
      <c r="U59" s="453">
        <v>1000</v>
      </c>
      <c r="V59" s="487">
        <v>2500</v>
      </c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M59" s="646" t="s">
        <v>276</v>
      </c>
      <c r="AN59" s="649">
        <v>14500</v>
      </c>
    </row>
    <row r="60" spans="1:40" ht="15.6" thickTop="1" thickBot="1" x14ac:dyDescent="0.35">
      <c r="A60" s="145"/>
      <c r="B60" s="666" t="s">
        <v>297</v>
      </c>
      <c r="C60" s="667"/>
      <c r="D60" s="667"/>
      <c r="E60" s="633">
        <v>1790</v>
      </c>
      <c r="F60" s="734"/>
      <c r="G60" s="734"/>
      <c r="H60" s="734"/>
      <c r="I60" s="138"/>
      <c r="J60" s="138"/>
      <c r="K60" s="138"/>
      <c r="L60" s="138"/>
      <c r="M60" s="138"/>
      <c r="N60" s="138"/>
      <c r="O60" s="138"/>
      <c r="P60" s="470" t="s">
        <v>248</v>
      </c>
      <c r="Q60" s="471"/>
      <c r="R60" s="472"/>
      <c r="S60" s="401">
        <v>15500</v>
      </c>
      <c r="T60" s="138"/>
      <c r="U60" s="451">
        <v>2000</v>
      </c>
      <c r="V60" s="488">
        <v>13500</v>
      </c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M60" s="644" t="s">
        <v>277</v>
      </c>
      <c r="AN60" s="650" t="s">
        <v>232</v>
      </c>
    </row>
    <row r="61" spans="1:40" ht="15.6" thickTop="1" thickBot="1" x14ac:dyDescent="0.35">
      <c r="A61" s="145"/>
      <c r="B61" s="653" t="s">
        <v>298</v>
      </c>
      <c r="C61" s="665"/>
      <c r="D61" s="665"/>
      <c r="E61" s="634">
        <v>20000</v>
      </c>
      <c r="F61" s="734"/>
      <c r="G61" s="734"/>
      <c r="H61" s="734"/>
      <c r="I61" s="138"/>
      <c r="J61" s="138"/>
      <c r="K61" s="138"/>
      <c r="L61" s="138"/>
      <c r="M61" s="138"/>
      <c r="N61" s="138"/>
      <c r="O61" s="138"/>
      <c r="P61" s="473" t="s">
        <v>251</v>
      </c>
      <c r="Q61" s="474"/>
      <c r="R61" s="475"/>
      <c r="S61" s="399" t="s">
        <v>232</v>
      </c>
      <c r="T61" s="138"/>
      <c r="U61" s="452" t="e" vm="3">
        <v>#VALUE!</v>
      </c>
      <c r="V61" s="489" t="s">
        <v>232</v>
      </c>
      <c r="W61" s="138"/>
      <c r="X61" s="138"/>
      <c r="Y61" s="138"/>
      <c r="Z61" s="138"/>
      <c r="AA61" s="138"/>
      <c r="AB61" s="138"/>
      <c r="AC61" s="138"/>
      <c r="AD61" s="138"/>
      <c r="AE61" s="138"/>
      <c r="AF61" s="138"/>
      <c r="AG61" s="138"/>
      <c r="AH61" s="138"/>
      <c r="AI61" s="138"/>
      <c r="AJ61" s="138"/>
      <c r="AK61" s="138"/>
      <c r="AM61" s="651" t="s">
        <v>278</v>
      </c>
      <c r="AN61" s="652">
        <f>SUM(AN46:AN60)</f>
        <v>119270</v>
      </c>
    </row>
    <row r="62" spans="1:40" ht="15.6" thickTop="1" thickBot="1" x14ac:dyDescent="0.35">
      <c r="A62" s="145"/>
      <c r="B62" s="666" t="s">
        <v>299</v>
      </c>
      <c r="C62" s="667"/>
      <c r="D62" s="667"/>
      <c r="E62" s="633" t="s">
        <v>232</v>
      </c>
      <c r="F62" s="734"/>
      <c r="G62" s="734"/>
      <c r="H62" s="734"/>
      <c r="I62" s="138"/>
      <c r="J62" s="138"/>
      <c r="K62" s="138"/>
      <c r="L62" s="138"/>
      <c r="M62" s="138"/>
      <c r="N62" s="138"/>
      <c r="O62" s="138"/>
      <c r="P62" s="482" t="s">
        <v>253</v>
      </c>
      <c r="Q62" s="483"/>
      <c r="R62" s="484"/>
      <c r="S62" s="397">
        <v>112830</v>
      </c>
      <c r="T62" s="138"/>
      <c r="U62" s="397">
        <v>23935</v>
      </c>
      <c r="V62" s="397">
        <v>88895</v>
      </c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</row>
    <row r="63" spans="1:40" ht="15.6" thickTop="1" thickBot="1" x14ac:dyDescent="0.35">
      <c r="A63" s="145"/>
      <c r="B63" s="653" t="s">
        <v>300</v>
      </c>
      <c r="C63" s="665"/>
      <c r="D63" s="665"/>
      <c r="E63" s="634">
        <v>3750</v>
      </c>
      <c r="F63" s="734"/>
      <c r="G63" s="734"/>
      <c r="H63" s="734"/>
      <c r="I63" s="138"/>
      <c r="J63" s="138"/>
      <c r="K63" s="138"/>
      <c r="L63" s="138"/>
      <c r="M63" s="138"/>
      <c r="N63" s="138"/>
      <c r="O63" s="138"/>
      <c r="T63" s="138"/>
      <c r="U63" s="138"/>
      <c r="V63" s="138"/>
      <c r="W63" s="138"/>
      <c r="X63" s="138"/>
      <c r="Y63" s="138"/>
      <c r="Z63" s="138"/>
      <c r="AA63" s="138"/>
      <c r="AB63" s="138"/>
      <c r="AC63" s="138"/>
      <c r="AD63" s="138"/>
      <c r="AE63" s="138"/>
      <c r="AF63" s="138"/>
      <c r="AG63" s="138"/>
      <c r="AH63" s="138"/>
      <c r="AI63" s="138"/>
      <c r="AJ63" s="138"/>
      <c r="AK63" s="138"/>
    </row>
    <row r="64" spans="1:40" ht="15.6" thickTop="1" thickBot="1" x14ac:dyDescent="0.35">
      <c r="A64" s="145"/>
      <c r="B64" s="666" t="s">
        <v>301</v>
      </c>
      <c r="C64" s="667"/>
      <c r="D64" s="667"/>
      <c r="E64" s="633">
        <v>7000</v>
      </c>
      <c r="F64" s="734"/>
      <c r="G64" s="734"/>
      <c r="H64" s="734"/>
      <c r="I64" s="138"/>
      <c r="J64" s="138"/>
      <c r="K64" s="138"/>
      <c r="L64" s="138"/>
      <c r="M64" s="138"/>
      <c r="N64" s="138"/>
      <c r="O64" s="138"/>
      <c r="P64" s="668" t="s">
        <v>302</v>
      </c>
      <c r="Q64" s="669"/>
      <c r="R64" s="670"/>
      <c r="S64" s="499" t="s">
        <v>282</v>
      </c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</row>
    <row r="65" spans="1:37" ht="15" thickBot="1" x14ac:dyDescent="0.35">
      <c r="A65" s="145"/>
      <c r="B65" s="653" t="s">
        <v>318</v>
      </c>
      <c r="C65" s="665"/>
      <c r="D65" s="665"/>
      <c r="E65" s="634" t="s">
        <v>232</v>
      </c>
      <c r="F65" s="734"/>
      <c r="G65" s="734"/>
      <c r="H65" s="734"/>
      <c r="I65" s="138"/>
      <c r="J65" s="138"/>
      <c r="K65" s="138"/>
      <c r="L65" s="138"/>
      <c r="M65" s="138"/>
      <c r="N65" s="138"/>
      <c r="O65" s="138"/>
      <c r="P65" s="500" t="s">
        <v>303</v>
      </c>
      <c r="Q65" s="501"/>
      <c r="R65" s="502"/>
      <c r="S65" s="671" t="s">
        <v>283</v>
      </c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</row>
    <row r="66" spans="1:37" ht="15" thickBot="1" x14ac:dyDescent="0.35">
      <c r="A66" s="145"/>
      <c r="B66" s="666" t="s">
        <v>304</v>
      </c>
      <c r="C66" s="667"/>
      <c r="D66" s="667"/>
      <c r="E66" s="633" t="s">
        <v>232</v>
      </c>
      <c r="F66" s="734"/>
      <c r="G66" s="734"/>
      <c r="H66" s="734"/>
      <c r="I66" s="138"/>
      <c r="J66" s="138"/>
      <c r="K66" s="138"/>
      <c r="L66" s="138"/>
      <c r="M66" s="138"/>
      <c r="N66" s="138"/>
      <c r="O66" s="138"/>
      <c r="P66" s="503" t="s">
        <v>286</v>
      </c>
      <c r="Q66" s="504"/>
      <c r="R66" s="505"/>
      <c r="S66" s="506" t="s">
        <v>287</v>
      </c>
      <c r="T66" s="138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</row>
    <row r="67" spans="1:37" x14ac:dyDescent="0.3">
      <c r="A67" s="145"/>
      <c r="B67" s="653" t="s">
        <v>305</v>
      </c>
      <c r="C67" s="665"/>
      <c r="D67" s="665"/>
      <c r="E67" s="634" t="s">
        <v>232</v>
      </c>
      <c r="F67" s="734"/>
      <c r="G67" s="734"/>
      <c r="H67" s="734"/>
      <c r="I67" s="138"/>
      <c r="J67" s="138"/>
      <c r="K67" s="138"/>
      <c r="L67" s="138"/>
      <c r="M67" s="138"/>
      <c r="N67" s="138"/>
      <c r="O67" s="138"/>
      <c r="P67" s="500" t="s">
        <v>306</v>
      </c>
      <c r="Q67" s="501"/>
      <c r="R67" s="502"/>
      <c r="S67" s="672">
        <v>62000</v>
      </c>
      <c r="T67" s="138"/>
      <c r="U67" s="138"/>
      <c r="V67" s="138"/>
      <c r="W67" s="138"/>
      <c r="X67" s="138"/>
      <c r="Y67" s="138"/>
      <c r="Z67" s="138"/>
      <c r="AA67" s="138"/>
      <c r="AB67" s="138"/>
      <c r="AC67" s="138"/>
      <c r="AD67" s="138"/>
      <c r="AE67" s="138"/>
      <c r="AF67" s="138"/>
      <c r="AG67" s="138"/>
      <c r="AH67" s="138"/>
      <c r="AI67" s="138"/>
      <c r="AJ67" s="138"/>
      <c r="AK67" s="138"/>
    </row>
    <row r="68" spans="1:37" x14ac:dyDescent="0.3">
      <c r="A68" s="145"/>
      <c r="B68" s="666" t="s">
        <v>307</v>
      </c>
      <c r="C68" s="667"/>
      <c r="D68" s="667"/>
      <c r="E68" s="633" t="s">
        <v>308</v>
      </c>
      <c r="F68" s="734"/>
      <c r="G68" s="734"/>
      <c r="H68" s="734"/>
      <c r="I68" s="138"/>
      <c r="J68" s="138"/>
      <c r="K68" s="138"/>
      <c r="L68" s="138"/>
      <c r="M68" s="138"/>
      <c r="N68" s="138"/>
      <c r="O68" s="138"/>
      <c r="P68" s="503" t="s">
        <v>290</v>
      </c>
      <c r="Q68" s="504"/>
      <c r="R68" s="505"/>
      <c r="S68" s="673">
        <v>0</v>
      </c>
      <c r="T68" s="138"/>
      <c r="U68" s="138"/>
      <c r="V68" s="138"/>
      <c r="W68" s="138"/>
      <c r="X68" s="138"/>
      <c r="Y68" s="138"/>
      <c r="Z68" s="138"/>
      <c r="AA68" s="138"/>
      <c r="AB68" s="138"/>
      <c r="AC68" s="138"/>
      <c r="AD68" s="138"/>
      <c r="AE68" s="138"/>
      <c r="AF68" s="138"/>
      <c r="AG68" s="138"/>
      <c r="AH68" s="138"/>
      <c r="AI68" s="138"/>
      <c r="AJ68" s="138"/>
      <c r="AK68" s="138"/>
    </row>
    <row r="69" spans="1:37" x14ac:dyDescent="0.3">
      <c r="A69" s="145"/>
      <c r="B69" s="653" t="s">
        <v>309</v>
      </c>
      <c r="C69" s="665"/>
      <c r="D69" s="665"/>
      <c r="E69" s="634" t="s">
        <v>232</v>
      </c>
      <c r="F69" s="734"/>
      <c r="G69" s="734"/>
      <c r="H69" s="734"/>
      <c r="I69" s="138"/>
      <c r="J69" s="138"/>
      <c r="K69" s="138"/>
      <c r="L69" s="138"/>
      <c r="M69" s="138"/>
      <c r="N69" s="138"/>
      <c r="O69" s="138"/>
      <c r="P69" s="500" t="s">
        <v>291</v>
      </c>
      <c r="Q69" s="501"/>
      <c r="R69" s="502"/>
      <c r="S69" s="672">
        <v>0</v>
      </c>
      <c r="T69" s="138"/>
      <c r="U69" s="138"/>
      <c r="V69" s="138"/>
      <c r="W69" s="138"/>
      <c r="X69" s="138"/>
      <c r="Y69" s="138"/>
      <c r="Z69" s="138"/>
      <c r="AA69" s="138"/>
      <c r="AB69" s="138"/>
      <c r="AC69" s="138"/>
      <c r="AD69" s="138"/>
      <c r="AE69" s="138"/>
      <c r="AF69" s="138"/>
      <c r="AG69" s="138"/>
      <c r="AH69" s="138"/>
      <c r="AI69" s="138"/>
      <c r="AJ69" s="138"/>
      <c r="AK69" s="138"/>
    </row>
    <row r="70" spans="1:37" x14ac:dyDescent="0.3">
      <c r="A70" s="145"/>
      <c r="B70" s="666" t="s">
        <v>275</v>
      </c>
      <c r="C70" s="667"/>
      <c r="D70" s="667"/>
      <c r="E70" s="633">
        <v>5000</v>
      </c>
      <c r="F70" s="734"/>
      <c r="G70" s="734"/>
      <c r="H70" s="734"/>
      <c r="I70" s="138"/>
      <c r="J70" s="138"/>
      <c r="K70" s="138"/>
      <c r="L70" s="138"/>
      <c r="M70" s="138"/>
      <c r="N70" s="138"/>
      <c r="O70" s="138"/>
      <c r="P70" s="503" t="s">
        <v>310</v>
      </c>
      <c r="Q70" s="504"/>
      <c r="R70" s="505"/>
      <c r="S70" s="673">
        <f>3450*89.5</f>
        <v>308775</v>
      </c>
      <c r="T70" s="138"/>
      <c r="U70" s="138"/>
      <c r="V70" s="138"/>
      <c r="W70" s="138"/>
      <c r="X70" s="138"/>
      <c r="Y70" s="138"/>
      <c r="Z70" s="138"/>
      <c r="AA70" s="138"/>
      <c r="AB70" s="138"/>
      <c r="AC70" s="138"/>
      <c r="AD70" s="138"/>
      <c r="AE70" s="138"/>
      <c r="AF70" s="138"/>
      <c r="AG70" s="138"/>
      <c r="AH70" s="138"/>
      <c r="AI70" s="138"/>
      <c r="AJ70" s="138"/>
      <c r="AK70" s="138"/>
    </row>
    <row r="71" spans="1:37" x14ac:dyDescent="0.3">
      <c r="A71" s="145"/>
      <c r="B71" s="653" t="s">
        <v>311</v>
      </c>
      <c r="C71" s="665"/>
      <c r="D71" s="665"/>
      <c r="E71" s="634">
        <v>12500</v>
      </c>
      <c r="F71" s="734"/>
      <c r="G71" s="734"/>
      <c r="H71" s="734"/>
      <c r="I71" s="138"/>
      <c r="J71" s="138"/>
      <c r="K71" s="138"/>
      <c r="L71" s="138"/>
      <c r="M71" s="138"/>
      <c r="N71" s="138"/>
      <c r="O71" s="138"/>
      <c r="P71" s="500" t="s">
        <v>292</v>
      </c>
      <c r="Q71" s="501"/>
      <c r="R71" s="502"/>
      <c r="S71" s="672">
        <v>0</v>
      </c>
      <c r="T71" s="138"/>
      <c r="U71" s="138"/>
      <c r="V71" s="138"/>
      <c r="W71" s="138"/>
      <c r="X71" s="138"/>
      <c r="Y71" s="138"/>
      <c r="Z71" s="138"/>
      <c r="AA71" s="138"/>
      <c r="AB71" s="138"/>
      <c r="AC71" s="138"/>
      <c r="AD71" s="138"/>
      <c r="AE71" s="138"/>
      <c r="AF71" s="138"/>
      <c r="AG71" s="138"/>
      <c r="AH71" s="138"/>
      <c r="AI71" s="138"/>
      <c r="AJ71" s="138"/>
      <c r="AK71" s="138"/>
    </row>
    <row r="72" spans="1:37" ht="15" thickBot="1" x14ac:dyDescent="0.35">
      <c r="A72" s="145"/>
      <c r="B72" s="674" t="s">
        <v>312</v>
      </c>
      <c r="C72" s="675"/>
      <c r="D72" s="675"/>
      <c r="E72" s="635" t="s">
        <v>232</v>
      </c>
      <c r="F72" s="734"/>
      <c r="G72" s="734"/>
      <c r="H72" s="734"/>
      <c r="I72" s="138"/>
      <c r="J72" s="138"/>
      <c r="K72" s="138"/>
      <c r="L72" s="138"/>
      <c r="M72" s="138"/>
      <c r="N72" s="138"/>
      <c r="O72" s="138"/>
      <c r="P72" s="503" t="s">
        <v>294</v>
      </c>
      <c r="Q72" s="504"/>
      <c r="R72" s="505"/>
      <c r="S72" s="673">
        <v>12000</v>
      </c>
      <c r="T72" s="138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</row>
    <row r="73" spans="1:37" ht="15.6" thickTop="1" thickBot="1" x14ac:dyDescent="0.35">
      <c r="A73" s="145"/>
      <c r="B73" s="628" t="s">
        <v>313</v>
      </c>
      <c r="C73" s="629"/>
      <c r="D73" s="630"/>
      <c r="E73" s="397">
        <f>SUM(E50:E72)</f>
        <v>459160</v>
      </c>
      <c r="F73" s="734"/>
      <c r="G73" s="734"/>
      <c r="H73" s="734"/>
      <c r="I73" s="138"/>
      <c r="J73" s="138"/>
      <c r="K73" s="138"/>
      <c r="L73" s="138"/>
      <c r="M73" s="138"/>
      <c r="N73" s="138"/>
      <c r="O73" s="138"/>
      <c r="P73" s="500" t="s">
        <v>295</v>
      </c>
      <c r="Q73" s="501"/>
      <c r="R73" s="502"/>
      <c r="S73" s="672">
        <v>6500</v>
      </c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38"/>
      <c r="AE73" s="138"/>
      <c r="AF73" s="138"/>
      <c r="AG73" s="138"/>
      <c r="AH73" s="138"/>
      <c r="AI73" s="138"/>
      <c r="AJ73" s="138"/>
      <c r="AK73" s="138"/>
    </row>
    <row r="74" spans="1:37" ht="15.6" thickTop="1" thickBot="1" x14ac:dyDescent="0.35">
      <c r="A74" s="138"/>
      <c r="B74" s="734"/>
      <c r="C74" s="734"/>
      <c r="D74" s="734"/>
      <c r="E74" s="734"/>
      <c r="F74" s="734"/>
      <c r="G74" s="734"/>
      <c r="H74" s="734"/>
      <c r="I74" s="138"/>
      <c r="J74" s="138"/>
      <c r="K74" s="138"/>
      <c r="L74" s="138"/>
      <c r="M74" s="138"/>
      <c r="N74" s="138"/>
      <c r="O74" s="138"/>
      <c r="P74" s="503" t="s">
        <v>314</v>
      </c>
      <c r="Q74" s="504"/>
      <c r="R74" s="505"/>
      <c r="S74" s="673">
        <v>0</v>
      </c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</row>
    <row r="75" spans="1:37" ht="15.6" thickTop="1" thickBot="1" x14ac:dyDescent="0.35">
      <c r="A75" s="145"/>
      <c r="B75" s="885" t="s">
        <v>1140</v>
      </c>
      <c r="C75" s="886"/>
      <c r="D75" s="887"/>
      <c r="E75" s="683" t="s">
        <v>282</v>
      </c>
      <c r="F75" s="734"/>
      <c r="G75" s="734"/>
      <c r="H75" s="734"/>
      <c r="I75" s="138"/>
      <c r="J75" s="138"/>
      <c r="K75" s="138"/>
      <c r="L75" s="138"/>
      <c r="M75" s="138"/>
      <c r="N75" s="138"/>
      <c r="O75" s="138"/>
      <c r="P75" s="500" t="s">
        <v>315</v>
      </c>
      <c r="Q75" s="501"/>
      <c r="R75" s="502"/>
      <c r="S75" s="672">
        <v>0</v>
      </c>
      <c r="T75" s="138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138"/>
      <c r="AJ75" s="138"/>
      <c r="AK75" s="138"/>
    </row>
    <row r="76" spans="1:37" ht="15" thickTop="1" x14ac:dyDescent="0.3">
      <c r="A76" s="145"/>
      <c r="B76" s="684" t="s">
        <v>128</v>
      </c>
      <c r="C76" s="685"/>
      <c r="D76" s="685"/>
      <c r="E76" s="631" t="s">
        <v>283</v>
      </c>
      <c r="F76" s="734"/>
      <c r="G76" s="631"/>
      <c r="H76" s="734"/>
      <c r="I76" s="138"/>
      <c r="J76" s="138"/>
      <c r="K76" s="138"/>
      <c r="L76" s="138"/>
      <c r="M76" s="138"/>
      <c r="N76" s="138"/>
      <c r="O76" s="138"/>
      <c r="P76" s="503" t="s">
        <v>316</v>
      </c>
      <c r="Q76" s="504"/>
      <c r="R76" s="505"/>
      <c r="S76" s="673">
        <v>0</v>
      </c>
      <c r="T76" s="138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138"/>
      <c r="AJ76" s="138"/>
      <c r="AK76" s="138"/>
    </row>
    <row r="77" spans="1:37" x14ac:dyDescent="0.3">
      <c r="A77" s="145"/>
      <c r="B77" s="686" t="s">
        <v>286</v>
      </c>
      <c r="C77" s="687"/>
      <c r="D77" s="687"/>
      <c r="E77" s="632" t="s">
        <v>287</v>
      </c>
      <c r="F77" s="734"/>
      <c r="G77" s="632"/>
      <c r="H77" s="734"/>
      <c r="I77" s="138"/>
      <c r="J77" s="138"/>
      <c r="K77" s="138"/>
      <c r="L77" s="138"/>
      <c r="M77" s="138"/>
      <c r="N77" s="138"/>
      <c r="O77" s="138"/>
      <c r="P77" s="500" t="s">
        <v>297</v>
      </c>
      <c r="Q77" s="501"/>
      <c r="R77" s="502"/>
      <c r="S77" s="672">
        <v>1790</v>
      </c>
      <c r="T77" s="138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</row>
    <row r="78" spans="1:37" x14ac:dyDescent="0.3">
      <c r="A78" s="145"/>
      <c r="B78" s="688" t="s">
        <v>288</v>
      </c>
      <c r="C78" s="689"/>
      <c r="D78" s="689"/>
      <c r="E78" s="633">
        <v>62000</v>
      </c>
      <c r="F78" s="734"/>
      <c r="G78" s="633">
        <v>61000</v>
      </c>
      <c r="H78" s="734"/>
      <c r="I78" s="138"/>
      <c r="J78" s="138"/>
      <c r="K78" s="138"/>
      <c r="L78" s="138"/>
      <c r="M78" s="138"/>
      <c r="N78" s="138"/>
      <c r="O78" s="138"/>
      <c r="P78" s="503" t="s">
        <v>317</v>
      </c>
      <c r="Q78" s="504"/>
      <c r="R78" s="505"/>
      <c r="S78" s="673">
        <v>20000</v>
      </c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</row>
    <row r="79" spans="1:37" x14ac:dyDescent="0.3">
      <c r="A79" s="145"/>
      <c r="B79" s="686" t="s">
        <v>290</v>
      </c>
      <c r="C79" s="687"/>
      <c r="D79" s="687"/>
      <c r="E79" s="634" t="s">
        <v>232</v>
      </c>
      <c r="F79" s="734"/>
      <c r="G79" s="634"/>
      <c r="H79" s="734"/>
      <c r="I79" s="138"/>
      <c r="J79" s="138"/>
      <c r="K79" s="138"/>
      <c r="L79" s="138"/>
      <c r="M79" s="138"/>
      <c r="N79" s="138"/>
      <c r="O79" s="138"/>
      <c r="P79" s="500" t="s">
        <v>299</v>
      </c>
      <c r="Q79" s="501"/>
      <c r="R79" s="502"/>
      <c r="S79" s="672" t="s">
        <v>232</v>
      </c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</row>
    <row r="80" spans="1:37" x14ac:dyDescent="0.3">
      <c r="A80" s="145"/>
      <c r="B80" s="688" t="s">
        <v>291</v>
      </c>
      <c r="C80" s="689"/>
      <c r="D80" s="689"/>
      <c r="E80" s="633" t="s">
        <v>232</v>
      </c>
      <c r="F80" s="734"/>
      <c r="G80" s="633"/>
      <c r="H80" s="734"/>
      <c r="I80" s="138"/>
      <c r="J80" s="138"/>
      <c r="K80" s="138"/>
      <c r="L80" s="138"/>
      <c r="M80" s="138"/>
      <c r="N80" s="138"/>
      <c r="O80" s="138"/>
      <c r="P80" s="503" t="s">
        <v>300</v>
      </c>
      <c r="Q80" s="504"/>
      <c r="R80" s="505"/>
      <c r="S80" s="673">
        <v>3750</v>
      </c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</row>
    <row r="81" spans="1:37" x14ac:dyDescent="0.3">
      <c r="A81" s="145"/>
      <c r="B81" s="686" t="s">
        <v>1147</v>
      </c>
      <c r="C81" s="687"/>
      <c r="D81" s="687"/>
      <c r="E81" s="634">
        <f>4320*92</f>
        <v>397440</v>
      </c>
      <c r="F81" s="734"/>
      <c r="G81" s="634">
        <f>4000*92</f>
        <v>368000</v>
      </c>
      <c r="H81" s="734"/>
      <c r="I81" s="138"/>
      <c r="J81" s="138"/>
      <c r="K81" s="138"/>
      <c r="L81" s="138"/>
      <c r="M81" s="138"/>
      <c r="N81" s="138"/>
      <c r="O81" s="138"/>
      <c r="P81" s="500" t="s">
        <v>301</v>
      </c>
      <c r="Q81" s="501"/>
      <c r="R81" s="502"/>
      <c r="S81" s="672">
        <v>7000</v>
      </c>
      <c r="T81" s="138"/>
      <c r="U81" s="138"/>
      <c r="V81" s="138"/>
      <c r="W81" s="138"/>
      <c r="X81" s="138"/>
      <c r="Y81" s="138"/>
      <c r="Z81" s="138"/>
      <c r="AA81" s="138"/>
      <c r="AB81" s="138"/>
      <c r="AC81" s="138"/>
      <c r="AD81" s="138"/>
      <c r="AE81" s="138"/>
      <c r="AF81" s="138"/>
      <c r="AG81" s="138"/>
      <c r="AH81" s="138"/>
      <c r="AI81" s="138"/>
      <c r="AJ81" s="138"/>
      <c r="AK81" s="138"/>
    </row>
    <row r="82" spans="1:37" x14ac:dyDescent="0.3">
      <c r="A82" s="145"/>
      <c r="B82" s="688" t="s">
        <v>292</v>
      </c>
      <c r="C82" s="689"/>
      <c r="D82" s="689"/>
      <c r="E82" s="633" t="s">
        <v>232</v>
      </c>
      <c r="F82" s="734"/>
      <c r="G82" s="633"/>
      <c r="H82" s="734"/>
      <c r="I82" s="138"/>
      <c r="J82" s="138"/>
      <c r="K82" s="138"/>
      <c r="L82" s="138"/>
      <c r="M82" s="138"/>
      <c r="N82" s="138"/>
      <c r="O82" s="138"/>
      <c r="P82" s="503" t="s">
        <v>318</v>
      </c>
      <c r="Q82" s="504"/>
      <c r="R82" s="505"/>
      <c r="S82" s="673">
        <v>0</v>
      </c>
      <c r="T82" s="138"/>
      <c r="U82" s="138"/>
      <c r="V82" s="138"/>
      <c r="W82" s="138"/>
      <c r="X82" s="138"/>
      <c r="Y82" s="138"/>
      <c r="Z82" s="138"/>
      <c r="AA82" s="138"/>
      <c r="AB82" s="138"/>
      <c r="AC82" s="138"/>
      <c r="AD82" s="138"/>
      <c r="AE82" s="138"/>
      <c r="AF82" s="138"/>
      <c r="AG82" s="138"/>
      <c r="AH82" s="138"/>
      <c r="AI82" s="138"/>
      <c r="AJ82" s="138"/>
      <c r="AK82" s="138"/>
    </row>
    <row r="83" spans="1:37" x14ac:dyDescent="0.3">
      <c r="A83" s="145"/>
      <c r="B83" s="686" t="s">
        <v>294</v>
      </c>
      <c r="C83" s="687"/>
      <c r="D83" s="687"/>
      <c r="E83" s="634">
        <v>12000</v>
      </c>
      <c r="F83" s="734"/>
      <c r="G83" s="634">
        <v>12000</v>
      </c>
      <c r="H83" s="734"/>
      <c r="I83" s="138"/>
      <c r="J83" s="138"/>
      <c r="K83" s="138"/>
      <c r="L83" s="138"/>
      <c r="M83" s="138"/>
      <c r="N83" s="138"/>
      <c r="O83" s="138"/>
      <c r="P83" s="500" t="s">
        <v>319</v>
      </c>
      <c r="Q83" s="501"/>
      <c r="R83" s="502"/>
      <c r="S83" s="672">
        <v>0</v>
      </c>
      <c r="T83" s="138"/>
      <c r="U83" s="138"/>
      <c r="V83" s="138"/>
      <c r="W83" s="138"/>
      <c r="X83" s="138"/>
      <c r="Y83" s="138"/>
      <c r="Z83" s="138"/>
      <c r="AA83" s="138"/>
      <c r="AB83" s="138"/>
      <c r="AC83" s="138"/>
      <c r="AD83" s="138"/>
      <c r="AE83" s="138"/>
      <c r="AF83" s="138"/>
      <c r="AG83" s="138"/>
      <c r="AH83" s="138"/>
      <c r="AI83" s="138"/>
      <c r="AJ83" s="138"/>
      <c r="AK83" s="138"/>
    </row>
    <row r="84" spans="1:37" x14ac:dyDescent="0.3">
      <c r="A84" s="145"/>
      <c r="B84" s="688" t="s">
        <v>295</v>
      </c>
      <c r="C84" s="689"/>
      <c r="D84" s="689"/>
      <c r="E84" s="633">
        <v>6500</v>
      </c>
      <c r="F84" s="734"/>
      <c r="G84" s="633">
        <v>5100</v>
      </c>
      <c r="H84" s="734"/>
      <c r="I84" s="138"/>
      <c r="J84" s="138"/>
      <c r="K84" s="138"/>
      <c r="L84" s="138"/>
      <c r="M84" s="138"/>
      <c r="N84" s="138"/>
      <c r="O84" s="138"/>
      <c r="P84" s="503" t="s">
        <v>305</v>
      </c>
      <c r="Q84" s="504"/>
      <c r="R84" s="505"/>
      <c r="S84" s="673"/>
      <c r="T84" s="138"/>
      <c r="U84" s="138"/>
      <c r="V84" s="138"/>
      <c r="W84" s="138"/>
      <c r="X84" s="138"/>
      <c r="Y84" s="138"/>
      <c r="Z84" s="138"/>
      <c r="AA84" s="138"/>
      <c r="AB84" s="138"/>
      <c r="AC84" s="138"/>
      <c r="AD84" s="138"/>
      <c r="AE84" s="138"/>
      <c r="AF84" s="138"/>
      <c r="AG84" s="138"/>
      <c r="AH84" s="138"/>
      <c r="AI84" s="138"/>
      <c r="AJ84" s="138"/>
      <c r="AK84" s="138"/>
    </row>
    <row r="85" spans="1:37" x14ac:dyDescent="0.3">
      <c r="A85" s="145"/>
      <c r="B85" s="686" t="s">
        <v>1142</v>
      </c>
      <c r="C85" s="687"/>
      <c r="D85" s="687"/>
      <c r="E85" s="634" t="s">
        <v>232</v>
      </c>
      <c r="F85" s="734"/>
      <c r="G85" s="634"/>
      <c r="H85" s="734"/>
      <c r="I85" s="138"/>
      <c r="J85" s="138"/>
      <c r="K85" s="138"/>
      <c r="L85" s="138"/>
      <c r="M85" s="138"/>
      <c r="N85" s="138"/>
      <c r="O85" s="138"/>
      <c r="P85" s="500" t="s">
        <v>307</v>
      </c>
      <c r="Q85" s="501"/>
      <c r="R85" s="502"/>
      <c r="S85" s="672" t="s">
        <v>308</v>
      </c>
      <c r="T85" s="138"/>
      <c r="U85" s="138"/>
      <c r="V85" s="138"/>
      <c r="W85" s="138"/>
      <c r="X85" s="138"/>
      <c r="Y85" s="138"/>
      <c r="Z85" s="138"/>
      <c r="AA85" s="138"/>
      <c r="AB85" s="138"/>
      <c r="AC85" s="138"/>
      <c r="AD85" s="138"/>
      <c r="AE85" s="138"/>
      <c r="AF85" s="138"/>
      <c r="AG85" s="138"/>
      <c r="AH85" s="138"/>
      <c r="AI85" s="138"/>
      <c r="AJ85" s="138"/>
      <c r="AK85" s="138"/>
    </row>
    <row r="86" spans="1:37" x14ac:dyDescent="0.3">
      <c r="A86" s="145"/>
      <c r="B86" s="688" t="s">
        <v>1143</v>
      </c>
      <c r="C86" s="689"/>
      <c r="D86" s="689"/>
      <c r="E86" s="633" t="s">
        <v>232</v>
      </c>
      <c r="F86" s="734"/>
      <c r="G86" s="633"/>
      <c r="H86" s="734"/>
      <c r="I86" s="138"/>
      <c r="J86" s="138"/>
      <c r="K86" s="138"/>
      <c r="L86" s="138"/>
      <c r="M86" s="138"/>
      <c r="N86" s="138"/>
      <c r="O86" s="138"/>
      <c r="P86" s="503" t="s">
        <v>309</v>
      </c>
      <c r="Q86" s="504"/>
      <c r="R86" s="505"/>
      <c r="S86" s="673">
        <v>0</v>
      </c>
      <c r="T86" s="138"/>
      <c r="U86" s="138"/>
      <c r="V86" s="138"/>
      <c r="W86" s="138"/>
      <c r="X86" s="138"/>
      <c r="Y86" s="138"/>
      <c r="Z86" s="138"/>
      <c r="AA86" s="138"/>
      <c r="AB86" s="138"/>
      <c r="AC86" s="138"/>
      <c r="AD86" s="138"/>
      <c r="AE86" s="138"/>
      <c r="AF86" s="138"/>
      <c r="AG86" s="138"/>
      <c r="AH86" s="138"/>
      <c r="AI86" s="138"/>
      <c r="AJ86" s="138"/>
      <c r="AK86" s="138"/>
    </row>
    <row r="87" spans="1:37" x14ac:dyDescent="0.3">
      <c r="A87" s="145"/>
      <c r="B87" s="686" t="s">
        <v>1144</v>
      </c>
      <c r="C87" s="687"/>
      <c r="D87" s="687"/>
      <c r="E87" s="634" t="s">
        <v>232</v>
      </c>
      <c r="F87" s="734"/>
      <c r="G87" s="634"/>
      <c r="H87" s="734"/>
      <c r="I87" s="138"/>
      <c r="J87" s="138"/>
      <c r="K87" s="138"/>
      <c r="L87" s="138"/>
      <c r="M87" s="138"/>
      <c r="N87" s="138"/>
      <c r="O87" s="138"/>
      <c r="P87" s="500" t="s">
        <v>275</v>
      </c>
      <c r="Q87" s="501"/>
      <c r="R87" s="502"/>
      <c r="S87" s="672">
        <v>5000</v>
      </c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138"/>
      <c r="AJ87" s="138"/>
      <c r="AK87" s="138"/>
    </row>
    <row r="88" spans="1:37" x14ac:dyDescent="0.3">
      <c r="A88" s="145"/>
      <c r="B88" s="688" t="s">
        <v>297</v>
      </c>
      <c r="C88" s="689"/>
      <c r="D88" s="689"/>
      <c r="E88" s="633">
        <v>1790</v>
      </c>
      <c r="F88" s="734"/>
      <c r="G88" s="633">
        <v>0</v>
      </c>
      <c r="H88" s="734"/>
      <c r="I88" s="138"/>
      <c r="J88" s="138"/>
      <c r="K88" s="138"/>
      <c r="L88" s="138"/>
      <c r="M88" s="138"/>
      <c r="N88" s="138"/>
      <c r="O88" s="138"/>
      <c r="P88" s="503" t="s">
        <v>311</v>
      </c>
      <c r="Q88" s="504"/>
      <c r="R88" s="505"/>
      <c r="S88" s="673">
        <v>12500</v>
      </c>
      <c r="T88" s="138"/>
      <c r="U88" s="138"/>
      <c r="V88" s="138"/>
      <c r="W88" s="138"/>
      <c r="X88" s="138"/>
      <c r="Y88" s="138"/>
      <c r="Z88" s="138"/>
      <c r="AA88" s="138"/>
      <c r="AB88" s="138"/>
      <c r="AC88" s="138"/>
      <c r="AD88" s="138"/>
      <c r="AE88" s="138"/>
      <c r="AF88" s="138"/>
      <c r="AG88" s="138"/>
      <c r="AH88" s="138"/>
      <c r="AI88" s="138"/>
      <c r="AJ88" s="138"/>
      <c r="AK88" s="138"/>
    </row>
    <row r="89" spans="1:37" ht="15" thickBot="1" x14ac:dyDescent="0.35">
      <c r="A89" s="145"/>
      <c r="B89" s="686" t="s">
        <v>298</v>
      </c>
      <c r="C89" s="687"/>
      <c r="D89" s="687"/>
      <c r="E89" s="634">
        <v>20000</v>
      </c>
      <c r="F89" s="734"/>
      <c r="G89" s="634">
        <v>10000</v>
      </c>
      <c r="H89" s="734"/>
      <c r="I89" s="138"/>
      <c r="J89" s="138"/>
      <c r="K89" s="138"/>
      <c r="L89" s="138"/>
      <c r="M89" s="138"/>
      <c r="N89" s="138"/>
      <c r="O89" s="138"/>
      <c r="P89" s="500" t="s">
        <v>312</v>
      </c>
      <c r="Q89" s="501"/>
      <c r="R89" s="502"/>
      <c r="S89" s="672" t="s">
        <v>232</v>
      </c>
      <c r="T89" s="138"/>
      <c r="U89" s="138"/>
      <c r="V89" s="138"/>
      <c r="W89" s="138"/>
      <c r="X89" s="138"/>
      <c r="Y89" s="138"/>
      <c r="Z89" s="138"/>
      <c r="AA89" s="138"/>
      <c r="AB89" s="138"/>
      <c r="AC89" s="138"/>
      <c r="AD89" s="138"/>
      <c r="AE89" s="138"/>
      <c r="AF89" s="138"/>
      <c r="AG89" s="138"/>
      <c r="AH89" s="138"/>
      <c r="AI89" s="138"/>
      <c r="AJ89" s="138"/>
      <c r="AK89" s="138"/>
    </row>
    <row r="90" spans="1:37" ht="15.6" thickTop="1" thickBot="1" x14ac:dyDescent="0.35">
      <c r="A90" s="145"/>
      <c r="B90" s="688" t="s">
        <v>299</v>
      </c>
      <c r="C90" s="689"/>
      <c r="D90" s="689"/>
      <c r="E90" s="633" t="s">
        <v>232</v>
      </c>
      <c r="F90" s="734"/>
      <c r="G90" s="633"/>
      <c r="H90" s="734"/>
      <c r="I90" s="138"/>
      <c r="J90" s="138"/>
      <c r="K90" s="138"/>
      <c r="L90" s="138"/>
      <c r="M90" s="138"/>
      <c r="N90" s="138"/>
      <c r="O90" s="138"/>
      <c r="P90" s="507" t="s">
        <v>313</v>
      </c>
      <c r="Q90" s="508"/>
      <c r="R90" s="509"/>
      <c r="S90" s="676">
        <f>SUM(S67:S89)</f>
        <v>439315</v>
      </c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</row>
    <row r="91" spans="1:37" ht="15" thickTop="1" x14ac:dyDescent="0.3">
      <c r="A91" s="145"/>
      <c r="B91" s="686" t="s">
        <v>300</v>
      </c>
      <c r="C91" s="687"/>
      <c r="D91" s="687"/>
      <c r="E91" s="634">
        <v>3750</v>
      </c>
      <c r="F91" s="734"/>
      <c r="G91" s="634">
        <v>3750</v>
      </c>
      <c r="H91" s="734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138"/>
      <c r="AC91" s="138"/>
      <c r="AD91" s="138"/>
      <c r="AE91" s="138"/>
      <c r="AF91" s="138"/>
      <c r="AG91" s="138"/>
      <c r="AH91" s="138"/>
      <c r="AI91" s="138"/>
      <c r="AJ91" s="138"/>
      <c r="AK91" s="138"/>
    </row>
    <row r="92" spans="1:37" ht="15" thickBot="1" x14ac:dyDescent="0.35">
      <c r="A92" s="145"/>
      <c r="B92" s="688" t="s">
        <v>301</v>
      </c>
      <c r="C92" s="689"/>
      <c r="D92" s="689"/>
      <c r="E92" s="633">
        <v>7000</v>
      </c>
      <c r="F92" s="734"/>
      <c r="G92" s="633">
        <v>7000</v>
      </c>
      <c r="H92" s="734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38"/>
      <c r="AE92" s="138"/>
      <c r="AF92" s="138"/>
      <c r="AG92" s="138"/>
      <c r="AH92" s="138"/>
      <c r="AI92" s="138"/>
      <c r="AJ92" s="138"/>
      <c r="AK92" s="138"/>
    </row>
    <row r="93" spans="1:37" ht="15.6" thickTop="1" thickBot="1" x14ac:dyDescent="0.35">
      <c r="A93" s="145"/>
      <c r="B93" s="686" t="s">
        <v>1145</v>
      </c>
      <c r="C93" s="687"/>
      <c r="D93" s="687"/>
      <c r="E93" s="634" t="s">
        <v>232</v>
      </c>
      <c r="F93" s="734"/>
      <c r="G93" s="634"/>
      <c r="H93" s="734"/>
      <c r="I93" s="138"/>
      <c r="J93" s="138"/>
      <c r="K93" s="138"/>
      <c r="L93" s="138"/>
      <c r="M93" s="138"/>
      <c r="N93" s="138"/>
      <c r="O93" s="138"/>
      <c r="P93" s="893" t="s">
        <v>320</v>
      </c>
      <c r="Q93" s="894"/>
      <c r="R93" s="895"/>
      <c r="S93" s="705" t="s">
        <v>282</v>
      </c>
      <c r="T93" s="138"/>
      <c r="U93" s="138"/>
      <c r="V93" s="138"/>
      <c r="W93" s="138"/>
      <c r="X93" s="138"/>
      <c r="Y93" s="138"/>
      <c r="Z93" s="138"/>
      <c r="AA93" s="138"/>
      <c r="AB93" s="138"/>
      <c r="AC93" s="138"/>
      <c r="AD93" s="138"/>
      <c r="AE93" s="138"/>
      <c r="AF93" s="138"/>
      <c r="AG93" s="138"/>
      <c r="AH93" s="138"/>
      <c r="AI93" s="138"/>
      <c r="AJ93" s="138"/>
      <c r="AK93" s="138"/>
    </row>
    <row r="94" spans="1:37" ht="15" thickBot="1" x14ac:dyDescent="0.35">
      <c r="A94" s="145"/>
      <c r="B94" s="688" t="s">
        <v>304</v>
      </c>
      <c r="C94" s="689"/>
      <c r="D94" s="689"/>
      <c r="E94" s="633" t="s">
        <v>232</v>
      </c>
      <c r="F94" s="734"/>
      <c r="G94" s="633"/>
      <c r="H94" s="734"/>
      <c r="I94" s="138"/>
      <c r="J94" s="138"/>
      <c r="K94" s="138"/>
      <c r="L94" s="138"/>
      <c r="M94" s="138"/>
      <c r="N94" s="138"/>
      <c r="O94" s="138"/>
      <c r="P94" s="720" t="s">
        <v>1152</v>
      </c>
      <c r="Q94" s="721"/>
      <c r="R94" s="722"/>
      <c r="S94" s="709" t="s">
        <v>283</v>
      </c>
      <c r="T94" s="138"/>
      <c r="U94" s="138"/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</row>
    <row r="95" spans="1:37" ht="15" thickBot="1" x14ac:dyDescent="0.35">
      <c r="A95" s="145"/>
      <c r="B95" s="686" t="s">
        <v>305</v>
      </c>
      <c r="C95" s="687"/>
      <c r="D95" s="687"/>
      <c r="E95" s="634" t="s">
        <v>232</v>
      </c>
      <c r="F95" s="734"/>
      <c r="G95" s="634"/>
      <c r="H95" s="734"/>
      <c r="I95" s="138"/>
      <c r="J95" s="138"/>
      <c r="K95" s="138"/>
      <c r="L95" s="138"/>
      <c r="M95" s="138"/>
      <c r="N95" s="138"/>
      <c r="O95" s="138"/>
      <c r="P95" s="723" t="s">
        <v>286</v>
      </c>
      <c r="Q95" s="724"/>
      <c r="R95" s="725"/>
      <c r="S95" s="713" t="s">
        <v>287</v>
      </c>
      <c r="T95" s="138"/>
      <c r="U95" s="138"/>
      <c r="V95" s="138"/>
      <c r="W95" s="138"/>
      <c r="X95" s="138"/>
      <c r="Y95" s="138"/>
      <c r="Z95" s="138"/>
      <c r="AA95" s="138"/>
      <c r="AB95" s="138"/>
      <c r="AC95" s="138"/>
      <c r="AD95" s="138"/>
      <c r="AE95" s="138"/>
      <c r="AF95" s="138"/>
      <c r="AG95" s="138"/>
      <c r="AH95" s="138"/>
      <c r="AI95" s="138"/>
      <c r="AJ95" s="138"/>
      <c r="AK95" s="138"/>
    </row>
    <row r="96" spans="1:37" x14ac:dyDescent="0.3">
      <c r="A96" s="145"/>
      <c r="B96" s="688" t="s">
        <v>1139</v>
      </c>
      <c r="C96" s="689"/>
      <c r="D96" s="689"/>
      <c r="E96" s="633" t="s">
        <v>308</v>
      </c>
      <c r="F96" s="734"/>
      <c r="G96" s="633">
        <v>0</v>
      </c>
      <c r="H96" s="734"/>
      <c r="I96" s="138"/>
      <c r="J96" s="138"/>
      <c r="K96" s="138"/>
      <c r="L96" s="138"/>
      <c r="M96" s="138"/>
      <c r="N96" s="138"/>
      <c r="O96" s="138"/>
      <c r="P96" s="726" t="s">
        <v>321</v>
      </c>
      <c r="Q96" s="727"/>
      <c r="R96" s="728"/>
      <c r="S96" s="715">
        <v>45000</v>
      </c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  <c r="AG96" s="138"/>
      <c r="AH96" s="138"/>
      <c r="AI96" s="138"/>
      <c r="AJ96" s="138"/>
      <c r="AK96" s="138"/>
    </row>
    <row r="97" spans="1:37" x14ac:dyDescent="0.3">
      <c r="A97" s="145"/>
      <c r="B97" s="686" t="s">
        <v>309</v>
      </c>
      <c r="C97" s="687"/>
      <c r="D97" s="687"/>
      <c r="E97" s="634" t="s">
        <v>232</v>
      </c>
      <c r="F97" s="734"/>
      <c r="G97" s="634"/>
      <c r="H97" s="734"/>
      <c r="I97" s="138"/>
      <c r="J97" s="138"/>
      <c r="K97" s="138"/>
      <c r="L97" s="138"/>
      <c r="M97" s="138"/>
      <c r="N97" s="138"/>
      <c r="O97" s="138"/>
      <c r="P97" s="723" t="s">
        <v>290</v>
      </c>
      <c r="Q97" s="724"/>
      <c r="R97" s="725"/>
      <c r="S97" s="716">
        <v>0</v>
      </c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8"/>
      <c r="AI97" s="138"/>
      <c r="AJ97" s="138"/>
      <c r="AK97" s="138"/>
    </row>
    <row r="98" spans="1:37" x14ac:dyDescent="0.3">
      <c r="A98" s="145"/>
      <c r="B98" s="688" t="s">
        <v>275</v>
      </c>
      <c r="C98" s="689"/>
      <c r="D98" s="689"/>
      <c r="E98" s="633">
        <v>5000</v>
      </c>
      <c r="F98" s="734"/>
      <c r="G98" s="633">
        <v>2000</v>
      </c>
      <c r="H98" s="734"/>
      <c r="I98" s="138"/>
      <c r="J98" s="138"/>
      <c r="K98" s="138"/>
      <c r="L98" s="138"/>
      <c r="M98" s="138"/>
      <c r="N98" s="138"/>
      <c r="O98" s="138"/>
      <c r="P98" s="726" t="s">
        <v>291</v>
      </c>
      <c r="Q98" s="727"/>
      <c r="R98" s="728"/>
      <c r="S98" s="717">
        <v>0</v>
      </c>
      <c r="T98" s="138"/>
      <c r="U98" s="138"/>
      <c r="V98" s="138"/>
      <c r="W98" s="138"/>
      <c r="X98" s="138"/>
      <c r="Y98" s="138"/>
      <c r="Z98" s="138"/>
      <c r="AA98" s="138"/>
      <c r="AB98" s="138"/>
      <c r="AC98" s="138"/>
      <c r="AD98" s="138"/>
      <c r="AE98" s="138"/>
      <c r="AF98" s="138"/>
      <c r="AG98" s="138"/>
      <c r="AH98" s="138"/>
      <c r="AI98" s="138"/>
      <c r="AJ98" s="138"/>
      <c r="AK98" s="138"/>
    </row>
    <row r="99" spans="1:37" x14ac:dyDescent="0.3">
      <c r="A99" s="145"/>
      <c r="B99" s="686" t="s">
        <v>311</v>
      </c>
      <c r="C99" s="687"/>
      <c r="D99" s="687"/>
      <c r="E99" s="634">
        <v>12500</v>
      </c>
      <c r="F99" s="734"/>
      <c r="G99" s="634">
        <v>6000</v>
      </c>
      <c r="H99" s="734"/>
      <c r="I99" s="138"/>
      <c r="J99" s="138"/>
      <c r="K99" s="138"/>
      <c r="L99" s="138"/>
      <c r="M99" s="138"/>
      <c r="N99" s="138"/>
      <c r="O99" s="138"/>
      <c r="P99" s="723" t="s">
        <v>1153</v>
      </c>
      <c r="Q99" s="724"/>
      <c r="R99" s="725"/>
      <c r="S99" s="716">
        <f>530*89.5</f>
        <v>47435</v>
      </c>
      <c r="T99" s="138"/>
      <c r="U99" s="138"/>
      <c r="V99" s="138"/>
      <c r="W99" s="138"/>
      <c r="X99" s="138"/>
      <c r="Y99" s="138"/>
      <c r="Z99" s="138"/>
      <c r="AA99" s="138"/>
      <c r="AB99" s="138"/>
      <c r="AC99" s="138"/>
      <c r="AD99" s="138"/>
      <c r="AE99" s="138"/>
      <c r="AF99" s="138"/>
      <c r="AG99" s="138"/>
      <c r="AH99" s="138"/>
      <c r="AI99" s="138"/>
      <c r="AJ99" s="138"/>
      <c r="AK99" s="138"/>
    </row>
    <row r="100" spans="1:37" ht="15" thickBot="1" x14ac:dyDescent="0.35">
      <c r="A100" s="145"/>
      <c r="B100" s="690" t="s">
        <v>312</v>
      </c>
      <c r="C100" s="691"/>
      <c r="D100" s="691"/>
      <c r="E100" s="635" t="s">
        <v>232</v>
      </c>
      <c r="F100" s="734"/>
      <c r="G100" s="635"/>
      <c r="H100" s="734"/>
      <c r="I100" s="138"/>
      <c r="J100" s="138"/>
      <c r="K100" s="138"/>
      <c r="L100" s="138"/>
      <c r="M100" s="138"/>
      <c r="N100" s="138"/>
      <c r="O100" s="138"/>
      <c r="P100" s="726" t="s">
        <v>292</v>
      </c>
      <c r="Q100" s="727"/>
      <c r="R100" s="728"/>
      <c r="S100" s="717">
        <v>0</v>
      </c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  <c r="AI100" s="138"/>
      <c r="AJ100" s="138"/>
      <c r="AK100" s="138"/>
    </row>
    <row r="101" spans="1:37" ht="15.6" thickTop="1" thickBot="1" x14ac:dyDescent="0.35">
      <c r="A101" s="145"/>
      <c r="B101" s="628" t="s">
        <v>1138</v>
      </c>
      <c r="C101" s="629"/>
      <c r="D101" s="630"/>
      <c r="E101" s="397">
        <f>SUM(E78:E100)</f>
        <v>527980</v>
      </c>
      <c r="F101" s="734"/>
      <c r="G101" s="397">
        <f>SUM(G78:G100)</f>
        <v>474850</v>
      </c>
      <c r="H101" s="734"/>
      <c r="I101" s="138"/>
      <c r="J101" s="138"/>
      <c r="K101" s="138"/>
      <c r="L101" s="138"/>
      <c r="M101" s="138"/>
      <c r="N101" s="138"/>
      <c r="O101" s="138"/>
      <c r="P101" s="723" t="s">
        <v>294</v>
      </c>
      <c r="Q101" s="724"/>
      <c r="R101" s="725"/>
      <c r="S101" s="716">
        <v>12000</v>
      </c>
      <c r="T101" s="138"/>
      <c r="U101" s="138"/>
      <c r="V101" s="138"/>
      <c r="W101" s="138"/>
      <c r="X101" s="138"/>
      <c r="Y101" s="138"/>
      <c r="Z101" s="138"/>
      <c r="AA101" s="138"/>
      <c r="AB101" s="138"/>
      <c r="AC101" s="138"/>
      <c r="AD101" s="138"/>
      <c r="AE101" s="138"/>
      <c r="AF101" s="138"/>
      <c r="AG101" s="138"/>
      <c r="AH101" s="138"/>
      <c r="AI101" s="138"/>
      <c r="AJ101" s="138"/>
      <c r="AK101" s="138"/>
    </row>
    <row r="102" spans="1:37" ht="15" thickTop="1" x14ac:dyDescent="0.3">
      <c r="A102" s="145"/>
      <c r="B102" s="732"/>
      <c r="C102" s="732"/>
      <c r="D102" s="732"/>
      <c r="E102" s="732"/>
      <c r="F102" s="732"/>
      <c r="G102" s="732"/>
      <c r="H102" s="734"/>
      <c r="I102" s="138"/>
      <c r="J102" s="138"/>
      <c r="K102" s="138"/>
      <c r="L102" s="138"/>
      <c r="M102" s="138"/>
      <c r="N102" s="138"/>
      <c r="O102" s="138"/>
      <c r="P102" s="726" t="s">
        <v>295</v>
      </c>
      <c r="Q102" s="727"/>
      <c r="R102" s="728"/>
      <c r="S102" s="717">
        <v>6500</v>
      </c>
      <c r="T102" s="138"/>
      <c r="U102" s="138"/>
      <c r="V102" s="138"/>
      <c r="W102" s="138"/>
      <c r="X102" s="138"/>
      <c r="Y102" s="138"/>
      <c r="Z102" s="138"/>
      <c r="AA102" s="138"/>
      <c r="AB102" s="138"/>
      <c r="AC102" s="138"/>
      <c r="AD102" s="138"/>
      <c r="AE102" s="138"/>
      <c r="AF102" s="138"/>
      <c r="AG102" s="138"/>
      <c r="AH102" s="138"/>
      <c r="AI102" s="138"/>
      <c r="AJ102" s="138"/>
      <c r="AK102" s="138"/>
    </row>
    <row r="103" spans="1:37" ht="15" thickBot="1" x14ac:dyDescent="0.35">
      <c r="A103" s="145"/>
      <c r="B103" s="732"/>
      <c r="C103" s="732"/>
      <c r="D103" s="732"/>
      <c r="E103" s="732"/>
      <c r="F103" s="732"/>
      <c r="G103" s="732"/>
      <c r="H103" s="734"/>
      <c r="I103" s="138"/>
      <c r="J103" s="138"/>
      <c r="K103" s="138"/>
      <c r="L103" s="138"/>
      <c r="M103" s="138"/>
      <c r="N103" s="138"/>
      <c r="O103" s="138"/>
      <c r="P103" s="723" t="s">
        <v>1142</v>
      </c>
      <c r="Q103" s="724"/>
      <c r="R103" s="725"/>
      <c r="S103" s="716">
        <v>0</v>
      </c>
      <c r="T103" s="138"/>
      <c r="U103" s="138"/>
      <c r="V103" s="138"/>
      <c r="W103" s="138"/>
      <c r="X103" s="138"/>
      <c r="Y103" s="138"/>
      <c r="Z103" s="138"/>
      <c r="AA103" s="138"/>
      <c r="AB103" s="138"/>
      <c r="AC103" s="138"/>
      <c r="AD103" s="138"/>
      <c r="AE103" s="138"/>
      <c r="AF103" s="138"/>
      <c r="AG103" s="138"/>
      <c r="AH103" s="138"/>
      <c r="AI103" s="138"/>
      <c r="AJ103" s="138"/>
      <c r="AK103" s="138"/>
    </row>
    <row r="104" spans="1:37" ht="15.6" thickTop="1" thickBot="1" x14ac:dyDescent="0.35">
      <c r="A104" s="145"/>
      <c r="B104" s="732"/>
      <c r="C104" s="732"/>
      <c r="D104" s="732"/>
      <c r="E104" s="397">
        <f>E101-G101</f>
        <v>53130</v>
      </c>
      <c r="F104" s="751">
        <f>E104/E101*100</f>
        <v>10.062881169741278</v>
      </c>
      <c r="G104" s="732"/>
      <c r="H104" s="734"/>
      <c r="I104" s="138"/>
      <c r="J104" s="138"/>
      <c r="K104" s="138"/>
      <c r="L104" s="138"/>
      <c r="M104" s="138"/>
      <c r="N104" s="138"/>
      <c r="O104" s="138"/>
      <c r="P104" s="726" t="s">
        <v>1143</v>
      </c>
      <c r="Q104" s="727"/>
      <c r="R104" s="728"/>
      <c r="S104" s="717">
        <v>0</v>
      </c>
      <c r="T104" s="138"/>
      <c r="U104" s="138"/>
      <c r="V104" s="138"/>
      <c r="W104" s="138"/>
      <c r="X104" s="138"/>
      <c r="Y104" s="138"/>
      <c r="Z104" s="138"/>
      <c r="AA104" s="138"/>
      <c r="AB104" s="138"/>
      <c r="AC104" s="138"/>
      <c r="AD104" s="138"/>
      <c r="AE104" s="138"/>
      <c r="AF104" s="138"/>
      <c r="AG104" s="138"/>
      <c r="AH104" s="138"/>
      <c r="AI104" s="138"/>
      <c r="AJ104" s="138"/>
      <c r="AK104" s="138"/>
    </row>
    <row r="105" spans="1:37" ht="15.6" thickTop="1" thickBot="1" x14ac:dyDescent="0.35">
      <c r="A105" s="145"/>
      <c r="B105" s="732"/>
      <c r="C105" s="732"/>
      <c r="D105" s="732"/>
      <c r="E105" s="732"/>
      <c r="F105" s="732"/>
      <c r="G105" s="732"/>
      <c r="H105" s="734"/>
      <c r="I105" s="138"/>
      <c r="J105" s="138"/>
      <c r="K105" s="138"/>
      <c r="L105" s="138"/>
      <c r="M105" s="138"/>
      <c r="N105" s="138"/>
      <c r="O105" s="138"/>
      <c r="P105" s="723" t="s">
        <v>1144</v>
      </c>
      <c r="Q105" s="724"/>
      <c r="R105" s="725"/>
      <c r="S105" s="716">
        <v>0</v>
      </c>
      <c r="T105" s="138"/>
      <c r="U105" s="138"/>
      <c r="V105" s="138"/>
      <c r="W105" s="138"/>
      <c r="X105" s="138"/>
      <c r="Y105" s="138"/>
      <c r="Z105" s="138"/>
      <c r="AA105" s="138"/>
      <c r="AB105" s="138"/>
      <c r="AC105" s="138"/>
      <c r="AD105" s="138"/>
      <c r="AE105" s="138"/>
      <c r="AF105" s="138"/>
      <c r="AG105" s="138"/>
      <c r="AH105" s="138"/>
      <c r="AI105" s="138"/>
      <c r="AJ105" s="138"/>
      <c r="AK105" s="138"/>
    </row>
    <row r="106" spans="1:37" ht="15.6" thickTop="1" thickBot="1" x14ac:dyDescent="0.35">
      <c r="A106" s="145"/>
      <c r="B106" s="732"/>
      <c r="C106" s="732"/>
      <c r="D106" s="732"/>
      <c r="E106" s="397">
        <f>E101*5%</f>
        <v>26399</v>
      </c>
      <c r="F106" s="397">
        <f>E104-E106</f>
        <v>26731</v>
      </c>
      <c r="G106" s="732"/>
      <c r="H106" s="734"/>
      <c r="I106" s="138"/>
      <c r="J106" s="138"/>
      <c r="K106" s="138"/>
      <c r="L106" s="138"/>
      <c r="M106" s="138"/>
      <c r="N106" s="138"/>
      <c r="O106" s="138"/>
      <c r="P106" s="726" t="s">
        <v>297</v>
      </c>
      <c r="Q106" s="727"/>
      <c r="R106" s="728"/>
      <c r="S106" s="717">
        <v>1790</v>
      </c>
      <c r="T106" s="138"/>
      <c r="U106" s="138"/>
      <c r="V106" s="138"/>
      <c r="W106" s="138"/>
      <c r="X106" s="138"/>
      <c r="Y106" s="138"/>
      <c r="Z106" s="138"/>
      <c r="AA106" s="138"/>
      <c r="AB106" s="138"/>
      <c r="AC106" s="138"/>
      <c r="AD106" s="138"/>
      <c r="AE106" s="138"/>
      <c r="AF106" s="138"/>
      <c r="AG106" s="138"/>
      <c r="AH106" s="138"/>
      <c r="AI106" s="138"/>
      <c r="AJ106" s="138"/>
      <c r="AK106" s="138"/>
    </row>
    <row r="107" spans="1:37" ht="15" thickTop="1" x14ac:dyDescent="0.3">
      <c r="A107" s="145"/>
      <c r="B107" s="732"/>
      <c r="C107" s="732"/>
      <c r="D107" s="732"/>
      <c r="E107" s="732"/>
      <c r="F107" s="732"/>
      <c r="G107" s="732"/>
      <c r="H107" s="734"/>
      <c r="I107" s="138"/>
      <c r="J107" s="138"/>
      <c r="K107" s="138"/>
      <c r="L107" s="138"/>
      <c r="M107" s="138"/>
      <c r="N107" s="138"/>
      <c r="O107" s="138"/>
      <c r="P107" s="723" t="s">
        <v>317</v>
      </c>
      <c r="Q107" s="724"/>
      <c r="R107" s="725"/>
      <c r="S107" s="716">
        <v>20000</v>
      </c>
      <c r="T107" s="138"/>
      <c r="U107" s="138"/>
      <c r="V107" s="138"/>
      <c r="W107" s="138"/>
      <c r="X107" s="138"/>
      <c r="Y107" s="138"/>
      <c r="Z107" s="138"/>
      <c r="AA107" s="138"/>
      <c r="AB107" s="138"/>
      <c r="AC107" s="138"/>
      <c r="AD107" s="138"/>
      <c r="AE107" s="138"/>
      <c r="AF107" s="138"/>
      <c r="AG107" s="138"/>
      <c r="AH107" s="138"/>
      <c r="AI107" s="138"/>
      <c r="AJ107" s="138"/>
      <c r="AK107" s="138"/>
    </row>
    <row r="108" spans="1:37" x14ac:dyDescent="0.3">
      <c r="A108" s="145"/>
      <c r="B108" s="732"/>
      <c r="C108" s="732"/>
      <c r="D108" s="732"/>
      <c r="E108" s="732"/>
      <c r="F108" s="732"/>
      <c r="G108" s="732"/>
      <c r="H108" s="734"/>
      <c r="I108" s="138"/>
      <c r="J108" s="138"/>
      <c r="K108" s="138"/>
      <c r="L108" s="138"/>
      <c r="M108" s="138"/>
      <c r="N108" s="138"/>
      <c r="O108" s="138"/>
      <c r="P108" s="726" t="s">
        <v>299</v>
      </c>
      <c r="Q108" s="727"/>
      <c r="R108" s="728"/>
      <c r="S108" s="718" t="s">
        <v>232</v>
      </c>
      <c r="T108" s="138"/>
      <c r="U108" s="138"/>
      <c r="V108" s="138"/>
      <c r="W108" s="138"/>
      <c r="X108" s="138"/>
      <c r="Y108" s="138"/>
      <c r="Z108" s="138"/>
      <c r="AA108" s="138"/>
      <c r="AB108" s="138"/>
      <c r="AC108" s="138"/>
      <c r="AD108" s="138"/>
      <c r="AE108" s="138"/>
      <c r="AF108" s="138"/>
      <c r="AG108" s="138"/>
      <c r="AH108" s="138"/>
      <c r="AI108" s="138"/>
      <c r="AJ108" s="138"/>
      <c r="AK108" s="138"/>
    </row>
    <row r="109" spans="1:37" x14ac:dyDescent="0.3">
      <c r="A109" s="145"/>
      <c r="B109" s="732"/>
      <c r="C109" s="732"/>
      <c r="D109" s="732"/>
      <c r="E109" s="732"/>
      <c r="F109" s="732"/>
      <c r="G109" s="732"/>
      <c r="H109" s="734"/>
      <c r="I109" s="138"/>
      <c r="J109" s="138"/>
      <c r="K109" s="138"/>
      <c r="L109" s="138"/>
      <c r="M109" s="138"/>
      <c r="N109" s="138"/>
      <c r="O109" s="138"/>
      <c r="P109" s="723" t="s">
        <v>300</v>
      </c>
      <c r="Q109" s="724"/>
      <c r="R109" s="725"/>
      <c r="S109" s="716" t="s">
        <v>232</v>
      </c>
      <c r="T109" s="138"/>
      <c r="U109" s="138"/>
      <c r="V109" s="138"/>
      <c r="W109" s="138"/>
      <c r="X109" s="138"/>
      <c r="Y109" s="138"/>
      <c r="Z109" s="138"/>
      <c r="AA109" s="138"/>
      <c r="AB109" s="138"/>
      <c r="AC109" s="138"/>
      <c r="AD109" s="138"/>
      <c r="AE109" s="138"/>
      <c r="AF109" s="138"/>
      <c r="AG109" s="138"/>
      <c r="AH109" s="138"/>
      <c r="AI109" s="138"/>
      <c r="AJ109" s="138"/>
      <c r="AK109" s="138"/>
    </row>
    <row r="110" spans="1:37" x14ac:dyDescent="0.3">
      <c r="M110" s="138"/>
      <c r="N110" s="138"/>
      <c r="O110" s="138"/>
      <c r="P110" s="726" t="s">
        <v>301</v>
      </c>
      <c r="Q110" s="727"/>
      <c r="R110" s="728"/>
      <c r="S110" s="717">
        <v>7000</v>
      </c>
      <c r="T110" s="138"/>
      <c r="U110" s="138"/>
      <c r="V110" s="138"/>
      <c r="W110" s="138"/>
      <c r="X110" s="138"/>
      <c r="Y110" s="138"/>
      <c r="Z110" s="138"/>
      <c r="AA110" s="138"/>
      <c r="AB110" s="138"/>
      <c r="AC110" s="138"/>
      <c r="AD110" s="138"/>
      <c r="AE110" s="138"/>
      <c r="AF110" s="138"/>
      <c r="AG110" s="138"/>
      <c r="AH110" s="138"/>
      <c r="AI110" s="138"/>
      <c r="AJ110" s="138"/>
      <c r="AK110" s="138"/>
    </row>
    <row r="111" spans="1:37" x14ac:dyDescent="0.3">
      <c r="M111" s="138"/>
      <c r="N111" s="138"/>
      <c r="O111" s="138"/>
      <c r="P111" s="723" t="s">
        <v>1145</v>
      </c>
      <c r="Q111" s="724"/>
      <c r="R111" s="725"/>
      <c r="S111" s="716">
        <v>0</v>
      </c>
      <c r="T111" s="138"/>
      <c r="U111" s="138"/>
      <c r="V111" s="138"/>
      <c r="W111" s="138"/>
      <c r="X111" s="138"/>
      <c r="Y111" s="138"/>
      <c r="Z111" s="138"/>
      <c r="AA111" s="138"/>
      <c r="AB111" s="138"/>
      <c r="AC111" s="138"/>
      <c r="AD111" s="138"/>
      <c r="AE111" s="138"/>
      <c r="AF111" s="138"/>
      <c r="AG111" s="138"/>
      <c r="AH111" s="138"/>
      <c r="AI111" s="138"/>
      <c r="AJ111" s="138"/>
      <c r="AK111" s="138"/>
    </row>
    <row r="112" spans="1:37" x14ac:dyDescent="0.3">
      <c r="M112" s="138"/>
      <c r="N112" s="138"/>
      <c r="O112" s="138"/>
      <c r="P112" s="726" t="s">
        <v>322</v>
      </c>
      <c r="Q112" s="727"/>
      <c r="R112" s="728"/>
      <c r="S112" s="717">
        <v>0</v>
      </c>
      <c r="T112" s="138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</row>
    <row r="113" spans="13:37" x14ac:dyDescent="0.3">
      <c r="M113" s="138"/>
      <c r="N113" s="138"/>
      <c r="O113" s="138"/>
      <c r="P113" s="723" t="s">
        <v>305</v>
      </c>
      <c r="Q113" s="724"/>
      <c r="R113" s="725"/>
      <c r="S113" s="716">
        <v>0</v>
      </c>
      <c r="T113" s="138"/>
      <c r="U113" s="138"/>
      <c r="V113" s="138"/>
      <c r="W113" s="138"/>
      <c r="X113" s="138"/>
      <c r="Y113" s="138"/>
      <c r="Z113" s="138"/>
      <c r="AA113" s="138"/>
      <c r="AB113" s="138"/>
      <c r="AC113" s="138"/>
      <c r="AD113" s="138"/>
      <c r="AE113" s="138"/>
      <c r="AF113" s="138"/>
      <c r="AG113" s="138"/>
      <c r="AH113" s="138"/>
      <c r="AI113" s="138"/>
      <c r="AJ113" s="138"/>
      <c r="AK113" s="138"/>
    </row>
    <row r="114" spans="13:37" x14ac:dyDescent="0.3">
      <c r="M114" s="138"/>
      <c r="N114" s="138"/>
      <c r="O114" s="138"/>
      <c r="P114" s="726" t="s">
        <v>323</v>
      </c>
      <c r="Q114" s="727"/>
      <c r="R114" s="728"/>
      <c r="S114" s="718" t="s">
        <v>308</v>
      </c>
      <c r="T114" s="138"/>
      <c r="U114" s="138"/>
      <c r="V114" s="138"/>
      <c r="W114" s="138"/>
      <c r="X114" s="138"/>
      <c r="Y114" s="138"/>
      <c r="Z114" s="138"/>
      <c r="AA114" s="138"/>
      <c r="AB114" s="138"/>
      <c r="AC114" s="138"/>
      <c r="AD114" s="138"/>
      <c r="AE114" s="138"/>
      <c r="AF114" s="138"/>
      <c r="AG114" s="138"/>
      <c r="AH114" s="138"/>
      <c r="AI114" s="138"/>
      <c r="AJ114" s="138"/>
      <c r="AK114" s="138"/>
    </row>
    <row r="115" spans="13:37" x14ac:dyDescent="0.3">
      <c r="M115" s="138"/>
      <c r="N115" s="138"/>
      <c r="O115" s="138"/>
      <c r="P115" s="723" t="s">
        <v>309</v>
      </c>
      <c r="Q115" s="724"/>
      <c r="R115" s="725"/>
      <c r="S115" s="716">
        <v>0</v>
      </c>
      <c r="T115" s="138"/>
      <c r="U115" s="138"/>
      <c r="V115" s="138"/>
      <c r="W115" s="138"/>
      <c r="X115" s="138"/>
      <c r="Y115" s="138"/>
      <c r="Z115" s="138"/>
      <c r="AA115" s="138"/>
      <c r="AB115" s="138"/>
      <c r="AC115" s="138"/>
      <c r="AD115" s="138"/>
      <c r="AE115" s="138"/>
      <c r="AF115" s="138"/>
      <c r="AG115" s="138"/>
      <c r="AH115" s="138"/>
      <c r="AI115" s="138"/>
      <c r="AJ115" s="138"/>
      <c r="AK115" s="138"/>
    </row>
    <row r="116" spans="13:37" x14ac:dyDescent="0.3">
      <c r="M116" s="138"/>
      <c r="N116" s="138"/>
      <c r="O116" s="138"/>
      <c r="P116" s="726" t="s">
        <v>324</v>
      </c>
      <c r="Q116" s="727"/>
      <c r="R116" s="728"/>
      <c r="S116" s="717">
        <v>5000</v>
      </c>
      <c r="T116" s="138"/>
      <c r="U116" s="138"/>
      <c r="V116" s="138"/>
      <c r="W116" s="138"/>
      <c r="X116" s="138"/>
      <c r="Y116" s="138"/>
      <c r="Z116" s="138"/>
      <c r="AA116" s="138"/>
      <c r="AB116" s="138"/>
      <c r="AC116" s="138"/>
      <c r="AD116" s="138"/>
      <c r="AE116" s="138"/>
      <c r="AF116" s="138"/>
      <c r="AG116" s="138"/>
      <c r="AH116" s="138"/>
      <c r="AI116" s="138"/>
      <c r="AJ116" s="138"/>
      <c r="AK116" s="138"/>
    </row>
    <row r="117" spans="13:37" x14ac:dyDescent="0.3">
      <c r="M117" s="138"/>
      <c r="N117" s="138"/>
      <c r="O117" s="138"/>
      <c r="P117" s="723" t="s">
        <v>311</v>
      </c>
      <c r="Q117" s="724"/>
      <c r="R117" s="725"/>
      <c r="S117" s="716">
        <v>12500</v>
      </c>
      <c r="T117" s="138"/>
      <c r="U117" s="138"/>
      <c r="V117" s="138"/>
      <c r="W117" s="138"/>
      <c r="X117" s="138"/>
      <c r="Y117" s="138"/>
      <c r="Z117" s="138"/>
      <c r="AA117" s="138"/>
      <c r="AB117" s="138"/>
      <c r="AC117" s="138"/>
      <c r="AD117" s="138"/>
      <c r="AE117" s="138"/>
      <c r="AF117" s="138"/>
      <c r="AG117" s="138"/>
      <c r="AH117" s="138"/>
      <c r="AI117" s="138"/>
      <c r="AJ117" s="138"/>
      <c r="AK117" s="138"/>
    </row>
    <row r="118" spans="13:37" ht="15" thickBot="1" x14ac:dyDescent="0.35">
      <c r="M118" s="138"/>
      <c r="N118" s="138"/>
      <c r="O118" s="138"/>
      <c r="P118" s="729" t="s">
        <v>312</v>
      </c>
      <c r="Q118" s="730"/>
      <c r="R118" s="731"/>
      <c r="S118" s="719" t="s">
        <v>232</v>
      </c>
      <c r="T118" s="138"/>
      <c r="U118" s="138"/>
      <c r="V118" s="138"/>
      <c r="W118" s="138"/>
      <c r="X118" s="138"/>
      <c r="Y118" s="138"/>
      <c r="Z118" s="138"/>
      <c r="AA118" s="138"/>
      <c r="AB118" s="138"/>
      <c r="AC118" s="138"/>
      <c r="AD118" s="138"/>
      <c r="AE118" s="138"/>
      <c r="AF118" s="138"/>
      <c r="AG118" s="138"/>
      <c r="AH118" s="138"/>
      <c r="AI118" s="138"/>
      <c r="AJ118" s="138"/>
      <c r="AK118" s="138"/>
    </row>
    <row r="119" spans="13:37" ht="15" thickBot="1" x14ac:dyDescent="0.35">
      <c r="M119" s="138"/>
      <c r="N119" s="138"/>
      <c r="O119" s="138"/>
      <c r="P119" s="896" t="s">
        <v>325</v>
      </c>
      <c r="Q119" s="897"/>
      <c r="R119" s="898"/>
      <c r="S119" s="714">
        <f>SUM(S96:S118)</f>
        <v>157225</v>
      </c>
      <c r="T119" s="138"/>
      <c r="U119" s="138"/>
      <c r="V119" s="138"/>
      <c r="W119" s="138"/>
      <c r="X119" s="138"/>
      <c r="Y119" s="138"/>
      <c r="Z119" s="138"/>
      <c r="AA119" s="138"/>
      <c r="AB119" s="138"/>
      <c r="AC119" s="138"/>
      <c r="AD119" s="138"/>
      <c r="AE119" s="138"/>
      <c r="AF119" s="138"/>
      <c r="AG119" s="138"/>
      <c r="AH119" s="138"/>
      <c r="AI119" s="138"/>
      <c r="AJ119" s="138"/>
      <c r="AK119" s="138"/>
    </row>
    <row r="120" spans="13:37" ht="15" thickBot="1" x14ac:dyDescent="0.35">
      <c r="M120" s="138"/>
      <c r="N120" s="138"/>
      <c r="O120" s="138"/>
      <c r="P120" s="704"/>
      <c r="Q120" s="704"/>
      <c r="R120" s="704"/>
      <c r="S120" s="704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E120" s="138"/>
      <c r="AF120" s="138"/>
      <c r="AG120" s="138"/>
      <c r="AH120" s="138"/>
      <c r="AI120" s="138"/>
      <c r="AJ120" s="138"/>
      <c r="AK120" s="138"/>
    </row>
    <row r="121" spans="13:37" ht="15.6" thickTop="1" thickBot="1" x14ac:dyDescent="0.35">
      <c r="M121" s="138"/>
      <c r="N121" s="138"/>
      <c r="O121" s="138"/>
      <c r="P121" s="873" t="s">
        <v>279</v>
      </c>
      <c r="Q121" s="874"/>
      <c r="R121" s="875"/>
      <c r="S121" s="643" t="s">
        <v>256</v>
      </c>
      <c r="T121" s="138"/>
      <c r="U121" s="138"/>
      <c r="V121" s="138"/>
      <c r="W121" s="138"/>
      <c r="X121" s="138"/>
      <c r="Y121" s="138"/>
      <c r="Z121" s="138"/>
      <c r="AA121" s="138"/>
      <c r="AB121" s="138"/>
      <c r="AC121" s="138"/>
      <c r="AD121" s="138"/>
      <c r="AE121" s="138"/>
      <c r="AF121" s="138"/>
      <c r="AG121" s="138"/>
      <c r="AH121" s="138"/>
      <c r="AI121" s="138"/>
      <c r="AJ121" s="138"/>
      <c r="AK121" s="138"/>
    </row>
    <row r="122" spans="13:37" ht="15.6" thickTop="1" thickBot="1" x14ac:dyDescent="0.35">
      <c r="M122" s="138"/>
      <c r="N122" s="138"/>
      <c r="O122" s="138"/>
      <c r="P122" s="706" t="s">
        <v>257</v>
      </c>
      <c r="Q122" s="707"/>
      <c r="R122" s="708"/>
      <c r="S122" s="645" t="s">
        <v>258</v>
      </c>
      <c r="T122" s="138"/>
      <c r="U122" s="138"/>
      <c r="V122" s="138"/>
      <c r="W122" s="138"/>
      <c r="X122" s="138"/>
      <c r="Y122" s="138"/>
      <c r="Z122" s="138"/>
      <c r="AA122" s="138"/>
      <c r="AB122" s="138"/>
      <c r="AC122" s="138"/>
      <c r="AD122" s="138"/>
      <c r="AE122" s="138"/>
      <c r="AF122" s="138"/>
      <c r="AG122" s="138"/>
      <c r="AH122" s="138"/>
      <c r="AI122" s="138"/>
      <c r="AJ122" s="138"/>
      <c r="AK122" s="138"/>
    </row>
    <row r="123" spans="13:37" ht="15.6" thickTop="1" thickBot="1" x14ac:dyDescent="0.35">
      <c r="M123" s="138"/>
      <c r="N123" s="138"/>
      <c r="O123" s="138"/>
      <c r="P123" s="710" t="s">
        <v>260</v>
      </c>
      <c r="Q123" s="711"/>
      <c r="R123" s="712"/>
      <c r="S123" s="647">
        <v>88.5</v>
      </c>
      <c r="T123" s="138"/>
      <c r="U123" s="138"/>
      <c r="V123" s="138"/>
      <c r="W123" s="138"/>
      <c r="X123" s="138"/>
      <c r="Y123" s="138"/>
      <c r="Z123" s="138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</row>
    <row r="124" spans="13:37" ht="15.6" thickTop="1" thickBot="1" x14ac:dyDescent="0.35">
      <c r="M124" s="138"/>
      <c r="N124" s="138"/>
      <c r="O124" s="138"/>
      <c r="P124" s="706" t="s">
        <v>261</v>
      </c>
      <c r="Q124" s="707"/>
      <c r="R124" s="708"/>
      <c r="S124" s="648">
        <v>39500</v>
      </c>
      <c r="T124" s="138"/>
      <c r="U124" s="138"/>
      <c r="V124" s="138"/>
      <c r="W124" s="138"/>
      <c r="X124" s="138"/>
      <c r="Y124" s="138"/>
      <c r="Z124" s="138"/>
      <c r="AA124" s="138"/>
      <c r="AB124" s="138"/>
      <c r="AC124" s="138"/>
      <c r="AD124" s="138"/>
      <c r="AE124" s="138"/>
      <c r="AF124" s="138"/>
      <c r="AG124" s="138"/>
      <c r="AH124" s="138"/>
      <c r="AI124" s="138"/>
      <c r="AJ124" s="138"/>
      <c r="AK124" s="138"/>
    </row>
    <row r="125" spans="13:37" ht="15.6" thickTop="1" thickBot="1" x14ac:dyDescent="0.35">
      <c r="M125" s="138"/>
      <c r="N125" s="138"/>
      <c r="O125" s="138"/>
      <c r="P125" s="710" t="s">
        <v>263</v>
      </c>
      <c r="Q125" s="711"/>
      <c r="R125" s="712"/>
      <c r="S125" s="649">
        <v>3000</v>
      </c>
      <c r="T125" s="138"/>
      <c r="U125" s="138"/>
      <c r="V125" s="138"/>
      <c r="W125" s="138"/>
      <c r="X125" s="138"/>
      <c r="Y125" s="138"/>
      <c r="Z125" s="138"/>
      <c r="AA125" s="138"/>
      <c r="AB125" s="138"/>
      <c r="AC125" s="138"/>
      <c r="AD125" s="138"/>
      <c r="AE125" s="138"/>
      <c r="AF125" s="138"/>
      <c r="AG125" s="138"/>
      <c r="AH125" s="138"/>
      <c r="AI125" s="138"/>
      <c r="AJ125" s="138"/>
      <c r="AK125" s="138"/>
    </row>
    <row r="126" spans="13:37" ht="15.6" thickTop="1" thickBot="1" x14ac:dyDescent="0.35">
      <c r="M126" s="138"/>
      <c r="N126" s="138"/>
      <c r="O126" s="138"/>
      <c r="P126" s="706" t="s">
        <v>1154</v>
      </c>
      <c r="Q126" s="707"/>
      <c r="R126" s="708"/>
      <c r="S126" s="648">
        <v>15930</v>
      </c>
      <c r="T126" s="138"/>
      <c r="U126" s="138"/>
      <c r="V126" s="138"/>
      <c r="W126" s="138"/>
      <c r="X126" s="138"/>
      <c r="Y126" s="138"/>
      <c r="Z126" s="138"/>
      <c r="AA126" s="138"/>
      <c r="AB126" s="138"/>
      <c r="AC126" s="138"/>
      <c r="AD126" s="138"/>
      <c r="AE126" s="138"/>
      <c r="AF126" s="138"/>
      <c r="AG126" s="138"/>
      <c r="AH126" s="138"/>
      <c r="AI126" s="138"/>
      <c r="AJ126" s="138"/>
      <c r="AK126" s="138"/>
    </row>
    <row r="127" spans="13:37" ht="15.6" thickTop="1" thickBot="1" x14ac:dyDescent="0.35">
      <c r="M127" s="138"/>
      <c r="N127" s="138"/>
      <c r="O127" s="138"/>
      <c r="P127" s="710" t="s">
        <v>265</v>
      </c>
      <c r="Q127" s="711" t="s">
        <v>157</v>
      </c>
      <c r="R127" s="712"/>
      <c r="S127" s="649">
        <v>0</v>
      </c>
      <c r="T127" s="138"/>
      <c r="U127" s="138"/>
      <c r="V127" s="138"/>
      <c r="W127" s="138"/>
      <c r="X127" s="138"/>
      <c r="Y127" s="138"/>
      <c r="Z127" s="138"/>
      <c r="AA127" s="138"/>
      <c r="AB127" s="138"/>
      <c r="AC127" s="138"/>
      <c r="AD127" s="138"/>
      <c r="AE127" s="138"/>
      <c r="AF127" s="138"/>
      <c r="AG127" s="138"/>
      <c r="AH127" s="138"/>
      <c r="AI127" s="138"/>
      <c r="AJ127" s="138"/>
      <c r="AK127" s="138"/>
    </row>
    <row r="128" spans="13:37" ht="15.6" thickTop="1" thickBot="1" x14ac:dyDescent="0.35">
      <c r="M128" s="138"/>
      <c r="N128" s="138"/>
      <c r="O128" s="138"/>
      <c r="P128" s="706" t="s">
        <v>266</v>
      </c>
      <c r="Q128" s="707"/>
      <c r="R128" s="708"/>
      <c r="S128" s="648">
        <v>13500</v>
      </c>
      <c r="T128" s="138"/>
      <c r="U128" s="138"/>
      <c r="V128" s="138"/>
      <c r="W128" s="138"/>
      <c r="X128" s="138"/>
      <c r="Y128" s="138"/>
      <c r="Z128" s="138"/>
      <c r="AA128" s="138"/>
      <c r="AB128" s="138"/>
      <c r="AC128" s="138"/>
      <c r="AD128" s="138"/>
      <c r="AE128" s="138"/>
      <c r="AF128" s="138"/>
      <c r="AG128" s="138"/>
      <c r="AH128" s="138"/>
      <c r="AI128" s="138"/>
      <c r="AJ128" s="138"/>
      <c r="AK128" s="138"/>
    </row>
    <row r="129" spans="13:37" ht="15.6" thickTop="1" thickBot="1" x14ac:dyDescent="0.35">
      <c r="M129" s="138"/>
      <c r="N129" s="138"/>
      <c r="O129" s="138"/>
      <c r="P129" s="710" t="s">
        <v>267</v>
      </c>
      <c r="Q129" s="711"/>
      <c r="R129" s="712"/>
      <c r="S129" s="649">
        <v>1770</v>
      </c>
      <c r="T129" s="138"/>
      <c r="U129" s="138"/>
      <c r="V129" s="138"/>
      <c r="W129" s="138"/>
      <c r="X129" s="138"/>
      <c r="Y129" s="138"/>
      <c r="Z129" s="138"/>
      <c r="AA129" s="138"/>
      <c r="AB129" s="138"/>
      <c r="AC129" s="138"/>
      <c r="AD129" s="138"/>
      <c r="AE129" s="138"/>
      <c r="AF129" s="138"/>
      <c r="AG129" s="138"/>
      <c r="AH129" s="138"/>
      <c r="AI129" s="138"/>
      <c r="AJ129" s="138"/>
      <c r="AK129" s="138"/>
    </row>
    <row r="130" spans="13:37" ht="15.6" thickTop="1" thickBot="1" x14ac:dyDescent="0.35">
      <c r="M130" s="138"/>
      <c r="N130" s="138"/>
      <c r="O130" s="138"/>
      <c r="P130" s="706" t="s">
        <v>268</v>
      </c>
      <c r="Q130" s="707"/>
      <c r="R130" s="708"/>
      <c r="S130" s="648">
        <v>0</v>
      </c>
      <c r="T130" s="138"/>
      <c r="U130" s="138"/>
      <c r="V130" s="138"/>
      <c r="W130" s="138"/>
      <c r="X130" s="138"/>
      <c r="Y130" s="138"/>
      <c r="Z130" s="138"/>
      <c r="AA130" s="138"/>
      <c r="AB130" s="138"/>
      <c r="AC130" s="138"/>
      <c r="AD130" s="138"/>
      <c r="AE130" s="138"/>
      <c r="AF130" s="138"/>
      <c r="AG130" s="138"/>
      <c r="AH130" s="138"/>
      <c r="AI130" s="138"/>
      <c r="AJ130" s="138"/>
      <c r="AK130" s="138"/>
    </row>
    <row r="131" spans="13:37" ht="15.6" thickTop="1" thickBot="1" x14ac:dyDescent="0.35">
      <c r="M131" s="138"/>
      <c r="N131" s="138"/>
      <c r="O131" s="138"/>
      <c r="P131" s="710" t="s">
        <v>270</v>
      </c>
      <c r="Q131" s="711"/>
      <c r="R131" s="712"/>
      <c r="S131" s="649">
        <v>15500</v>
      </c>
      <c r="T131" s="138"/>
      <c r="U131" s="138"/>
      <c r="V131" s="138"/>
      <c r="W131" s="138"/>
      <c r="X131" s="138"/>
      <c r="Y131" s="138"/>
      <c r="Z131" s="138"/>
      <c r="AA131" s="138"/>
      <c r="AB131" s="138"/>
      <c r="AC131" s="138"/>
      <c r="AD131" s="138"/>
      <c r="AE131" s="138"/>
      <c r="AF131" s="138"/>
      <c r="AG131" s="138"/>
      <c r="AH131" s="138"/>
      <c r="AI131" s="138"/>
      <c r="AJ131" s="138"/>
      <c r="AK131" s="138"/>
    </row>
    <row r="132" spans="13:37" ht="15.6" thickTop="1" thickBot="1" x14ac:dyDescent="0.35">
      <c r="M132" s="138"/>
      <c r="N132" s="138"/>
      <c r="O132" s="138"/>
      <c r="P132" s="706" t="s">
        <v>293</v>
      </c>
      <c r="Q132" s="707"/>
      <c r="R132" s="708"/>
      <c r="S132" s="648">
        <v>0</v>
      </c>
      <c r="T132" s="138"/>
      <c r="U132" s="138"/>
      <c r="V132" s="138"/>
      <c r="W132" s="138"/>
      <c r="X132" s="138"/>
      <c r="Y132" s="138"/>
      <c r="Z132" s="138"/>
      <c r="AA132" s="138"/>
      <c r="AB132" s="138"/>
      <c r="AC132" s="138"/>
      <c r="AD132" s="138"/>
      <c r="AE132" s="138"/>
      <c r="AF132" s="138"/>
      <c r="AG132" s="138"/>
      <c r="AH132" s="138"/>
      <c r="AI132" s="138"/>
      <c r="AJ132" s="138"/>
      <c r="AK132" s="138"/>
    </row>
    <row r="133" spans="13:37" ht="15.6" thickTop="1" thickBot="1" x14ac:dyDescent="0.35">
      <c r="M133" s="138"/>
      <c r="N133" s="138"/>
      <c r="O133" s="138"/>
      <c r="P133" s="710" t="s">
        <v>273</v>
      </c>
      <c r="Q133" s="711"/>
      <c r="R133" s="712"/>
      <c r="S133" s="649">
        <v>4000</v>
      </c>
      <c r="T133" s="138"/>
      <c r="U133" s="138"/>
      <c r="V133" s="138"/>
      <c r="W133" s="138"/>
      <c r="X133" s="138"/>
      <c r="Y133" s="138"/>
      <c r="Z133" s="138"/>
      <c r="AA133" s="138"/>
      <c r="AB133" s="138"/>
      <c r="AC133" s="138"/>
      <c r="AD133" s="138"/>
      <c r="AE133" s="138"/>
      <c r="AF133" s="138"/>
      <c r="AG133" s="138"/>
      <c r="AH133" s="138"/>
      <c r="AI133" s="138"/>
      <c r="AJ133" s="138"/>
      <c r="AK133" s="138"/>
    </row>
    <row r="134" spans="13:37" ht="15.6" thickTop="1" thickBot="1" x14ac:dyDescent="0.35">
      <c r="M134" s="138"/>
      <c r="N134" s="138"/>
      <c r="O134" s="138"/>
      <c r="P134" s="706" t="s">
        <v>274</v>
      </c>
      <c r="Q134" s="707"/>
      <c r="R134" s="708"/>
      <c r="S134" s="648">
        <v>5100</v>
      </c>
      <c r="T134" s="138"/>
      <c r="U134" s="138"/>
      <c r="V134" s="138"/>
      <c r="W134" s="138"/>
      <c r="X134" s="138"/>
      <c r="Y134" s="138"/>
      <c r="Z134" s="138"/>
      <c r="AA134" s="138"/>
      <c r="AB134" s="138"/>
      <c r="AC134" s="138"/>
      <c r="AD134" s="138"/>
      <c r="AE134" s="138"/>
      <c r="AF134" s="138"/>
      <c r="AG134" s="138"/>
      <c r="AH134" s="138"/>
      <c r="AI134" s="138"/>
      <c r="AJ134" s="138"/>
      <c r="AK134" s="138"/>
    </row>
    <row r="135" spans="13:37" ht="15.6" thickTop="1" thickBot="1" x14ac:dyDescent="0.35">
      <c r="M135" s="138"/>
      <c r="N135" s="138"/>
      <c r="O135" s="138"/>
      <c r="P135" s="710" t="s">
        <v>107</v>
      </c>
      <c r="Q135" s="711"/>
      <c r="R135" s="712"/>
      <c r="S135" s="649">
        <v>4000</v>
      </c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D135" s="138"/>
      <c r="AE135" s="138"/>
      <c r="AF135" s="138"/>
      <c r="AG135" s="138"/>
      <c r="AH135" s="138"/>
      <c r="AI135" s="138"/>
      <c r="AJ135" s="138"/>
      <c r="AK135" s="138"/>
    </row>
    <row r="136" spans="13:37" ht="15.6" thickTop="1" thickBot="1" x14ac:dyDescent="0.35">
      <c r="M136" s="138"/>
      <c r="N136" s="138"/>
      <c r="O136" s="138"/>
      <c r="P136" s="706" t="s">
        <v>275</v>
      </c>
      <c r="Q136" s="707"/>
      <c r="R136" s="708"/>
      <c r="S136" s="648">
        <v>3000</v>
      </c>
      <c r="T136" s="138"/>
      <c r="U136" s="138"/>
      <c r="V136" s="138"/>
      <c r="W136" s="138"/>
      <c r="X136" s="138"/>
      <c r="Y136" s="138"/>
      <c r="Z136" s="138"/>
      <c r="AA136" s="138"/>
      <c r="AB136" s="138"/>
      <c r="AC136" s="138"/>
      <c r="AD136" s="138"/>
      <c r="AE136" s="138"/>
      <c r="AF136" s="138"/>
      <c r="AG136" s="138"/>
      <c r="AH136" s="138"/>
      <c r="AI136" s="138"/>
      <c r="AJ136" s="138"/>
      <c r="AK136" s="138"/>
    </row>
    <row r="137" spans="13:37" ht="15.6" thickTop="1" thickBot="1" x14ac:dyDescent="0.35">
      <c r="M137" s="138"/>
      <c r="N137" s="138"/>
      <c r="O137" s="138"/>
      <c r="P137" s="710" t="s">
        <v>276</v>
      </c>
      <c r="Q137" s="711"/>
      <c r="R137" s="712"/>
      <c r="S137" s="649">
        <v>14500</v>
      </c>
      <c r="T137" s="138"/>
      <c r="U137" s="138"/>
      <c r="V137" s="138"/>
      <c r="W137" s="138"/>
      <c r="X137" s="138"/>
      <c r="Y137" s="138"/>
      <c r="Z137" s="138"/>
      <c r="AA137" s="138"/>
      <c r="AB137" s="138"/>
      <c r="AC137" s="138"/>
      <c r="AD137" s="138"/>
      <c r="AE137" s="138"/>
      <c r="AF137" s="138"/>
      <c r="AG137" s="138"/>
      <c r="AH137" s="138"/>
      <c r="AI137" s="138"/>
      <c r="AJ137" s="138"/>
      <c r="AK137" s="138"/>
    </row>
    <row r="138" spans="13:37" ht="15.6" thickTop="1" thickBot="1" x14ac:dyDescent="0.35">
      <c r="M138" s="138"/>
      <c r="N138" s="138"/>
      <c r="O138" s="138"/>
      <c r="P138" s="706" t="s">
        <v>277</v>
      </c>
      <c r="Q138" s="707"/>
      <c r="R138" s="708"/>
      <c r="S138" s="650" t="s">
        <v>232</v>
      </c>
      <c r="T138" s="138"/>
      <c r="U138" s="138"/>
      <c r="V138" s="138"/>
      <c r="W138" s="138"/>
      <c r="X138" s="138"/>
      <c r="Y138" s="138"/>
      <c r="Z138" s="138"/>
      <c r="AA138" s="138"/>
      <c r="AB138" s="138"/>
      <c r="AC138" s="138"/>
      <c r="AD138" s="138"/>
      <c r="AE138" s="138"/>
      <c r="AF138" s="138"/>
      <c r="AG138" s="138"/>
      <c r="AH138" s="138"/>
      <c r="AI138" s="138"/>
      <c r="AJ138" s="138"/>
      <c r="AK138" s="138"/>
    </row>
    <row r="139" spans="13:37" ht="15.6" thickTop="1" thickBot="1" x14ac:dyDescent="0.35">
      <c r="M139" s="138"/>
      <c r="N139" s="138"/>
      <c r="O139" s="138"/>
      <c r="P139" s="876" t="s">
        <v>278</v>
      </c>
      <c r="Q139" s="877"/>
      <c r="R139" s="878"/>
      <c r="S139" s="652">
        <v>119800</v>
      </c>
      <c r="T139" s="138"/>
      <c r="U139" s="138"/>
      <c r="V139" s="138"/>
      <c r="W139" s="138"/>
      <c r="X139" s="138"/>
      <c r="Y139" s="138"/>
      <c r="Z139" s="138"/>
      <c r="AA139" s="138"/>
      <c r="AB139" s="138"/>
      <c r="AC139" s="138"/>
      <c r="AD139" s="138"/>
      <c r="AE139" s="138"/>
      <c r="AF139" s="138"/>
      <c r="AG139" s="138"/>
      <c r="AH139" s="138"/>
      <c r="AI139" s="138"/>
      <c r="AJ139" s="138"/>
      <c r="AK139" s="138"/>
    </row>
    <row r="140" spans="13:37" x14ac:dyDescent="0.3">
      <c r="M140" s="138"/>
      <c r="N140" s="138"/>
      <c r="O140" s="138"/>
      <c r="P140" s="138"/>
      <c r="Q140" s="138"/>
      <c r="R140" s="138"/>
      <c r="S140" s="138"/>
      <c r="T140" s="138"/>
      <c r="U140" s="138"/>
      <c r="V140" s="138"/>
      <c r="W140" s="138"/>
      <c r="X140" s="138"/>
      <c r="Y140" s="138"/>
      <c r="Z140" s="138"/>
      <c r="AA140" s="138"/>
      <c r="AB140" s="138"/>
      <c r="AC140" s="138"/>
      <c r="AD140" s="138"/>
      <c r="AE140" s="138"/>
      <c r="AF140" s="138"/>
      <c r="AG140" s="138"/>
      <c r="AH140" s="138"/>
      <c r="AI140" s="138"/>
      <c r="AJ140" s="138"/>
      <c r="AK140" s="138"/>
    </row>
    <row r="141" spans="13:37" ht="15" thickBot="1" x14ac:dyDescent="0.35">
      <c r="M141" s="138"/>
      <c r="N141" s="138"/>
      <c r="O141" s="138"/>
      <c r="P141" s="138"/>
      <c r="Q141" s="138"/>
      <c r="R141" s="138"/>
      <c r="S141" s="138"/>
      <c r="T141" s="138"/>
      <c r="U141" s="138"/>
      <c r="V141" s="138"/>
      <c r="W141" s="138"/>
      <c r="X141" s="138"/>
      <c r="Y141" s="138"/>
      <c r="Z141" s="138"/>
      <c r="AA141" s="138"/>
      <c r="AB141" s="138"/>
      <c r="AC141" s="138"/>
      <c r="AD141" s="138"/>
      <c r="AE141" s="138"/>
      <c r="AF141" s="138"/>
      <c r="AG141" s="138"/>
      <c r="AH141" s="138"/>
      <c r="AI141" s="138"/>
      <c r="AJ141" s="138"/>
      <c r="AK141" s="138"/>
    </row>
    <row r="142" spans="13:37" ht="15.6" thickTop="1" thickBot="1" x14ac:dyDescent="0.35">
      <c r="M142" s="138"/>
      <c r="N142" s="138"/>
      <c r="O142" s="138"/>
      <c r="P142" s="899" t="s">
        <v>326</v>
      </c>
      <c r="Q142" s="900"/>
      <c r="R142" s="901"/>
      <c r="S142" s="567" t="s">
        <v>327</v>
      </c>
      <c r="T142" s="138"/>
      <c r="U142" s="138"/>
      <c r="V142" s="138"/>
      <c r="W142" s="138"/>
      <c r="X142" s="138"/>
      <c r="Y142" s="138"/>
      <c r="Z142" s="138"/>
      <c r="AA142" s="138"/>
      <c r="AB142" s="138"/>
      <c r="AC142" s="138"/>
      <c r="AD142" s="138"/>
      <c r="AE142" s="138"/>
      <c r="AF142" s="138"/>
      <c r="AG142" s="138"/>
      <c r="AH142" s="138"/>
      <c r="AI142" s="138"/>
      <c r="AJ142" s="138"/>
      <c r="AK142" s="138"/>
    </row>
    <row r="143" spans="13:37" ht="15.6" thickTop="1" thickBot="1" x14ac:dyDescent="0.35">
      <c r="M143" s="138"/>
      <c r="N143" s="138"/>
      <c r="O143" s="138"/>
      <c r="P143" s="568" t="s">
        <v>328</v>
      </c>
      <c r="Q143" s="569"/>
      <c r="R143" s="570"/>
      <c r="S143" s="571" t="s">
        <v>329</v>
      </c>
      <c r="T143" s="138"/>
      <c r="U143" s="138"/>
      <c r="V143" s="138"/>
      <c r="W143" s="138"/>
      <c r="X143" s="138"/>
      <c r="Y143" s="138"/>
      <c r="Z143" s="138"/>
      <c r="AA143" s="138"/>
      <c r="AB143" s="138"/>
      <c r="AC143" s="138"/>
      <c r="AD143" s="138"/>
      <c r="AE143" s="138"/>
      <c r="AF143" s="138"/>
      <c r="AG143" s="138"/>
      <c r="AH143" s="138"/>
      <c r="AI143" s="138"/>
      <c r="AJ143" s="138"/>
      <c r="AK143" s="138"/>
    </row>
    <row r="144" spans="13:37" ht="15.6" thickTop="1" thickBot="1" x14ac:dyDescent="0.35">
      <c r="M144" s="138"/>
      <c r="N144" s="138"/>
      <c r="O144" s="138"/>
      <c r="P144" s="572" t="s">
        <v>330</v>
      </c>
      <c r="Q144" s="573"/>
      <c r="R144" s="574"/>
      <c r="S144" s="575">
        <v>90</v>
      </c>
      <c r="T144" s="138"/>
      <c r="U144" s="138"/>
      <c r="V144" s="138"/>
      <c r="W144" s="138"/>
      <c r="X144" s="138"/>
      <c r="Y144" s="138"/>
      <c r="Z144" s="138"/>
      <c r="AA144" s="138"/>
      <c r="AB144" s="138"/>
      <c r="AC144" s="138"/>
      <c r="AD144" s="138"/>
      <c r="AE144" s="138"/>
      <c r="AF144" s="138"/>
      <c r="AG144" s="138"/>
      <c r="AH144" s="138"/>
      <c r="AI144" s="138"/>
      <c r="AJ144" s="138"/>
      <c r="AK144" s="138"/>
    </row>
    <row r="145" spans="13:37" ht="15" thickBot="1" x14ac:dyDescent="0.35">
      <c r="M145" s="138"/>
      <c r="N145" s="138"/>
      <c r="O145" s="138"/>
      <c r="P145" s="890" t="s">
        <v>331</v>
      </c>
      <c r="Q145" s="891"/>
      <c r="R145" s="892"/>
      <c r="S145" s="576" t="s">
        <v>232</v>
      </c>
      <c r="T145" s="138"/>
      <c r="U145" s="138"/>
      <c r="V145" s="138"/>
      <c r="W145" s="138"/>
      <c r="X145" s="138"/>
      <c r="Y145" s="138"/>
      <c r="Z145" s="138"/>
      <c r="AA145" s="138"/>
      <c r="AB145" s="138"/>
      <c r="AC145" s="138"/>
      <c r="AD145" s="138"/>
      <c r="AE145" s="138"/>
      <c r="AF145" s="138"/>
      <c r="AG145" s="138"/>
      <c r="AH145" s="138"/>
      <c r="AI145" s="138"/>
      <c r="AJ145" s="138"/>
      <c r="AK145" s="138"/>
    </row>
    <row r="146" spans="13:37" ht="15" thickBot="1" x14ac:dyDescent="0.35">
      <c r="M146" s="138"/>
      <c r="N146" s="138"/>
      <c r="O146" s="138"/>
      <c r="P146" s="888" t="s">
        <v>332</v>
      </c>
      <c r="Q146" s="889"/>
      <c r="R146" s="574"/>
      <c r="S146" s="577" t="s">
        <v>232</v>
      </c>
      <c r="T146" s="138"/>
      <c r="U146" s="138"/>
      <c r="V146" s="138"/>
      <c r="W146" s="138"/>
      <c r="X146" s="138"/>
      <c r="Y146" s="138"/>
      <c r="Z146" s="138"/>
      <c r="AA146" s="138"/>
      <c r="AB146" s="138"/>
      <c r="AC146" s="138"/>
      <c r="AD146" s="138"/>
      <c r="AE146" s="138"/>
      <c r="AF146" s="138"/>
      <c r="AG146" s="138"/>
      <c r="AH146" s="138"/>
      <c r="AI146" s="138"/>
      <c r="AJ146" s="138"/>
      <c r="AK146" s="138"/>
    </row>
    <row r="147" spans="13:37" ht="15" thickBot="1" x14ac:dyDescent="0.35">
      <c r="M147" s="138"/>
      <c r="N147" s="138"/>
      <c r="O147" s="138"/>
      <c r="P147" s="578" t="s">
        <v>333</v>
      </c>
      <c r="Q147" s="579"/>
      <c r="R147" s="580"/>
      <c r="S147" s="581">
        <f>S144*3250</f>
        <v>292500</v>
      </c>
      <c r="T147" s="138"/>
      <c r="U147" s="138"/>
      <c r="V147" s="138"/>
      <c r="W147" s="138"/>
      <c r="X147" s="138"/>
      <c r="Y147" s="138"/>
      <c r="Z147" s="138"/>
      <c r="AA147" s="138"/>
      <c r="AB147" s="138"/>
      <c r="AC147" s="138"/>
      <c r="AD147" s="138"/>
      <c r="AE147" s="138"/>
      <c r="AF147" s="138"/>
      <c r="AG147" s="138"/>
      <c r="AH147" s="138"/>
      <c r="AI147" s="138"/>
      <c r="AJ147" s="138"/>
      <c r="AK147" s="138"/>
    </row>
    <row r="148" spans="13:37" ht="15" thickBot="1" x14ac:dyDescent="0.35">
      <c r="M148" s="138"/>
      <c r="N148" s="138"/>
      <c r="O148" s="138"/>
      <c r="P148" s="572" t="s">
        <v>334</v>
      </c>
      <c r="Q148" s="573"/>
      <c r="R148" s="574"/>
      <c r="S148" s="582">
        <v>0</v>
      </c>
      <c r="T148" s="138"/>
      <c r="U148" s="138"/>
      <c r="V148" s="138"/>
      <c r="W148" s="138"/>
      <c r="X148" s="138"/>
      <c r="Y148" s="138"/>
      <c r="Z148" s="138"/>
      <c r="AA148" s="138"/>
      <c r="AB148" s="138"/>
      <c r="AC148" s="138"/>
      <c r="AD148" s="138"/>
      <c r="AE148" s="138"/>
      <c r="AF148" s="138"/>
      <c r="AG148" s="138"/>
      <c r="AH148" s="138"/>
      <c r="AI148" s="138"/>
      <c r="AJ148" s="138"/>
      <c r="AK148" s="138"/>
    </row>
    <row r="149" spans="13:37" ht="15" thickBot="1" x14ac:dyDescent="0.35">
      <c r="M149" s="138"/>
      <c r="N149" s="138"/>
      <c r="O149" s="138"/>
      <c r="P149" s="578" t="s">
        <v>83</v>
      </c>
      <c r="Q149" s="579"/>
      <c r="R149" s="580"/>
      <c r="S149" s="581">
        <v>14500</v>
      </c>
      <c r="T149" s="138"/>
      <c r="U149" s="138"/>
      <c r="V149" s="138"/>
      <c r="W149" s="138"/>
      <c r="X149" s="138"/>
      <c r="Y149" s="138"/>
      <c r="Z149" s="138"/>
      <c r="AA149" s="138"/>
      <c r="AB149" s="138"/>
      <c r="AC149" s="138"/>
      <c r="AD149" s="138"/>
      <c r="AE149" s="138"/>
      <c r="AF149" s="138"/>
      <c r="AG149" s="138"/>
      <c r="AH149" s="138"/>
      <c r="AI149" s="138"/>
      <c r="AJ149" s="138"/>
      <c r="AK149" s="138"/>
    </row>
    <row r="150" spans="13:37" ht="15" thickBot="1" x14ac:dyDescent="0.35">
      <c r="M150" s="138"/>
      <c r="N150" s="138"/>
      <c r="O150" s="138"/>
      <c r="P150" s="572" t="s">
        <v>335</v>
      </c>
      <c r="Q150" s="573"/>
      <c r="R150" s="574"/>
      <c r="S150" s="582">
        <f>20*S144</f>
        <v>1800</v>
      </c>
      <c r="T150" s="138"/>
      <c r="U150" s="138"/>
      <c r="V150" s="138"/>
      <c r="W150" s="138"/>
      <c r="X150" s="138"/>
      <c r="Y150" s="138"/>
      <c r="Z150" s="138"/>
      <c r="AA150" s="138"/>
      <c r="AB150" s="138"/>
      <c r="AC150" s="138"/>
      <c r="AD150" s="138"/>
      <c r="AE150" s="138"/>
      <c r="AF150" s="138"/>
      <c r="AG150" s="138"/>
      <c r="AH150" s="138"/>
      <c r="AI150" s="138"/>
      <c r="AJ150" s="138"/>
      <c r="AK150" s="138"/>
    </row>
    <row r="151" spans="13:37" ht="15" thickBot="1" x14ac:dyDescent="0.35">
      <c r="M151" s="138"/>
      <c r="N151" s="138"/>
      <c r="O151" s="138"/>
      <c r="P151" s="578" t="s">
        <v>336</v>
      </c>
      <c r="Q151" s="579"/>
      <c r="R151" s="580"/>
      <c r="S151" s="581">
        <v>3750</v>
      </c>
      <c r="T151" s="138"/>
      <c r="U151" s="138"/>
      <c r="V151" s="138"/>
      <c r="W151" s="138"/>
      <c r="X151" s="138"/>
      <c r="Y151" s="138"/>
      <c r="Z151" s="138"/>
      <c r="AA151" s="138"/>
      <c r="AB151" s="138"/>
      <c r="AC151" s="138"/>
      <c r="AD151" s="138"/>
      <c r="AE151" s="138"/>
      <c r="AF151" s="138"/>
      <c r="AG151" s="138"/>
      <c r="AH151" s="138"/>
      <c r="AI151" s="138"/>
      <c r="AJ151" s="138"/>
      <c r="AK151" s="138"/>
    </row>
    <row r="152" spans="13:37" ht="15" thickBot="1" x14ac:dyDescent="0.35">
      <c r="M152" s="138"/>
      <c r="N152" s="138"/>
      <c r="O152" s="138"/>
      <c r="P152" s="888" t="s">
        <v>337</v>
      </c>
      <c r="Q152" s="889"/>
      <c r="R152" s="574"/>
      <c r="S152" s="582">
        <v>18500</v>
      </c>
      <c r="T152" s="138"/>
      <c r="U152" s="138"/>
      <c r="V152" s="138"/>
      <c r="W152" s="138"/>
      <c r="X152" s="138"/>
      <c r="Y152" s="138"/>
      <c r="Z152" s="138"/>
      <c r="AA152" s="138"/>
      <c r="AB152" s="138"/>
      <c r="AC152" s="138"/>
      <c r="AD152" s="138"/>
      <c r="AE152" s="138"/>
      <c r="AF152" s="138"/>
      <c r="AG152" s="138"/>
      <c r="AH152" s="138"/>
      <c r="AI152" s="138"/>
      <c r="AJ152" s="138"/>
      <c r="AK152" s="138"/>
    </row>
    <row r="153" spans="13:37" ht="15" thickBot="1" x14ac:dyDescent="0.35">
      <c r="M153" s="138"/>
      <c r="N153" s="138"/>
      <c r="O153" s="138"/>
      <c r="P153" s="578" t="s">
        <v>338</v>
      </c>
      <c r="Q153" s="579"/>
      <c r="R153" s="580"/>
      <c r="S153" s="581" t="s">
        <v>232</v>
      </c>
      <c r="T153" s="138"/>
      <c r="U153" s="138"/>
      <c r="V153" s="138"/>
      <c r="W153" s="138"/>
      <c r="X153" s="138"/>
      <c r="Y153" s="138"/>
      <c r="Z153" s="138"/>
      <c r="AA153" s="138"/>
      <c r="AB153" s="138"/>
      <c r="AC153" s="138"/>
      <c r="AD153" s="138"/>
      <c r="AE153" s="138"/>
      <c r="AF153" s="138"/>
      <c r="AG153" s="138"/>
      <c r="AH153" s="138"/>
      <c r="AI153" s="138"/>
      <c r="AJ153" s="138"/>
      <c r="AK153" s="138"/>
    </row>
    <row r="154" spans="13:37" ht="15" thickBot="1" x14ac:dyDescent="0.35">
      <c r="M154" s="138"/>
      <c r="N154" s="138"/>
      <c r="O154" s="138"/>
      <c r="P154" s="572" t="s">
        <v>339</v>
      </c>
      <c r="Q154" s="573"/>
      <c r="R154" s="574"/>
      <c r="S154" s="582">
        <v>5100</v>
      </c>
      <c r="T154" s="138"/>
      <c r="U154" s="138"/>
      <c r="V154" s="138"/>
      <c r="W154" s="138"/>
      <c r="X154" s="138"/>
      <c r="Y154" s="138"/>
      <c r="Z154" s="138"/>
      <c r="AA154" s="138"/>
      <c r="AB154" s="138"/>
      <c r="AC154" s="138"/>
      <c r="AD154" s="138"/>
      <c r="AE154" s="138"/>
      <c r="AF154" s="138"/>
      <c r="AG154" s="138"/>
      <c r="AH154" s="138"/>
      <c r="AI154" s="138"/>
      <c r="AJ154" s="138"/>
      <c r="AK154" s="138"/>
    </row>
    <row r="155" spans="13:37" ht="15" thickBot="1" x14ac:dyDescent="0.35">
      <c r="M155" s="138"/>
      <c r="N155" s="138"/>
      <c r="O155" s="138"/>
      <c r="P155" s="578" t="s">
        <v>340</v>
      </c>
      <c r="Q155" s="579"/>
      <c r="R155" s="580"/>
      <c r="S155" s="581">
        <v>0</v>
      </c>
      <c r="T155" s="138"/>
      <c r="U155" s="138"/>
      <c r="V155" s="138"/>
      <c r="W155" s="138"/>
      <c r="X155" s="138"/>
      <c r="Y155" s="138"/>
      <c r="Z155" s="138"/>
      <c r="AA155" s="138"/>
      <c r="AB155" s="138"/>
      <c r="AC155" s="138"/>
      <c r="AD155" s="138"/>
      <c r="AE155" s="138"/>
      <c r="AF155" s="138"/>
      <c r="AG155" s="138"/>
      <c r="AH155" s="138"/>
      <c r="AI155" s="138"/>
      <c r="AJ155" s="138"/>
      <c r="AK155" s="138"/>
    </row>
    <row r="156" spans="13:37" ht="15" thickBot="1" x14ac:dyDescent="0.35">
      <c r="M156" s="138"/>
      <c r="N156" s="138"/>
      <c r="O156" s="138"/>
      <c r="P156" s="572" t="s">
        <v>341</v>
      </c>
      <c r="Q156" s="573"/>
      <c r="R156" s="574"/>
      <c r="S156" s="582">
        <v>3500</v>
      </c>
      <c r="T156" s="138"/>
      <c r="U156" s="138"/>
      <c r="V156" s="138"/>
      <c r="W156" s="138"/>
      <c r="X156" s="138"/>
      <c r="Y156" s="138"/>
      <c r="Z156" s="138"/>
      <c r="AA156" s="138"/>
      <c r="AB156" s="138"/>
      <c r="AC156" s="138"/>
      <c r="AD156" s="138"/>
      <c r="AE156" s="138"/>
      <c r="AF156" s="138"/>
      <c r="AG156" s="138"/>
      <c r="AH156" s="138"/>
      <c r="AI156" s="138"/>
      <c r="AJ156" s="138"/>
      <c r="AK156" s="138"/>
    </row>
    <row r="157" spans="13:37" ht="15" thickBot="1" x14ac:dyDescent="0.35">
      <c r="M157" s="138"/>
      <c r="N157" s="138"/>
      <c r="O157" s="138"/>
      <c r="P157" s="890" t="s">
        <v>342</v>
      </c>
      <c r="Q157" s="891"/>
      <c r="R157" s="892"/>
      <c r="S157" s="581">
        <v>14800</v>
      </c>
      <c r="T157" s="138"/>
      <c r="U157" s="138"/>
      <c r="V157" s="138"/>
      <c r="W157" s="138"/>
      <c r="X157" s="138"/>
      <c r="Y157" s="138"/>
      <c r="Z157" s="138"/>
      <c r="AA157" s="138"/>
      <c r="AB157" s="138"/>
      <c r="AC157" s="138"/>
      <c r="AD157" s="138"/>
      <c r="AE157" s="138"/>
      <c r="AF157" s="138"/>
      <c r="AG157" s="138"/>
      <c r="AH157" s="138"/>
      <c r="AI157" s="138"/>
      <c r="AJ157" s="138"/>
      <c r="AK157" s="138"/>
    </row>
    <row r="158" spans="13:37" ht="15" thickBot="1" x14ac:dyDescent="0.35">
      <c r="M158" s="138"/>
      <c r="N158" s="138"/>
      <c r="O158" s="138"/>
      <c r="P158" s="572" t="s">
        <v>277</v>
      </c>
      <c r="Q158" s="573"/>
      <c r="R158" s="574"/>
      <c r="S158" s="577" t="s">
        <v>232</v>
      </c>
      <c r="T158" s="138"/>
      <c r="U158" s="138"/>
      <c r="V158" s="138"/>
      <c r="W158" s="138"/>
      <c r="X158" s="138"/>
      <c r="Y158" s="138"/>
      <c r="Z158" s="138"/>
      <c r="AA158" s="138"/>
      <c r="AB158" s="138"/>
      <c r="AC158" s="138"/>
      <c r="AD158" s="138"/>
      <c r="AE158" s="138"/>
      <c r="AF158" s="138"/>
      <c r="AG158" s="138"/>
      <c r="AH158" s="138"/>
      <c r="AI158" s="138"/>
      <c r="AJ158" s="138"/>
      <c r="AK158" s="138"/>
    </row>
    <row r="159" spans="13:37" ht="15" thickBot="1" x14ac:dyDescent="0.35">
      <c r="M159" s="138"/>
      <c r="N159" s="138"/>
      <c r="O159" s="138"/>
      <c r="P159" s="568" t="s">
        <v>91</v>
      </c>
      <c r="Q159" s="569"/>
      <c r="R159" s="570"/>
      <c r="S159" s="583">
        <v>288735</v>
      </c>
      <c r="T159" s="138"/>
      <c r="U159" s="138"/>
      <c r="V159" s="138"/>
      <c r="W159" s="138"/>
      <c r="X159" s="138"/>
      <c r="Y159" s="138"/>
      <c r="Z159" s="138"/>
      <c r="AA159" s="138"/>
      <c r="AB159" s="138"/>
      <c r="AC159" s="138"/>
      <c r="AD159" s="138"/>
      <c r="AE159" s="138"/>
      <c r="AF159" s="138"/>
      <c r="AG159" s="138"/>
      <c r="AH159" s="138"/>
      <c r="AI159" s="138"/>
      <c r="AJ159" s="138"/>
      <c r="AK159" s="138"/>
    </row>
    <row r="160" spans="13:37" ht="15.6" thickTop="1" thickBot="1" x14ac:dyDescent="0.35">
      <c r="T160" s="138"/>
      <c r="U160" s="138"/>
      <c r="V160" s="138"/>
      <c r="W160" s="138"/>
      <c r="X160" s="138"/>
      <c r="Y160" s="138"/>
      <c r="Z160" s="138"/>
      <c r="AA160" s="138"/>
      <c r="AB160" s="138"/>
      <c r="AC160" s="138"/>
      <c r="AD160" s="138"/>
      <c r="AE160" s="138"/>
      <c r="AF160" s="138"/>
      <c r="AG160" s="138"/>
      <c r="AH160" s="138"/>
      <c r="AI160" s="138"/>
      <c r="AJ160" s="138"/>
      <c r="AK160" s="138"/>
    </row>
    <row r="161" spans="16:22" ht="15.6" customHeight="1" thickTop="1" thickBot="1" x14ac:dyDescent="0.35">
      <c r="P161" s="479" t="s">
        <v>343</v>
      </c>
      <c r="Q161" s="480"/>
      <c r="R161" s="481"/>
      <c r="S161" s="394">
        <v>45958.69027777778</v>
      </c>
      <c r="T161" s="145"/>
      <c r="U161" t="s">
        <v>48</v>
      </c>
    </row>
    <row r="162" spans="16:22" ht="15.6" customHeight="1" thickTop="1" thickBot="1" x14ac:dyDescent="0.35">
      <c r="P162" s="476" t="s">
        <v>344</v>
      </c>
      <c r="Q162" s="477"/>
      <c r="R162" s="478"/>
      <c r="S162" s="396">
        <v>45975</v>
      </c>
      <c r="T162" s="145"/>
    </row>
    <row r="163" spans="16:22" ht="15.6" thickTop="1" thickBot="1" x14ac:dyDescent="0.35">
      <c r="P163" s="467" t="s">
        <v>229</v>
      </c>
      <c r="Q163" s="468"/>
      <c r="R163" s="469"/>
      <c r="S163" s="403">
        <v>90</v>
      </c>
      <c r="T163" s="145"/>
      <c r="U163" s="145"/>
      <c r="V163" s="145"/>
    </row>
    <row r="164" spans="16:22" ht="15" thickTop="1" x14ac:dyDescent="0.3">
      <c r="P164" s="470" t="s">
        <v>345</v>
      </c>
      <c r="Q164" s="471"/>
      <c r="R164" s="472"/>
      <c r="S164" s="401" t="s">
        <v>232</v>
      </c>
      <c r="T164" s="145"/>
      <c r="U164" s="457" t="e" vm="4">
        <v>#VALUE!</v>
      </c>
      <c r="V164" s="486" t="s">
        <v>232</v>
      </c>
    </row>
    <row r="165" spans="16:22" x14ac:dyDescent="0.3">
      <c r="P165" s="473" t="s">
        <v>233</v>
      </c>
      <c r="Q165" s="474"/>
      <c r="R165" s="475"/>
      <c r="S165" s="399" t="s">
        <v>232</v>
      </c>
      <c r="T165" s="145"/>
      <c r="U165" s="453" t="e" vm="4">
        <v>#VALUE!</v>
      </c>
      <c r="V165" s="487" t="s">
        <v>232</v>
      </c>
    </row>
    <row r="166" spans="16:22" x14ac:dyDescent="0.3">
      <c r="P166" s="470" t="s">
        <v>346</v>
      </c>
      <c r="Q166" s="471"/>
      <c r="R166" s="472"/>
      <c r="S166" s="401">
        <v>144000</v>
      </c>
      <c r="T166" s="145"/>
      <c r="U166" s="451">
        <v>18000</v>
      </c>
      <c r="V166" s="488">
        <v>126000</v>
      </c>
    </row>
    <row r="167" spans="16:22" x14ac:dyDescent="0.3">
      <c r="P167" s="473" t="s">
        <v>236</v>
      </c>
      <c r="Q167" s="474"/>
      <c r="R167" s="475"/>
      <c r="S167" s="399">
        <v>0</v>
      </c>
      <c r="T167" s="145"/>
      <c r="U167" s="453">
        <v>0</v>
      </c>
      <c r="V167" s="487">
        <v>0</v>
      </c>
    </row>
    <row r="168" spans="16:22" x14ac:dyDescent="0.3">
      <c r="P168" s="470" t="s">
        <v>243</v>
      </c>
      <c r="Q168" s="471"/>
      <c r="R168" s="472"/>
      <c r="S168" s="401">
        <v>18500</v>
      </c>
      <c r="T168" s="145"/>
      <c r="U168" s="451">
        <v>2721</v>
      </c>
      <c r="V168" s="488">
        <v>15779</v>
      </c>
    </row>
    <row r="169" spans="16:22" x14ac:dyDescent="0.3">
      <c r="P169" s="473" t="s">
        <v>238</v>
      </c>
      <c r="Q169" s="474"/>
      <c r="R169" s="475"/>
      <c r="S169" s="399">
        <v>1800</v>
      </c>
      <c r="T169" s="145"/>
      <c r="U169" s="453">
        <v>1800</v>
      </c>
      <c r="V169" s="487">
        <v>0</v>
      </c>
    </row>
    <row r="170" spans="16:22" x14ac:dyDescent="0.3">
      <c r="P170" s="470" t="s">
        <v>252</v>
      </c>
      <c r="Q170" s="471"/>
      <c r="R170" s="472"/>
      <c r="S170" s="401">
        <v>3750</v>
      </c>
      <c r="T170" s="145"/>
      <c r="U170" s="451">
        <v>0</v>
      </c>
      <c r="V170" s="488">
        <v>3750</v>
      </c>
    </row>
    <row r="171" spans="16:22" x14ac:dyDescent="0.3">
      <c r="P171" s="473" t="s">
        <v>241</v>
      </c>
      <c r="Q171" s="474"/>
      <c r="R171" s="475"/>
      <c r="S171" s="399">
        <v>18500</v>
      </c>
      <c r="T171" s="145"/>
      <c r="U171" s="453">
        <v>3500</v>
      </c>
      <c r="V171" s="487">
        <v>15000</v>
      </c>
    </row>
    <row r="172" spans="16:22" x14ac:dyDescent="0.3">
      <c r="P172" s="470" t="s">
        <v>250</v>
      </c>
      <c r="Q172" s="471"/>
      <c r="R172" s="472"/>
      <c r="S172" s="401">
        <v>29000</v>
      </c>
      <c r="T172" s="145"/>
      <c r="U172" s="451">
        <v>2000</v>
      </c>
      <c r="V172" s="488">
        <v>27000</v>
      </c>
    </row>
    <row r="173" spans="16:22" x14ac:dyDescent="0.3">
      <c r="P173" s="473" t="s">
        <v>244</v>
      </c>
      <c r="Q173" s="474"/>
      <c r="R173" s="475"/>
      <c r="S173" s="399">
        <v>5100</v>
      </c>
      <c r="T173" s="145"/>
      <c r="U173" s="453">
        <v>0</v>
      </c>
      <c r="V173" s="487">
        <v>5100</v>
      </c>
    </row>
    <row r="174" spans="16:22" x14ac:dyDescent="0.3">
      <c r="P174" s="470" t="s">
        <v>245</v>
      </c>
      <c r="Q174" s="471"/>
      <c r="R174" s="472"/>
      <c r="S174" s="401">
        <v>0</v>
      </c>
      <c r="T174" s="145"/>
      <c r="U174" s="451">
        <v>0</v>
      </c>
      <c r="V174" s="488">
        <v>0</v>
      </c>
    </row>
    <row r="175" spans="16:22" x14ac:dyDescent="0.3">
      <c r="P175" s="473" t="s">
        <v>247</v>
      </c>
      <c r="Q175" s="474"/>
      <c r="R175" s="475"/>
      <c r="S175" s="399">
        <v>3500</v>
      </c>
      <c r="T175" s="145"/>
      <c r="U175" s="453">
        <v>1000</v>
      </c>
      <c r="V175" s="487">
        <v>2500</v>
      </c>
    </row>
    <row r="176" spans="16:22" x14ac:dyDescent="0.3">
      <c r="P176" s="470" t="s">
        <v>248</v>
      </c>
      <c r="Q176" s="471"/>
      <c r="R176" s="472"/>
      <c r="S176" s="401">
        <v>15500</v>
      </c>
      <c r="T176" s="145"/>
      <c r="U176" s="451">
        <v>2000</v>
      </c>
      <c r="V176" s="488">
        <v>13500</v>
      </c>
    </row>
    <row r="177" spans="16:22" ht="15" thickBot="1" x14ac:dyDescent="0.35">
      <c r="P177" s="473" t="s">
        <v>251</v>
      </c>
      <c r="Q177" s="474"/>
      <c r="R177" s="475"/>
      <c r="S177" s="399" t="s">
        <v>232</v>
      </c>
      <c r="T177" s="145"/>
      <c r="U177" s="452" t="e" vm="3">
        <v>#VALUE!</v>
      </c>
      <c r="V177" s="489" t="s">
        <v>232</v>
      </c>
    </row>
    <row r="178" spans="16:22" ht="15.6" thickTop="1" thickBot="1" x14ac:dyDescent="0.35">
      <c r="P178" s="482" t="s">
        <v>253</v>
      </c>
      <c r="Q178" s="483"/>
      <c r="R178" s="484"/>
      <c r="S178" s="397">
        <v>239650</v>
      </c>
      <c r="T178" s="145"/>
      <c r="U178" s="397">
        <v>31021</v>
      </c>
      <c r="V178" s="397">
        <v>208629</v>
      </c>
    </row>
    <row r="179" spans="16:22" ht="15" thickTop="1" x14ac:dyDescent="0.3"/>
  </sheetData>
  <mergeCells count="14">
    <mergeCell ref="P146:Q146"/>
    <mergeCell ref="P152:Q152"/>
    <mergeCell ref="P157:R157"/>
    <mergeCell ref="J13:K14"/>
    <mergeCell ref="P93:R93"/>
    <mergeCell ref="P119:R119"/>
    <mergeCell ref="P142:R142"/>
    <mergeCell ref="P145:R145"/>
    <mergeCell ref="B47:D47"/>
    <mergeCell ref="P121:R121"/>
    <mergeCell ref="P139:R139"/>
    <mergeCell ref="P25:R25"/>
    <mergeCell ref="J31:K32"/>
    <mergeCell ref="B75:D75"/>
  </mergeCells>
  <dataValidations count="1">
    <dataValidation type="list" allowBlank="1" showInputMessage="1" showErrorMessage="1" sqref="C5" xr:uid="{C182220E-4B3E-47C0-9367-AEAC69976E00}">
      <formula1>"HAZ, NON HAZ"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207A169-D4D6-4B0E-89FC-C4C98BE7A0E3}">
          <x14:formula1>
            <xm:f>FILETER!$D$2:$D$260</xm:f>
          </x14:formula1>
          <xm:sqref>B5</xm:sqref>
        </x14:dataValidation>
        <x14:dataValidation type="list" allowBlank="1" showInputMessage="1" showErrorMessage="1" xr:uid="{8E805FC3-538E-4FFD-AB18-47915FFB8D09}">
          <x14:formula1>
            <xm:f>FILETER!$C$2:$C$240</xm:f>
          </x14:formula1>
          <xm:sqref>B3</xm:sqref>
        </x14:dataValidation>
        <x14:dataValidation type="list" allowBlank="1" showInputMessage="1" showErrorMessage="1" xr:uid="{17B18349-D87A-4DAC-A79E-6656E00624FD}">
          <x14:formula1>
            <xm:f>'RATE SHEET'!$D$1:$D$409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A4366-5D42-417B-AD11-AE616BC19870}">
  <sheetPr codeName="REQUEST">
    <tabColor rgb="FFFF0000"/>
    <pageSetUpPr autoPageBreaks="0"/>
  </sheetPr>
  <dimension ref="A1:AB18"/>
  <sheetViews>
    <sheetView showGridLines="0" zoomScaleNormal="100" workbookViewId="0">
      <pane ySplit="18" topLeftCell="A19" activePane="bottomLeft" state="frozen"/>
      <selection pane="bottomLeft"/>
    </sheetView>
  </sheetViews>
  <sheetFormatPr defaultRowHeight="14.4" x14ac:dyDescent="0.3"/>
  <cols>
    <col min="1" max="2" width="36.44140625" customWidth="1"/>
    <col min="4" max="4" width="10.33203125" customWidth="1"/>
    <col min="5" max="6" width="6.5546875" customWidth="1"/>
    <col min="7" max="7" width="16.77734375" style="702" customWidth="1"/>
    <col min="8" max="8" width="6.5546875" customWidth="1"/>
    <col min="9" max="9" width="16.44140625" customWidth="1"/>
    <col min="10" max="12" width="9.21875" customWidth="1"/>
    <col min="13" max="15" width="7.5546875" customWidth="1"/>
    <col min="16" max="17" width="5.6640625" customWidth="1"/>
    <col min="20" max="23" width="15.88671875" customWidth="1"/>
    <col min="24" max="24" width="13.5546875" customWidth="1"/>
    <col min="26" max="30" width="14.44140625" customWidth="1"/>
  </cols>
  <sheetData>
    <row r="1" spans="1:28" ht="15.6" thickTop="1" thickBot="1" x14ac:dyDescent="0.35">
      <c r="A1" s="90" t="str">
        <f>"SEA FREIGHT REQUIRED // " &amp; UPPER(B9) &amp; " TO " &amp; UPPER(B10) &amp; " // " &amp; UPPER(B11) &amp; " // " &amp; UPPER(B13) &amp; " KGS"</f>
        <v>SEA FREIGHT REQUIRED // NHAVA SHEVA, IN TO HAIPHONG, VN // NON HAZ // 25000 KGS</v>
      </c>
      <c r="B1" s="12"/>
      <c r="C1" s="12"/>
      <c r="D1" s="9" t="s">
        <v>8</v>
      </c>
      <c r="E1" s="760"/>
      <c r="F1" s="760"/>
      <c r="G1" s="288" t="s">
        <v>72</v>
      </c>
      <c r="H1" s="760"/>
      <c r="I1" s="585" t="s">
        <v>355</v>
      </c>
      <c r="J1" s="586" t="s">
        <v>1351</v>
      </c>
      <c r="K1" s="760"/>
      <c r="L1" s="677" t="s">
        <v>200</v>
      </c>
      <c r="M1" s="904" t="s">
        <v>160</v>
      </c>
      <c r="N1" s="905"/>
      <c r="O1" s="906"/>
      <c r="P1" s="760"/>
      <c r="Q1" s="760"/>
      <c r="R1" s="760"/>
      <c r="T1" s="618" t="s">
        <v>358</v>
      </c>
      <c r="U1" s="619" t="s">
        <v>359</v>
      </c>
      <c r="V1" s="619" t="s">
        <v>360</v>
      </c>
      <c r="W1" s="619" t="s">
        <v>361</v>
      </c>
      <c r="X1" s="619" t="s">
        <v>362</v>
      </c>
      <c r="Z1" s="618" t="s">
        <v>358</v>
      </c>
      <c r="AA1" s="619" t="s">
        <v>363</v>
      </c>
      <c r="AB1" s="619" t="s">
        <v>363</v>
      </c>
    </row>
    <row r="2" spans="1:28" ht="15.6" thickTop="1" thickBot="1" x14ac:dyDescent="0.35">
      <c r="A2" s="91"/>
      <c r="B2" s="12"/>
      <c r="C2" s="12"/>
      <c r="D2" s="764"/>
      <c r="E2" s="902" t="s">
        <v>356</v>
      </c>
      <c r="F2" s="761"/>
      <c r="G2" s="278"/>
      <c r="H2" s="760"/>
      <c r="I2" s="587" t="s">
        <v>357</v>
      </c>
      <c r="J2" s="588">
        <v>2</v>
      </c>
      <c r="K2" s="760"/>
      <c r="L2" s="678">
        <v>20</v>
      </c>
      <c r="M2" s="627">
        <v>28</v>
      </c>
      <c r="N2" s="625">
        <v>28</v>
      </c>
      <c r="O2" s="626">
        <v>40</v>
      </c>
      <c r="P2" s="760"/>
      <c r="Q2" s="760"/>
      <c r="R2" s="760"/>
      <c r="T2" s="622" t="s">
        <v>52</v>
      </c>
      <c r="U2" s="623" t="s">
        <v>53</v>
      </c>
      <c r="V2" s="623"/>
      <c r="W2" s="623"/>
      <c r="X2" s="623"/>
      <c r="Z2" s="622" t="s">
        <v>366</v>
      </c>
      <c r="AA2" s="641" t="s">
        <v>367</v>
      </c>
      <c r="AB2" s="641" t="s">
        <v>368</v>
      </c>
    </row>
    <row r="3" spans="1:28" ht="15" thickBot="1" x14ac:dyDescent="0.35">
      <c r="A3" s="88" t="s">
        <v>364</v>
      </c>
      <c r="B3" s="67"/>
      <c r="C3" s="12"/>
      <c r="D3" s="764"/>
      <c r="E3" s="902"/>
      <c r="F3" s="761"/>
      <c r="G3" s="253"/>
      <c r="H3" s="760"/>
      <c r="I3" s="587" t="s">
        <v>365</v>
      </c>
      <c r="J3" s="589">
        <v>25</v>
      </c>
      <c r="K3" s="760"/>
      <c r="L3" s="679">
        <v>25</v>
      </c>
      <c r="M3" s="590">
        <v>27</v>
      </c>
      <c r="N3" s="591">
        <v>24</v>
      </c>
      <c r="O3" s="592">
        <v>46</v>
      </c>
      <c r="P3" s="760"/>
      <c r="Q3" s="760"/>
      <c r="R3" s="760"/>
      <c r="T3" s="620" t="s">
        <v>371</v>
      </c>
      <c r="U3" s="621" t="s">
        <v>372</v>
      </c>
      <c r="V3" s="621"/>
      <c r="W3" s="621"/>
      <c r="X3" s="621"/>
      <c r="Z3" s="620"/>
      <c r="AA3" s="640"/>
      <c r="AB3" s="640"/>
    </row>
    <row r="4" spans="1:28" ht="15" thickBot="1" x14ac:dyDescent="0.35">
      <c r="A4" s="88"/>
      <c r="B4" s="67"/>
      <c r="C4" s="12"/>
      <c r="D4" s="764"/>
      <c r="E4" s="913" t="s">
        <v>369</v>
      </c>
      <c r="F4" s="762"/>
      <c r="G4" s="254"/>
      <c r="H4" s="760"/>
      <c r="I4" s="587" t="s">
        <v>370</v>
      </c>
      <c r="J4" s="593" t="s">
        <v>1158</v>
      </c>
      <c r="K4" s="760"/>
      <c r="L4" s="679">
        <v>30</v>
      </c>
      <c r="M4" s="590">
        <v>30</v>
      </c>
      <c r="N4" s="591">
        <v>30</v>
      </c>
      <c r="O4" s="592">
        <v>50</v>
      </c>
      <c r="P4" s="760"/>
      <c r="Q4" s="760"/>
      <c r="R4" s="760"/>
      <c r="T4" s="622"/>
      <c r="U4" s="623"/>
      <c r="V4" s="623"/>
      <c r="W4" s="623"/>
      <c r="X4" s="623"/>
      <c r="Z4" s="622" t="s">
        <v>375</v>
      </c>
      <c r="AA4" s="641">
        <f>AA5-1</f>
        <v>45995</v>
      </c>
      <c r="AB4" s="641">
        <f>AB5-1</f>
        <v>46003</v>
      </c>
    </row>
    <row r="5" spans="1:28" ht="15" thickBot="1" x14ac:dyDescent="0.35">
      <c r="A5" s="903" t="s">
        <v>373</v>
      </c>
      <c r="B5" s="903"/>
      <c r="C5" s="12"/>
      <c r="D5" s="764"/>
      <c r="E5" s="913"/>
      <c r="F5" s="763"/>
      <c r="G5" s="253"/>
      <c r="H5" s="760"/>
      <c r="I5" s="587" t="s">
        <v>374</v>
      </c>
      <c r="J5" s="593" t="s">
        <v>1160</v>
      </c>
      <c r="K5" s="760"/>
      <c r="L5" s="679">
        <v>35</v>
      </c>
      <c r="M5" s="590">
        <v>32</v>
      </c>
      <c r="N5" s="591">
        <v>32</v>
      </c>
      <c r="O5" s="592">
        <v>55</v>
      </c>
      <c r="P5" s="760"/>
      <c r="Q5" s="760"/>
      <c r="R5" s="760"/>
      <c r="T5" s="620" t="s">
        <v>72</v>
      </c>
      <c r="U5" s="621"/>
      <c r="V5" s="621"/>
      <c r="W5" s="621"/>
      <c r="X5" s="621"/>
      <c r="Z5" s="620" t="s">
        <v>377</v>
      </c>
      <c r="AA5" s="640">
        <f>AA6-8</f>
        <v>45996</v>
      </c>
      <c r="AB5" s="640">
        <f>AB6-8</f>
        <v>46004</v>
      </c>
    </row>
    <row r="6" spans="1:28" ht="15" thickBot="1" x14ac:dyDescent="0.35">
      <c r="A6" s="773"/>
      <c r="B6" s="662"/>
      <c r="C6" s="12"/>
      <c r="D6" s="764"/>
      <c r="E6" s="764"/>
      <c r="F6" s="764"/>
      <c r="G6" s="254"/>
      <c r="H6" s="760"/>
      <c r="I6" s="594" t="s">
        <v>376</v>
      </c>
      <c r="J6" s="595" t="s">
        <v>58</v>
      </c>
      <c r="K6" s="760"/>
      <c r="L6" s="679">
        <v>50</v>
      </c>
      <c r="M6" s="590">
        <v>38</v>
      </c>
      <c r="N6" s="591">
        <v>38</v>
      </c>
      <c r="O6" s="592">
        <v>60</v>
      </c>
      <c r="P6" s="760"/>
      <c r="Q6" s="760"/>
      <c r="R6" s="760"/>
      <c r="T6" s="622"/>
      <c r="U6" s="623"/>
      <c r="V6" s="623"/>
      <c r="W6" s="623"/>
      <c r="X6" s="623"/>
      <c r="Z6" s="622" t="s">
        <v>378</v>
      </c>
      <c r="AA6" s="641">
        <v>46004</v>
      </c>
      <c r="AB6" s="641">
        <v>46012</v>
      </c>
    </row>
    <row r="7" spans="1:28" ht="15" thickBot="1" x14ac:dyDescent="0.35">
      <c r="A7" s="773"/>
      <c r="B7" s="662"/>
      <c r="C7" s="11"/>
      <c r="D7" s="764"/>
      <c r="E7" s="760"/>
      <c r="F7" s="760"/>
      <c r="G7" s="253"/>
      <c r="H7" s="760"/>
      <c r="I7" s="760"/>
      <c r="J7" s="760"/>
      <c r="K7" s="760"/>
      <c r="L7" s="679">
        <v>60</v>
      </c>
      <c r="M7" s="590">
        <v>40</v>
      </c>
      <c r="N7" s="591">
        <v>40</v>
      </c>
      <c r="O7" s="592">
        <v>70</v>
      </c>
      <c r="P7" s="760"/>
      <c r="Q7" s="760"/>
      <c r="R7" s="760"/>
      <c r="T7" s="620" t="s">
        <v>375</v>
      </c>
      <c r="U7" s="624">
        <v>45964</v>
      </c>
      <c r="V7" s="624"/>
      <c r="W7" s="624"/>
      <c r="X7" s="624"/>
      <c r="Z7" s="620" t="s">
        <v>380</v>
      </c>
      <c r="AA7" s="640">
        <v>46035</v>
      </c>
      <c r="AB7" s="640">
        <v>46038</v>
      </c>
    </row>
    <row r="8" spans="1:28" ht="15.6" thickTop="1" thickBot="1" x14ac:dyDescent="0.35">
      <c r="A8" s="937" t="s">
        <v>1390</v>
      </c>
      <c r="B8" s="938" t="s">
        <v>1391</v>
      </c>
      <c r="C8" s="12"/>
      <c r="D8" s="764"/>
      <c r="E8" s="760"/>
      <c r="F8" s="760"/>
      <c r="G8" s="254"/>
      <c r="H8" s="760"/>
      <c r="I8" s="596" t="s">
        <v>379</v>
      </c>
      <c r="J8" s="597">
        <f>J4 * J5 * IF(J6="YES", 2, 1)</f>
        <v>24</v>
      </c>
      <c r="K8" s="760"/>
      <c r="L8" s="680">
        <v>200</v>
      </c>
      <c r="M8" s="598">
        <v>58</v>
      </c>
      <c r="N8" s="599">
        <v>58</v>
      </c>
      <c r="O8" s="600">
        <v>90</v>
      </c>
      <c r="P8" s="760"/>
      <c r="Q8" s="760"/>
      <c r="R8" s="760"/>
      <c r="T8" s="622" t="s">
        <v>377</v>
      </c>
      <c r="U8" s="623">
        <v>45966</v>
      </c>
      <c r="V8" s="623"/>
      <c r="W8" s="623"/>
      <c r="X8" s="623"/>
    </row>
    <row r="9" spans="1:28" ht="15" thickBot="1" x14ac:dyDescent="0.35">
      <c r="A9" s="937" t="s">
        <v>1392</v>
      </c>
      <c r="B9" s="938" t="s">
        <v>53</v>
      </c>
      <c r="C9" s="11"/>
      <c r="D9" s="764"/>
      <c r="E9" s="760"/>
      <c r="F9" s="760"/>
      <c r="G9" s="253"/>
      <c r="H9" s="760"/>
      <c r="I9" s="601" t="s">
        <v>381</v>
      </c>
      <c r="J9" s="602">
        <f>CEILING(J1/J8, 1)</f>
        <v>4</v>
      </c>
      <c r="K9" s="760"/>
      <c r="L9" s="760"/>
      <c r="M9" s="760"/>
      <c r="N9" s="760"/>
      <c r="O9" s="760"/>
      <c r="P9" s="760"/>
      <c r="Q9" s="760"/>
      <c r="R9" s="760"/>
      <c r="T9" s="620" t="s">
        <v>378</v>
      </c>
      <c r="U9" s="624">
        <v>45976</v>
      </c>
      <c r="V9" s="624"/>
      <c r="W9" s="624"/>
      <c r="X9" s="624"/>
    </row>
    <row r="10" spans="1:28" ht="15.6" customHeight="1" thickTop="1" thickBot="1" x14ac:dyDescent="0.35">
      <c r="A10" s="937" t="s">
        <v>1393</v>
      </c>
      <c r="B10" s="938" t="s">
        <v>513</v>
      </c>
      <c r="C10" s="12"/>
      <c r="D10" s="699" t="s">
        <v>128</v>
      </c>
      <c r="E10" s="760"/>
      <c r="F10" s="760"/>
      <c r="G10" s="254"/>
      <c r="H10" s="760"/>
      <c r="I10" s="601" t="s">
        <v>382</v>
      </c>
      <c r="J10" s="603">
        <f>J1*SUM(J2:J3)</f>
        <v>2160</v>
      </c>
      <c r="K10" s="760"/>
      <c r="L10" s="910" t="s">
        <v>1372</v>
      </c>
      <c r="M10" s="911"/>
      <c r="N10" s="912"/>
      <c r="O10" s="760"/>
      <c r="P10" s="760"/>
      <c r="Q10" s="760"/>
      <c r="R10" s="760"/>
      <c r="T10" s="622" t="s">
        <v>380</v>
      </c>
      <c r="U10" s="623">
        <v>45981</v>
      </c>
      <c r="V10" s="623"/>
      <c r="W10" s="623"/>
      <c r="X10" s="623"/>
    </row>
    <row r="11" spans="1:28" ht="15.6" thickTop="1" thickBot="1" x14ac:dyDescent="0.35">
      <c r="A11" s="937" t="s">
        <v>1317</v>
      </c>
      <c r="B11" s="938" t="str">
        <f>IF(D10="HAZ",D10&amp;" :- "&amp;D11&amp;"/"&amp;D12&amp;" - PG:"&amp;D13,"NON HAZ")</f>
        <v>NON HAZ</v>
      </c>
      <c r="C11" s="12"/>
      <c r="D11" s="700"/>
      <c r="E11" s="760"/>
      <c r="F11" s="760"/>
      <c r="G11" s="253"/>
      <c r="H11" s="760"/>
      <c r="I11" s="601" t="s">
        <v>383</v>
      </c>
      <c r="J11" s="603">
        <f>CEILING(J9,1)*15</f>
        <v>60</v>
      </c>
      <c r="K11" s="760"/>
      <c r="L11" s="760"/>
      <c r="M11" s="760"/>
      <c r="N11" s="760"/>
      <c r="O11" s="760"/>
      <c r="P11" s="760"/>
      <c r="Q11" s="760"/>
      <c r="R11" s="760"/>
    </row>
    <row r="12" spans="1:28" ht="15.6" thickTop="1" thickBot="1" x14ac:dyDescent="0.35">
      <c r="A12" s="937" t="s">
        <v>1394</v>
      </c>
      <c r="B12" s="938" t="s">
        <v>1146</v>
      </c>
      <c r="C12" s="12"/>
      <c r="D12" s="700"/>
      <c r="E12" s="760"/>
      <c r="F12" s="760"/>
      <c r="G12" s="254"/>
      <c r="H12" s="760"/>
      <c r="I12" s="601" t="s">
        <v>385</v>
      </c>
      <c r="J12" s="603">
        <f>SUM(J10:J11)</f>
        <v>2220</v>
      </c>
      <c r="K12" s="760"/>
      <c r="L12" s="907" t="str">
        <f>UPPER(L10)</f>
        <v>WELDING ELECTRODES</v>
      </c>
      <c r="M12" s="908"/>
      <c r="N12" s="909"/>
      <c r="O12" s="760"/>
      <c r="P12" s="760"/>
      <c r="Q12" s="760"/>
      <c r="R12" s="760"/>
    </row>
    <row r="13" spans="1:28" ht="15.6" thickTop="1" thickBot="1" x14ac:dyDescent="0.35">
      <c r="A13" s="937" t="s">
        <v>1318</v>
      </c>
      <c r="B13" s="940">
        <v>25000</v>
      </c>
      <c r="C13" s="12"/>
      <c r="D13" s="701"/>
      <c r="E13" s="760"/>
      <c r="F13" s="760"/>
      <c r="G13" s="253"/>
      <c r="H13" s="760"/>
      <c r="I13" s="601" t="s">
        <v>180</v>
      </c>
      <c r="J13" s="603">
        <f>(J16*K16*L16/6000)*(J9)</f>
        <v>497.66399999999999</v>
      </c>
      <c r="K13" s="760"/>
      <c r="L13" s="760"/>
      <c r="M13" s="760"/>
      <c r="N13" s="760"/>
      <c r="O13" s="760"/>
      <c r="P13" s="760"/>
      <c r="Q13" s="760"/>
      <c r="R13" s="760"/>
    </row>
    <row r="14" spans="1:28" ht="15.6" thickTop="1" thickBot="1" x14ac:dyDescent="0.35">
      <c r="A14" s="937" t="s">
        <v>1395</v>
      </c>
      <c r="B14" s="938" t="s">
        <v>1396</v>
      </c>
      <c r="C14" s="12"/>
      <c r="D14" s="760"/>
      <c r="E14" s="760"/>
      <c r="F14" s="760"/>
      <c r="G14" s="254"/>
      <c r="H14" s="760"/>
      <c r="I14" s="760"/>
      <c r="J14" s="760"/>
      <c r="K14" s="760"/>
      <c r="L14" s="760"/>
      <c r="M14" s="760"/>
      <c r="N14" s="760"/>
      <c r="O14" s="760"/>
      <c r="P14" s="760"/>
      <c r="Q14" s="760"/>
      <c r="R14" s="760"/>
    </row>
    <row r="15" spans="1:28" ht="15.6" thickTop="1" thickBot="1" x14ac:dyDescent="0.35">
      <c r="A15" s="937" t="s">
        <v>1397</v>
      </c>
      <c r="B15" s="939">
        <f ca="1">IF(DAY(EOMONTH(TODAY(),0)) - DAY(TODAY()) &lt;= 7, EOMONTH(TODAY(),1), EOMONTH(TODAY(),0))</f>
        <v>46112</v>
      </c>
      <c r="C15" s="12"/>
      <c r="D15" s="760"/>
      <c r="E15" s="760"/>
      <c r="F15" s="760"/>
      <c r="G15" s="253"/>
      <c r="H15" s="760"/>
      <c r="I15" s="698" t="s">
        <v>386</v>
      </c>
      <c r="J15" s="604">
        <f>VLOOKUP(J3,L2:O8,2,0)</f>
        <v>27</v>
      </c>
      <c r="K15" s="604">
        <f>VLOOKUP(J3,L2:O8,3,0)</f>
        <v>24</v>
      </c>
      <c r="L15" s="605">
        <f>VLOOKUP(J3,L2:O8,4,0)</f>
        <v>46</v>
      </c>
      <c r="M15" s="760"/>
      <c r="N15" s="760"/>
      <c r="O15" s="760"/>
      <c r="P15" s="760"/>
      <c r="Q15" s="760"/>
      <c r="R15" s="760"/>
    </row>
    <row r="16" spans="1:28" ht="15.6" thickTop="1" thickBot="1" x14ac:dyDescent="0.35">
      <c r="A16" s="937" t="s">
        <v>1398</v>
      </c>
      <c r="B16" s="938" t="s">
        <v>1399</v>
      </c>
      <c r="C16" s="12"/>
      <c r="D16" s="760"/>
      <c r="E16" s="760"/>
      <c r="F16" s="760"/>
      <c r="G16" s="254"/>
      <c r="H16" s="760"/>
      <c r="I16" s="698" t="s">
        <v>387</v>
      </c>
      <c r="J16" s="606">
        <f>J15*J5</f>
        <v>108</v>
      </c>
      <c r="K16" s="606">
        <f>K15*J4</f>
        <v>72</v>
      </c>
      <c r="L16" s="607">
        <f>IF(J6="YES",(L15*2+4),(L15*1+2)+8)</f>
        <v>96</v>
      </c>
      <c r="M16" s="760"/>
      <c r="N16" s="760"/>
      <c r="O16" s="760"/>
      <c r="P16" s="760"/>
      <c r="Q16" s="760"/>
      <c r="R16" s="760"/>
    </row>
    <row r="17" spans="3:18" ht="15.6" thickTop="1" thickBot="1" x14ac:dyDescent="0.35">
      <c r="C17" s="12"/>
      <c r="D17" s="760"/>
      <c r="E17" s="760"/>
      <c r="F17" s="760"/>
      <c r="G17" s="253"/>
      <c r="H17" s="760"/>
      <c r="I17" s="697" t="s">
        <v>1151</v>
      </c>
      <c r="J17" s="608">
        <v>280</v>
      </c>
      <c r="K17" s="608">
        <v>200</v>
      </c>
      <c r="L17" s="609">
        <v>144</v>
      </c>
      <c r="M17" s="760"/>
      <c r="N17" s="760"/>
      <c r="O17" s="760"/>
      <c r="P17" s="760"/>
      <c r="Q17" s="760"/>
      <c r="R17" s="760"/>
    </row>
    <row r="18" spans="3:18" ht="15" thickTop="1" x14ac:dyDescent="0.3">
      <c r="C18" s="12"/>
      <c r="D18" s="760"/>
      <c r="E18" s="760"/>
      <c r="F18" s="760"/>
      <c r="G18" s="254"/>
      <c r="H18" s="760"/>
      <c r="I18" s="760"/>
      <c r="J18" s="760"/>
      <c r="K18" s="760"/>
      <c r="L18" s="760"/>
      <c r="M18" s="760"/>
      <c r="N18" s="760"/>
      <c r="O18" s="760"/>
      <c r="P18" s="760"/>
      <c r="Q18" s="760"/>
      <c r="R18" s="760"/>
    </row>
  </sheetData>
  <mergeCells count="6">
    <mergeCell ref="E2:E3"/>
    <mergeCell ref="A5:B5"/>
    <mergeCell ref="M1:O1"/>
    <mergeCell ref="L12:N12"/>
    <mergeCell ref="L10:N10"/>
    <mergeCell ref="E4:E5"/>
  </mergeCells>
  <phoneticPr fontId="35" type="noConversion"/>
  <conditionalFormatting sqref="C2:C18">
    <cfRule type="duplicateValues" dxfId="595" priority="6"/>
  </conditionalFormatting>
  <conditionalFormatting sqref="L6:L8">
    <cfRule type="duplicateValues" dxfId="594" priority="4"/>
  </conditionalFormatting>
  <conditionalFormatting sqref="J16">
    <cfRule type="cellIs" dxfId="593" priority="3" operator="greaterThan">
      <formula>280</formula>
    </cfRule>
  </conditionalFormatting>
  <conditionalFormatting sqref="K16">
    <cfRule type="cellIs" dxfId="592" priority="2" operator="greaterThan">
      <formula>200</formula>
    </cfRule>
  </conditionalFormatting>
  <conditionalFormatting sqref="L16">
    <cfRule type="cellIs" dxfId="591" priority="1" operator="greaterThan">
      <formula>144</formula>
    </cfRule>
  </conditionalFormatting>
  <dataValidations count="6">
    <dataValidation type="list" allowBlank="1" showInputMessage="1" showErrorMessage="1" sqref="J6" xr:uid="{6A04227E-C955-4D0D-BFA9-68B9639B3AC4}">
      <formula1>"YES, NO"</formula1>
    </dataValidation>
    <dataValidation type="list" allowBlank="1" showInputMessage="1" showErrorMessage="1" sqref="D13" xr:uid="{058EBC3C-54A1-41F4-8DE1-BF0C5B4ECF77}">
      <formula1>"I, II, III"</formula1>
    </dataValidation>
    <dataValidation type="list" allowBlank="1" showInputMessage="1" showErrorMessage="1" sqref="D10" xr:uid="{4ADA210A-7FB8-4F1B-B46B-4AACF6EE7346}">
      <formula1>"NON HAZ, HAZ"</formula1>
    </dataValidation>
    <dataValidation type="list" allowBlank="1" showInputMessage="1" showErrorMessage="1" sqref="D11" xr:uid="{7B3BFCB1-E3E6-4FDC-BC5E-E42BA68AF3CA}">
      <formula1>"1.1,1.2,1.3,1.4,1.5,1.6,2.1,2.2,2.3,3,4.1,4.2,4.3,5.1,5.2,6.1,6.2,7,8,9"</formula1>
    </dataValidation>
    <dataValidation type="list" allowBlank="1" showInputMessage="1" showErrorMessage="1" sqref="J3" xr:uid="{35B1ECA8-2D5F-4377-A918-093A2D9B58AD}">
      <formula1>$L$2:$L$8</formula1>
    </dataValidation>
    <dataValidation type="list" allowBlank="1" showInputMessage="1" showErrorMessage="1" sqref="B12" xr:uid="{83A1F816-23FF-4F58-B37F-58D399D06CCC}">
      <formula1>"20 GP,40 GP,40 HC,20 TANK,20 REEFER,40 REEFER,20 OPEN TOP,40 OPEN TOP,20 GP &amp; 40 HC"</formula1>
    </dataValidation>
  </dataValidations>
  <hyperlinks>
    <hyperlink ref="D1" location="INDEX!A1" display="INDEX" xr:uid="{A7875C83-48CA-4F69-A5D1-F993B847A94B}"/>
  </hyperlinks>
  <printOptions horizontalCentered="1" verticalCentered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Option Button 6">
              <controlPr defaultSize="0" autoFill="0" autoLine="0" autoPict="0" macro="[0]!REQUEST.CreateAirFormat">
                <anchor moveWithCells="1">
                  <from>
                    <xdr:col>3</xdr:col>
                    <xdr:colOff>53340</xdr:colOff>
                    <xdr:row>2</xdr:row>
                    <xdr:rowOff>167640</xdr:rowOff>
                  </from>
                  <to>
                    <xdr:col>3</xdr:col>
                    <xdr:colOff>533400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Option Button 7">
              <controlPr defaultSize="0" autoFill="0" autoLine="0" autoPict="0" macro="[0]!REQUEST.CreateSeaFormat">
                <anchor moveWithCells="1">
                  <from>
                    <xdr:col>3</xdr:col>
                    <xdr:colOff>53340</xdr:colOff>
                    <xdr:row>1</xdr:row>
                    <xdr:rowOff>83820</xdr:rowOff>
                  </from>
                  <to>
                    <xdr:col>3</xdr:col>
                    <xdr:colOff>548640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02C0AF3-F904-4D63-806E-4611291A31EA}">
          <x14:formula1>
            <xm:f>'RATE SHEET'!$D$1:$D$1518</xm:f>
          </x14:formula1>
          <xm:sqref>B10</xm:sqref>
        </x14:dataValidation>
        <x14:dataValidation type="list" allowBlank="1" showInputMessage="1" showErrorMessage="1" xr:uid="{64BDBD42-81AF-4650-9FA6-C916B9B94580}">
          <x14:formula1>
            <xm:f>FILETER!$C$3:$C$150</xm:f>
          </x14:formula1>
          <xm:sqref>B9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5E5F3-E107-43BF-B68F-B313A5E39D30}">
  <sheetPr codeName="Sheet14">
    <pageSetUpPr autoPageBreaks="0"/>
  </sheetPr>
  <dimension ref="A1:XFC108"/>
  <sheetViews>
    <sheetView showGridLines="0" showRuler="0" showWhiteSpace="0" zoomScale="85" zoomScaleNormal="85" workbookViewId="0">
      <pane ySplit="23" topLeftCell="A24" activePane="bottomLeft" state="frozen"/>
      <selection pane="bottomLeft" activeCell="C7" sqref="C7"/>
    </sheetView>
  </sheetViews>
  <sheetFormatPr defaultColWidth="0" defaultRowHeight="14.4" x14ac:dyDescent="0.3"/>
  <cols>
    <col min="1" max="1" width="11.44140625" style="392" customWidth="1"/>
    <col min="2" max="6" width="20.33203125" style="392" customWidth="1"/>
    <col min="7" max="7" width="3" style="249" customWidth="1"/>
    <col min="8" max="8" width="3" style="144" customWidth="1"/>
    <col min="9" max="9" width="18.5546875" style="192" customWidth="1"/>
    <col min="10" max="10" width="0.88671875" style="144" customWidth="1"/>
    <col min="11" max="11" width="11.88671875" style="192" customWidth="1"/>
    <col min="12" max="13" width="11.88671875" style="277" customWidth="1"/>
    <col min="14" max="14" width="11.88671875" style="192" customWidth="1"/>
    <col min="15" max="16" width="11.88671875" style="275" customWidth="1"/>
    <col min="17" max="17" width="15.44140625" style="274" customWidth="1"/>
    <col min="18" max="18" width="10" style="274" hidden="1" customWidth="1"/>
    <col min="19" max="19" width="7.6640625" style="274" hidden="1" customWidth="1"/>
    <col min="20" max="28" width="8.44140625" style="274" hidden="1" customWidth="1"/>
    <col min="29" max="16383" width="8.88671875" style="249" hidden="1"/>
    <col min="16384" max="16384" width="10.109375" style="249" hidden="1" customWidth="1"/>
  </cols>
  <sheetData>
    <row r="1" spans="1:28" ht="18.600000000000001" customHeight="1" x14ac:dyDescent="0.3">
      <c r="A1" s="760"/>
      <c r="B1" s="760"/>
      <c r="C1" s="760"/>
      <c r="D1" s="760"/>
      <c r="E1" s="760"/>
      <c r="F1" s="760"/>
      <c r="G1" s="760"/>
      <c r="H1" s="760"/>
      <c r="I1" s="760"/>
      <c r="J1" s="760"/>
      <c r="K1" s="760"/>
      <c r="L1" s="760"/>
      <c r="M1" s="760"/>
      <c r="N1" s="760"/>
      <c r="O1" s="760"/>
      <c r="P1" s="760"/>
      <c r="Q1" s="760"/>
    </row>
    <row r="2" spans="1:28" ht="18.600000000000001" customHeight="1" thickBot="1" x14ac:dyDescent="0.35">
      <c r="A2" s="760"/>
      <c r="B2" s="760"/>
      <c r="C2" s="760"/>
      <c r="D2" s="760"/>
      <c r="E2" s="760"/>
      <c r="F2" s="760"/>
      <c r="G2" s="760"/>
      <c r="H2" s="760"/>
      <c r="I2" s="760"/>
      <c r="J2" s="760"/>
      <c r="K2" s="760"/>
      <c r="L2" s="760"/>
      <c r="M2" s="760"/>
      <c r="N2" s="760"/>
      <c r="O2" s="760"/>
      <c r="P2" s="760"/>
      <c r="Q2" s="760"/>
    </row>
    <row r="3" spans="1:28" ht="18.600000000000001" customHeight="1" thickTop="1" thickBot="1" x14ac:dyDescent="0.35">
      <c r="A3" s="914" t="s">
        <v>61</v>
      </c>
      <c r="B3" s="916" t="s">
        <v>62</v>
      </c>
      <c r="C3" s="760"/>
      <c r="D3" s="439" t="s">
        <v>72</v>
      </c>
      <c r="E3" s="769"/>
      <c r="F3" s="770"/>
      <c r="G3" s="760"/>
      <c r="H3" s="760"/>
      <c r="I3" s="288" t="s">
        <v>72</v>
      </c>
      <c r="J3" s="760"/>
      <c r="K3" s="281" t="s">
        <v>72</v>
      </c>
      <c r="L3" s="282" t="s">
        <v>48</v>
      </c>
      <c r="M3" s="282" t="s">
        <v>51</v>
      </c>
      <c r="N3" s="283" t="s">
        <v>78</v>
      </c>
      <c r="O3" s="284" t="s">
        <v>79</v>
      </c>
      <c r="P3" s="283" t="s">
        <v>80</v>
      </c>
      <c r="Q3" s="284" t="s">
        <v>77</v>
      </c>
      <c r="R3" s="287"/>
      <c r="S3" s="287"/>
      <c r="T3" s="289" t="s">
        <v>41</v>
      </c>
      <c r="U3" s="290" t="s">
        <v>42</v>
      </c>
      <c r="V3" s="291" t="s">
        <v>43</v>
      </c>
      <c r="W3" s="292" t="s">
        <v>44</v>
      </c>
      <c r="X3" s="293" t="s">
        <v>45</v>
      </c>
      <c r="Y3" s="289" t="s">
        <v>91</v>
      </c>
      <c r="Z3" s="264">
        <v>0.05</v>
      </c>
      <c r="AA3" s="142" t="s">
        <v>55</v>
      </c>
      <c r="AB3" s="140" t="s">
        <v>56</v>
      </c>
    </row>
    <row r="4" spans="1:28" ht="18.600000000000001" customHeight="1" thickTop="1" thickBot="1" x14ac:dyDescent="0.35">
      <c r="A4" s="915"/>
      <c r="B4" s="917"/>
      <c r="C4" s="760"/>
      <c r="D4" s="440" t="s">
        <v>78</v>
      </c>
      <c r="E4" s="771"/>
      <c r="F4" s="772"/>
      <c r="G4" s="760"/>
      <c r="H4" s="760"/>
      <c r="I4" s="278"/>
      <c r="J4" s="779"/>
      <c r="K4" s="278"/>
      <c r="L4" s="279"/>
      <c r="M4" s="279"/>
      <c r="N4" s="278"/>
      <c r="O4" s="280"/>
      <c r="P4" s="280"/>
      <c r="Q4" s="278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</row>
    <row r="5" spans="1:28" ht="18.600000000000001" customHeight="1" thickTop="1" thickBot="1" x14ac:dyDescent="0.35">
      <c r="A5" s="760"/>
      <c r="B5" s="760"/>
      <c r="C5" s="760"/>
      <c r="D5" s="760"/>
      <c r="E5" s="760"/>
      <c r="F5" s="760"/>
      <c r="G5" s="760"/>
      <c r="H5" s="760"/>
      <c r="I5" s="253"/>
      <c r="J5" s="779"/>
      <c r="K5" s="255"/>
      <c r="L5" s="255"/>
      <c r="M5" s="255"/>
      <c r="N5" s="253"/>
      <c r="O5" s="257"/>
      <c r="P5" s="257"/>
      <c r="Q5" s="257"/>
      <c r="R5" s="287"/>
      <c r="S5" s="918" t="s">
        <v>347</v>
      </c>
      <c r="T5" s="919"/>
      <c r="U5" s="287"/>
      <c r="V5" s="287"/>
      <c r="W5" s="287"/>
      <c r="X5" s="287"/>
      <c r="Y5" s="287"/>
      <c r="Z5" s="287"/>
      <c r="AA5" s="287"/>
      <c r="AB5" s="287"/>
    </row>
    <row r="6" spans="1:28" ht="18.600000000000001" customHeight="1" thickTop="1" thickBot="1" x14ac:dyDescent="0.35">
      <c r="A6" s="760"/>
      <c r="B6" s="449">
        <v>1</v>
      </c>
      <c r="C6" s="438">
        <v>2</v>
      </c>
      <c r="D6" s="438">
        <v>3</v>
      </c>
      <c r="E6" s="438">
        <v>4</v>
      </c>
      <c r="F6" s="450">
        <v>5</v>
      </c>
      <c r="G6" s="760"/>
      <c r="H6" s="760"/>
      <c r="I6" s="254"/>
      <c r="J6" s="779"/>
      <c r="K6" s="254"/>
      <c r="L6" s="256"/>
      <c r="M6" s="256"/>
      <c r="N6" s="254"/>
      <c r="O6" s="258"/>
      <c r="P6" s="258"/>
      <c r="Q6" s="278"/>
      <c r="R6" s="89" t="s">
        <v>348</v>
      </c>
      <c r="S6" s="510" t="s">
        <v>48</v>
      </c>
      <c r="T6" s="511">
        <v>1643</v>
      </c>
      <c r="U6" s="512">
        <v>357</v>
      </c>
      <c r="V6" s="513">
        <f>13+82+12+810+20</f>
        <v>937</v>
      </c>
      <c r="W6" s="513"/>
      <c r="X6" s="513"/>
      <c r="Y6" s="511">
        <f>SUM(T6:X6)</f>
        <v>2937</v>
      </c>
      <c r="Z6" s="514">
        <f>Y6*$Z$3</f>
        <v>146.85</v>
      </c>
      <c r="AA6" s="515">
        <v>148</v>
      </c>
      <c r="AB6" s="516">
        <f>IF(AA6,SUM(Y6+AA6),"-")</f>
        <v>3085</v>
      </c>
    </row>
    <row r="7" spans="1:28" ht="18.600000000000001" customHeight="1" thickTop="1" thickBot="1" x14ac:dyDescent="0.35">
      <c r="A7" s="447" t="s">
        <v>52</v>
      </c>
      <c r="B7" s="497" t="s">
        <v>53</v>
      </c>
      <c r="C7" s="497"/>
      <c r="D7" s="497"/>
      <c r="E7" s="497"/>
      <c r="F7" s="497"/>
      <c r="G7" s="760"/>
      <c r="H7" s="760"/>
      <c r="I7" s="253"/>
      <c r="J7" s="779"/>
      <c r="K7" s="253"/>
      <c r="L7" s="255"/>
      <c r="M7" s="255"/>
      <c r="N7" s="255"/>
      <c r="O7" s="257"/>
      <c r="P7" s="257"/>
      <c r="Q7" s="257"/>
      <c r="R7" s="287"/>
      <c r="S7" s="252" t="s">
        <v>51</v>
      </c>
      <c r="T7" s="299">
        <v>1486</v>
      </c>
      <c r="U7" s="300">
        <v>714</v>
      </c>
      <c r="V7" s="301">
        <f>13+82+12+900+20</f>
        <v>1027</v>
      </c>
      <c r="W7" s="301"/>
      <c r="X7" s="302"/>
      <c r="Y7" s="299">
        <f>SUM(T7:X7)</f>
        <v>3227</v>
      </c>
      <c r="Z7" s="267">
        <f>Y7*$Z$3</f>
        <v>161.35000000000002</v>
      </c>
      <c r="AA7" s="268">
        <v>153</v>
      </c>
      <c r="AB7" s="263">
        <f>IF(AA7,SUM(Y7+AA7),"-")</f>
        <v>3380</v>
      </c>
    </row>
    <row r="8" spans="1:28" ht="18.600000000000001" customHeight="1" thickTop="1" thickBot="1" x14ac:dyDescent="0.35">
      <c r="A8" s="448" t="s">
        <v>59</v>
      </c>
      <c r="B8" s="498"/>
      <c r="C8" s="498"/>
      <c r="D8" s="498"/>
      <c r="E8" s="498"/>
      <c r="F8" s="498"/>
      <c r="G8" s="760"/>
      <c r="H8" s="760"/>
      <c r="I8" s="254"/>
      <c r="J8" s="779"/>
      <c r="K8" s="254"/>
      <c r="L8" s="256"/>
      <c r="M8" s="256"/>
      <c r="N8" s="254"/>
      <c r="O8" s="258"/>
      <c r="P8" s="258"/>
      <c r="Q8" s="278"/>
      <c r="R8" s="89" t="s">
        <v>350</v>
      </c>
      <c r="S8" s="510" t="s">
        <v>48</v>
      </c>
      <c r="T8" s="511">
        <v>1643</v>
      </c>
      <c r="U8" s="512">
        <v>357</v>
      </c>
      <c r="V8" s="513">
        <f>13+82+12+810+20</f>
        <v>937</v>
      </c>
      <c r="W8" s="513"/>
      <c r="X8" s="513"/>
      <c r="Y8" s="511">
        <f>SUM(T8:X8)</f>
        <v>2937</v>
      </c>
      <c r="Z8" s="514">
        <f>Y8*$Z$3</f>
        <v>146.85</v>
      </c>
      <c r="AA8" s="515">
        <v>148</v>
      </c>
      <c r="AB8" s="516">
        <f>IF(AA8,SUM(Y8+AA8),"-")</f>
        <v>3085</v>
      </c>
    </row>
    <row r="9" spans="1:28" ht="18.600000000000001" customHeight="1" thickTop="1" thickBot="1" x14ac:dyDescent="0.35">
      <c r="A9" s="760"/>
      <c r="B9" s="760"/>
      <c r="C9" s="760"/>
      <c r="D9" s="760"/>
      <c r="E9" s="760"/>
      <c r="F9" s="760"/>
      <c r="G9" s="760"/>
      <c r="H9" s="760"/>
      <c r="I9" s="253"/>
      <c r="J9" s="779"/>
      <c r="K9" s="253"/>
      <c r="L9" s="255"/>
      <c r="M9" s="255"/>
      <c r="N9" s="253"/>
      <c r="O9" s="257"/>
      <c r="P9" s="257"/>
      <c r="Q9" s="257"/>
      <c r="R9" s="287"/>
      <c r="S9" s="252" t="s">
        <v>51</v>
      </c>
      <c r="T9" s="299">
        <v>1486</v>
      </c>
      <c r="U9" s="300">
        <v>714</v>
      </c>
      <c r="V9" s="301">
        <f>13+82+12+900+20</f>
        <v>1027</v>
      </c>
      <c r="W9" s="301"/>
      <c r="X9" s="302"/>
      <c r="Y9" s="299">
        <f>SUM(T9:X9)</f>
        <v>3227</v>
      </c>
      <c r="Z9" s="267">
        <f>Y9*$Z$3</f>
        <v>161.35000000000002</v>
      </c>
      <c r="AA9" s="268">
        <v>153</v>
      </c>
      <c r="AB9" s="263">
        <f>IF(AA9,SUM(Y9+AA9),"-")</f>
        <v>3380</v>
      </c>
    </row>
    <row r="10" spans="1:28" ht="18.600000000000001" customHeight="1" thickTop="1" thickBot="1" x14ac:dyDescent="0.35">
      <c r="A10" s="760"/>
      <c r="B10" s="760"/>
      <c r="C10" s="760"/>
      <c r="D10" s="760"/>
      <c r="E10" s="760"/>
      <c r="F10" s="760"/>
      <c r="G10" s="760"/>
      <c r="H10" s="760"/>
      <c r="I10" s="254"/>
      <c r="J10" s="779"/>
      <c r="K10" s="254"/>
      <c r="L10" s="256"/>
      <c r="M10" s="256"/>
      <c r="N10" s="254"/>
      <c r="O10" s="258"/>
      <c r="P10" s="258"/>
      <c r="Q10" s="278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</row>
    <row r="11" spans="1:28" ht="18.600000000000001" customHeight="1" thickTop="1" thickBot="1" x14ac:dyDescent="0.35">
      <c r="A11" s="423" t="s">
        <v>53</v>
      </c>
      <c r="B11" s="426" t="s">
        <v>41</v>
      </c>
      <c r="C11" s="427" t="s">
        <v>43</v>
      </c>
      <c r="D11" s="428" t="s">
        <v>146</v>
      </c>
      <c r="E11" s="429" t="s">
        <v>45</v>
      </c>
      <c r="F11" s="760"/>
      <c r="G11" s="760"/>
      <c r="H11" s="760"/>
      <c r="I11" s="253"/>
      <c r="J11" s="779"/>
      <c r="K11" s="253"/>
      <c r="L11" s="255"/>
      <c r="M11" s="255"/>
      <c r="N11" s="253"/>
      <c r="O11" s="257"/>
      <c r="P11" s="257"/>
      <c r="Q11" s="257"/>
      <c r="R11" s="287"/>
      <c r="S11" s="918" t="s">
        <v>352</v>
      </c>
      <c r="T11" s="919"/>
      <c r="U11" s="287"/>
      <c r="V11" s="287"/>
      <c r="W11" s="287"/>
      <c r="X11" s="287"/>
      <c r="Y11" s="287"/>
      <c r="Z11" s="287"/>
      <c r="AA11" s="287"/>
      <c r="AB11" s="287"/>
    </row>
    <row r="12" spans="1:28" ht="18.600000000000001" customHeight="1" thickTop="1" thickBot="1" x14ac:dyDescent="0.35">
      <c r="A12" s="423" t="s">
        <v>48</v>
      </c>
      <c r="B12" s="430"/>
      <c r="C12" s="431"/>
      <c r="D12" s="424"/>
      <c r="E12" s="424"/>
      <c r="F12" s="760"/>
      <c r="G12" s="760"/>
      <c r="H12" s="760"/>
      <c r="I12" s="254"/>
      <c r="J12" s="779"/>
      <c r="K12" s="254"/>
      <c r="L12" s="256"/>
      <c r="M12" s="256"/>
      <c r="N12" s="254"/>
      <c r="O12" s="258"/>
      <c r="P12" s="258"/>
      <c r="Q12" s="278"/>
      <c r="R12" s="89" t="s">
        <v>348</v>
      </c>
      <c r="S12" s="510" t="s">
        <v>48</v>
      </c>
      <c r="T12" s="511">
        <v>1643</v>
      </c>
      <c r="U12" s="512">
        <v>357</v>
      </c>
      <c r="V12" s="513">
        <f>13+82+12+810+20</f>
        <v>937</v>
      </c>
      <c r="W12" s="513"/>
      <c r="X12" s="513"/>
      <c r="Y12" s="511">
        <f>SUM(T12:X12)</f>
        <v>2937</v>
      </c>
      <c r="Z12" s="514">
        <f>Y12*$Z$3</f>
        <v>146.85</v>
      </c>
      <c r="AA12" s="515">
        <v>148</v>
      </c>
      <c r="AB12" s="516">
        <f>IF(AA12,SUM(Y12+AA12),"-")</f>
        <v>3085</v>
      </c>
    </row>
    <row r="13" spans="1:28" ht="18.600000000000001" customHeight="1" thickTop="1" thickBot="1" x14ac:dyDescent="0.35">
      <c r="A13" s="425" t="s">
        <v>51</v>
      </c>
      <c r="B13" s="432"/>
      <c r="C13" s="433"/>
      <c r="D13" s="434"/>
      <c r="E13" s="434"/>
      <c r="F13" s="764"/>
      <c r="G13" s="764"/>
      <c r="H13" s="764"/>
      <c r="I13" s="764"/>
      <c r="J13" s="764"/>
      <c r="K13" s="764"/>
      <c r="L13" s="764"/>
      <c r="M13" s="764"/>
      <c r="N13" s="764"/>
      <c r="O13" s="764"/>
      <c r="P13" s="781"/>
      <c r="Q13" s="257"/>
      <c r="R13" s="287"/>
      <c r="S13" s="252" t="s">
        <v>51</v>
      </c>
      <c r="T13" s="299">
        <v>1486</v>
      </c>
      <c r="U13" s="300">
        <v>714</v>
      </c>
      <c r="V13" s="301">
        <f>13+82+12+900+20</f>
        <v>1027</v>
      </c>
      <c r="W13" s="301"/>
      <c r="X13" s="302"/>
      <c r="Y13" s="299">
        <f>SUM(T13:X13)</f>
        <v>3227</v>
      </c>
      <c r="Z13" s="267">
        <f>Y13*$Z$3</f>
        <v>161.35000000000002</v>
      </c>
      <c r="AA13" s="268">
        <v>153</v>
      </c>
      <c r="AB13" s="263">
        <f>IF(AA13,SUM(Y13+AA13),"-")</f>
        <v>3380</v>
      </c>
    </row>
    <row r="14" spans="1:28" ht="18.600000000000001" customHeight="1" thickTop="1" thickBot="1" x14ac:dyDescent="0.35">
      <c r="A14" s="760"/>
      <c r="B14" s="760"/>
      <c r="C14" s="760"/>
      <c r="D14" s="760"/>
      <c r="E14" s="760"/>
      <c r="F14" s="764"/>
      <c r="G14" s="764"/>
      <c r="H14" s="764"/>
      <c r="I14" s="764"/>
      <c r="J14" s="764"/>
      <c r="K14" s="764"/>
      <c r="L14" s="764"/>
      <c r="M14" s="764"/>
      <c r="N14" s="764"/>
      <c r="O14" s="764"/>
      <c r="P14" s="781"/>
      <c r="Q14" s="278"/>
      <c r="R14" s="89" t="s">
        <v>350</v>
      </c>
      <c r="S14" s="510" t="s">
        <v>48</v>
      </c>
      <c r="T14" s="511">
        <v>1287</v>
      </c>
      <c r="U14" s="512">
        <v>313</v>
      </c>
      <c r="V14" s="513">
        <f>13+12+20</f>
        <v>45</v>
      </c>
      <c r="W14" s="513"/>
      <c r="X14" s="513"/>
      <c r="Y14" s="511">
        <f>SUM(T14:X14)</f>
        <v>1645</v>
      </c>
      <c r="Z14" s="514">
        <f>Y14*$Z$3</f>
        <v>82.25</v>
      </c>
      <c r="AA14" s="515">
        <v>100</v>
      </c>
      <c r="AB14" s="516">
        <f>IF(AA14,SUM(Y14+AA14),"-")</f>
        <v>1745</v>
      </c>
    </row>
    <row r="15" spans="1:28" ht="18.600000000000001" customHeight="1" thickTop="1" thickBot="1" x14ac:dyDescent="0.35">
      <c r="A15" s="760"/>
      <c r="B15" s="435" t="s">
        <v>46</v>
      </c>
      <c r="C15" s="435" t="s">
        <v>49</v>
      </c>
      <c r="D15" s="435" t="s">
        <v>353</v>
      </c>
      <c r="E15" s="760"/>
      <c r="F15" s="764"/>
      <c r="G15" s="764"/>
      <c r="H15" s="764"/>
      <c r="I15" s="764"/>
      <c r="J15" s="764"/>
      <c r="K15" s="764"/>
      <c r="L15" s="764"/>
      <c r="M15" s="764"/>
      <c r="N15" s="764"/>
      <c r="O15" s="764"/>
      <c r="P15" s="781"/>
      <c r="Q15" s="257"/>
      <c r="R15" s="287"/>
      <c r="S15" s="252" t="s">
        <v>51</v>
      </c>
      <c r="T15" s="299">
        <v>1174</v>
      </c>
      <c r="U15" s="300">
        <v>626</v>
      </c>
      <c r="V15" s="301">
        <v>45</v>
      </c>
      <c r="W15" s="301"/>
      <c r="X15" s="302"/>
      <c r="Y15" s="299">
        <f>SUM(T15:X15)</f>
        <v>1845</v>
      </c>
      <c r="Z15" s="267">
        <f>Y15*$Z$3</f>
        <v>92.25</v>
      </c>
      <c r="AA15" s="268">
        <v>100</v>
      </c>
      <c r="AB15" s="263">
        <f>IF(AA15,SUM(Y15+AA15),"-")</f>
        <v>1945</v>
      </c>
    </row>
    <row r="16" spans="1:28" ht="18.600000000000001" customHeight="1" thickTop="1" thickBot="1" x14ac:dyDescent="0.35">
      <c r="A16" s="760"/>
      <c r="B16" s="436"/>
      <c r="C16" s="436"/>
      <c r="D16" s="437"/>
      <c r="E16" s="760"/>
      <c r="F16" s="764"/>
      <c r="G16" s="764"/>
      <c r="H16" s="764"/>
      <c r="I16" s="764"/>
      <c r="J16" s="764"/>
      <c r="K16" s="764"/>
      <c r="L16" s="764"/>
      <c r="M16" s="764"/>
      <c r="N16" s="764"/>
      <c r="O16" s="764"/>
      <c r="P16" s="781"/>
      <c r="Q16" s="278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</row>
    <row r="17" spans="1:28" ht="18.600000000000001" customHeight="1" thickTop="1" thickBot="1" x14ac:dyDescent="0.35">
      <c r="A17" s="760"/>
      <c r="B17" s="760"/>
      <c r="C17" s="760"/>
      <c r="D17" s="760"/>
      <c r="E17" s="760"/>
      <c r="F17" s="764"/>
      <c r="G17" s="764"/>
      <c r="H17" s="764"/>
      <c r="I17" s="764"/>
      <c r="J17" s="764"/>
      <c r="K17" s="764"/>
      <c r="L17" s="764"/>
      <c r="M17" s="764"/>
      <c r="N17" s="764"/>
      <c r="O17" s="764"/>
      <c r="P17" s="781"/>
      <c r="Q17" s="257"/>
      <c r="R17" s="287"/>
      <c r="S17" s="287"/>
      <c r="T17" s="287"/>
      <c r="U17" s="287"/>
      <c r="V17" s="287"/>
      <c r="W17" s="287"/>
      <c r="X17" s="287"/>
      <c r="Y17" s="287"/>
      <c r="Z17" s="287"/>
      <c r="AA17" s="287"/>
      <c r="AB17" s="287"/>
    </row>
    <row r="18" spans="1:28" ht="18.600000000000001" customHeight="1" thickTop="1" thickBot="1" x14ac:dyDescent="0.35">
      <c r="A18" s="760"/>
      <c r="B18" s="441" t="s">
        <v>54</v>
      </c>
      <c r="C18" s="442">
        <v>0.05</v>
      </c>
      <c r="D18" s="443" t="s">
        <v>55</v>
      </c>
      <c r="E18" s="444" t="s">
        <v>56</v>
      </c>
      <c r="F18" s="764"/>
      <c r="G18" s="764"/>
      <c r="H18" s="764"/>
      <c r="I18" s="764"/>
      <c r="J18" s="764"/>
      <c r="K18" s="764"/>
      <c r="L18" s="764"/>
      <c r="M18" s="764"/>
      <c r="N18" s="764"/>
      <c r="O18" s="764"/>
      <c r="P18" s="781"/>
      <c r="Q18" s="278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</row>
    <row r="19" spans="1:28" ht="18.600000000000001" customHeight="1" thickTop="1" x14ac:dyDescent="0.3">
      <c r="A19" s="465" t="s">
        <v>48</v>
      </c>
      <c r="B19" s="459" t="str">
        <f>IF(B12,SUM(B12:F12,$B$16,$C$16),"-")</f>
        <v>-</v>
      </c>
      <c r="C19" s="463" t="e">
        <f>B19*C18</f>
        <v>#VALUE!</v>
      </c>
      <c r="D19" s="460"/>
      <c r="E19" s="461" t="str">
        <f>IF(D19,SUM(B19+D19),"-")</f>
        <v>-</v>
      </c>
      <c r="F19" s="764"/>
      <c r="G19" s="764"/>
      <c r="H19" s="764"/>
      <c r="I19" s="764"/>
      <c r="J19" s="764"/>
      <c r="K19" s="764"/>
      <c r="L19" s="764"/>
      <c r="M19" s="764"/>
      <c r="N19" s="764"/>
      <c r="O19" s="764"/>
      <c r="P19" s="781"/>
      <c r="Q19" s="25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</row>
    <row r="20" spans="1:28" ht="18.600000000000001" customHeight="1" thickBot="1" x14ac:dyDescent="0.35">
      <c r="A20" s="425" t="s">
        <v>51</v>
      </c>
      <c r="B20" s="462" t="str">
        <f>IF(B13,SUM(B13:F13,$B$16,$C$16),"-")</f>
        <v>-</v>
      </c>
      <c r="C20" s="464" t="e">
        <f>B20*C18</f>
        <v>#VALUE!</v>
      </c>
      <c r="D20" s="446"/>
      <c r="E20" s="445" t="str">
        <f>IF(D20,SUM(B20+D20),"-")</f>
        <v>-</v>
      </c>
      <c r="F20" s="764"/>
      <c r="G20" s="764"/>
      <c r="H20" s="764"/>
      <c r="I20" s="764"/>
      <c r="J20" s="764"/>
      <c r="K20" s="764"/>
      <c r="L20" s="764"/>
      <c r="M20" s="764"/>
      <c r="N20" s="764"/>
      <c r="O20" s="764"/>
      <c r="P20" s="781"/>
      <c r="Q20" s="278"/>
      <c r="R20" s="287"/>
      <c r="S20" s="287"/>
      <c r="T20" s="287"/>
      <c r="U20" s="287"/>
      <c r="V20" s="287"/>
      <c r="W20" s="287"/>
      <c r="X20" s="287"/>
      <c r="Y20" s="287"/>
      <c r="Z20" s="287"/>
      <c r="AA20" s="287"/>
      <c r="AB20" s="287"/>
    </row>
    <row r="21" spans="1:28" ht="18.600000000000001" customHeight="1" thickTop="1" thickBot="1" x14ac:dyDescent="0.35">
      <c r="A21" s="760"/>
      <c r="B21" s="760"/>
      <c r="C21" s="764"/>
      <c r="D21" s="764"/>
      <c r="E21" s="764"/>
      <c r="F21" s="764"/>
      <c r="G21" s="764"/>
      <c r="H21" s="764"/>
      <c r="I21" s="764"/>
      <c r="J21" s="764"/>
      <c r="K21" s="764"/>
      <c r="L21" s="764"/>
      <c r="M21" s="764"/>
      <c r="N21" s="764"/>
      <c r="O21" s="764"/>
      <c r="P21" s="764"/>
      <c r="Q21" s="25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</row>
    <row r="22" spans="1:28" ht="18.600000000000001" customHeight="1" thickTop="1" x14ac:dyDescent="0.3">
      <c r="A22" s="914" t="s">
        <v>354</v>
      </c>
      <c r="B22" s="916" t="s">
        <v>62</v>
      </c>
      <c r="C22" s="764"/>
      <c r="D22" s="764"/>
      <c r="E22" s="764"/>
      <c r="F22" s="764"/>
      <c r="G22" s="764"/>
      <c r="H22" s="764"/>
      <c r="I22" s="764"/>
      <c r="J22" s="764"/>
      <c r="K22" s="764"/>
      <c r="L22" s="764"/>
      <c r="M22" s="764"/>
      <c r="N22" s="764"/>
      <c r="O22" s="764"/>
      <c r="P22" s="764"/>
      <c r="Q22" s="760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</row>
    <row r="23" spans="1:28" ht="18.600000000000001" customHeight="1" thickBot="1" x14ac:dyDescent="0.35">
      <c r="A23" s="915"/>
      <c r="B23" s="917"/>
      <c r="C23" s="764"/>
      <c r="D23" s="764"/>
      <c r="E23" s="764"/>
      <c r="F23" s="764"/>
      <c r="G23" s="764"/>
      <c r="H23" s="764"/>
      <c r="I23" s="764"/>
      <c r="J23" s="764"/>
      <c r="K23" s="764"/>
      <c r="L23" s="764"/>
      <c r="M23" s="764"/>
      <c r="N23" s="764"/>
      <c r="O23" s="764"/>
      <c r="P23" s="764"/>
      <c r="Q23" s="760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</row>
    <row r="24" spans="1:28" ht="18.600000000000001" customHeight="1" thickTop="1" x14ac:dyDescent="0.3">
      <c r="A24" s="760"/>
      <c r="B24" s="760" t="s">
        <v>40</v>
      </c>
      <c r="C24" s="760"/>
      <c r="D24" s="760"/>
      <c r="E24" s="760"/>
      <c r="F24" s="760"/>
      <c r="G24" s="760"/>
      <c r="H24" s="760"/>
      <c r="I24" s="760"/>
      <c r="J24" s="779"/>
      <c r="K24" s="760"/>
      <c r="L24" s="760"/>
      <c r="M24" s="760"/>
      <c r="N24" s="760"/>
      <c r="O24" s="760"/>
      <c r="P24" s="760"/>
      <c r="Q24" s="760"/>
      <c r="R24" s="287"/>
      <c r="S24" s="287"/>
      <c r="T24" s="287"/>
      <c r="U24" s="287"/>
      <c r="V24" s="287"/>
      <c r="W24" s="287"/>
      <c r="X24" s="287"/>
      <c r="Y24" s="287"/>
      <c r="Z24" s="287"/>
      <c r="AA24" s="287"/>
      <c r="AB24" s="287"/>
    </row>
    <row r="25" spans="1:28" ht="16.2" customHeight="1" x14ac:dyDescent="0.3">
      <c r="A25" s="760"/>
      <c r="B25" s="760"/>
      <c r="C25" s="760"/>
      <c r="D25" s="760"/>
      <c r="E25" s="760"/>
      <c r="F25" s="760"/>
      <c r="G25" s="760"/>
      <c r="H25" s="760"/>
      <c r="I25" s="760"/>
      <c r="J25" s="779"/>
      <c r="K25" s="760"/>
      <c r="L25" s="760"/>
      <c r="M25" s="760"/>
      <c r="N25" s="760"/>
      <c r="O25" s="760"/>
      <c r="P25" s="760"/>
      <c r="Q25" s="760"/>
      <c r="R25" s="287"/>
      <c r="S25" s="287"/>
      <c r="T25" s="287"/>
      <c r="U25" s="287"/>
      <c r="V25" s="287"/>
      <c r="W25" s="287"/>
      <c r="X25" s="287"/>
      <c r="Y25" s="287"/>
      <c r="Z25" s="287"/>
      <c r="AA25" s="287"/>
      <c r="AB25" s="287"/>
    </row>
    <row r="26" spans="1:28" ht="16.2" customHeight="1" x14ac:dyDescent="0.3">
      <c r="A26" s="760"/>
      <c r="B26" s="760"/>
      <c r="C26" s="760"/>
      <c r="D26" s="760"/>
      <c r="E26" s="760"/>
      <c r="F26" s="760"/>
      <c r="G26" s="760"/>
      <c r="H26" s="760"/>
      <c r="I26" s="760"/>
      <c r="J26" s="779"/>
      <c r="K26" s="760"/>
      <c r="L26" s="760"/>
      <c r="M26" s="760"/>
      <c r="N26" s="760"/>
      <c r="O26" s="760"/>
      <c r="P26" s="760"/>
      <c r="Q26" s="760"/>
      <c r="R26" s="287"/>
      <c r="S26" s="287"/>
      <c r="T26" s="287"/>
      <c r="U26" s="287"/>
      <c r="V26" s="287"/>
      <c r="W26" s="287"/>
      <c r="X26" s="287"/>
      <c r="Y26" s="287"/>
      <c r="Z26" s="287"/>
      <c r="AA26" s="287"/>
      <c r="AB26" s="287"/>
    </row>
    <row r="27" spans="1:28" ht="16.2" customHeight="1" x14ac:dyDescent="0.3">
      <c r="A27" s="760"/>
      <c r="B27" s="760"/>
      <c r="C27" s="760"/>
      <c r="D27" s="760"/>
      <c r="E27" s="760"/>
      <c r="F27" s="760"/>
      <c r="G27" s="760"/>
      <c r="H27" s="760"/>
      <c r="I27" s="760"/>
      <c r="J27" s="779"/>
      <c r="K27" s="760"/>
      <c r="L27" s="760"/>
      <c r="M27" s="760"/>
      <c r="N27" s="760"/>
      <c r="O27" s="760"/>
      <c r="P27" s="760"/>
      <c r="Q27" s="760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7"/>
    </row>
    <row r="28" spans="1:28" ht="16.2" customHeight="1" x14ac:dyDescent="0.3">
      <c r="A28" s="760"/>
      <c r="B28" s="760"/>
      <c r="C28" s="760"/>
      <c r="D28" s="760"/>
      <c r="E28" s="760"/>
      <c r="F28" s="760"/>
      <c r="G28" s="760"/>
      <c r="H28" s="760"/>
      <c r="I28" s="760"/>
      <c r="J28" s="779"/>
      <c r="K28" s="760"/>
      <c r="L28" s="760"/>
      <c r="M28" s="760"/>
      <c r="N28" s="760"/>
      <c r="O28" s="760"/>
      <c r="P28" s="760"/>
      <c r="Q28" s="760"/>
      <c r="R28" s="287"/>
      <c r="S28" s="287"/>
      <c r="T28" s="287"/>
      <c r="U28" s="287"/>
      <c r="V28" s="287"/>
      <c r="W28" s="287"/>
      <c r="X28" s="287"/>
      <c r="Y28" s="287"/>
      <c r="Z28" s="287"/>
      <c r="AA28" s="287"/>
      <c r="AB28" s="287"/>
    </row>
    <row r="29" spans="1:28" ht="16.2" customHeight="1" x14ac:dyDescent="0.3">
      <c r="A29" s="760"/>
      <c r="B29" s="760"/>
      <c r="C29" s="760"/>
      <c r="D29" s="760"/>
      <c r="E29" s="760"/>
      <c r="F29" s="760"/>
      <c r="G29" s="760"/>
      <c r="H29" s="760"/>
      <c r="I29" s="760"/>
      <c r="J29" s="779"/>
      <c r="K29" s="760"/>
      <c r="L29" s="760"/>
      <c r="M29" s="760"/>
      <c r="N29" s="760"/>
      <c r="O29" s="760"/>
      <c r="P29" s="760"/>
      <c r="Q29" s="760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</row>
    <row r="30" spans="1:28" ht="16.2" customHeight="1" x14ac:dyDescent="0.3">
      <c r="A30" s="760"/>
      <c r="B30" s="760"/>
      <c r="C30" s="760"/>
      <c r="D30" s="760"/>
      <c r="E30" s="760"/>
      <c r="F30" s="760"/>
      <c r="G30" s="760"/>
      <c r="H30" s="760"/>
      <c r="I30" s="760"/>
      <c r="J30" s="779"/>
      <c r="K30" s="760"/>
      <c r="L30" s="760"/>
      <c r="M30" s="760"/>
      <c r="N30" s="760"/>
      <c r="O30" s="760"/>
      <c r="P30" s="760"/>
      <c r="Q30" s="760"/>
      <c r="R30" s="287"/>
      <c r="S30" s="287"/>
      <c r="T30" s="287"/>
      <c r="U30" s="287"/>
      <c r="V30" s="287"/>
      <c r="W30" s="287"/>
      <c r="X30" s="287"/>
      <c r="Y30" s="287"/>
      <c r="Z30" s="287"/>
      <c r="AA30" s="287"/>
      <c r="AB30" s="287"/>
    </row>
    <row r="31" spans="1:28" ht="16.2" customHeight="1" x14ac:dyDescent="0.3">
      <c r="A31" s="760"/>
      <c r="B31" s="760"/>
      <c r="C31" s="760"/>
      <c r="D31" s="760"/>
      <c r="E31" s="760"/>
      <c r="F31" s="760"/>
      <c r="G31" s="760"/>
      <c r="H31" s="760"/>
      <c r="I31" s="760"/>
      <c r="J31" s="760"/>
      <c r="K31" s="760"/>
      <c r="L31" s="760"/>
      <c r="M31" s="760"/>
      <c r="N31" s="760"/>
      <c r="O31" s="760"/>
      <c r="P31" s="760"/>
      <c r="Q31" s="760"/>
      <c r="R31" s="287"/>
      <c r="S31" s="287"/>
      <c r="T31" s="287"/>
      <c r="U31" s="287"/>
      <c r="V31" s="287"/>
      <c r="W31" s="287"/>
      <c r="X31" s="287"/>
      <c r="Y31" s="287"/>
      <c r="Z31" s="287"/>
      <c r="AA31" s="287"/>
      <c r="AB31" s="287"/>
    </row>
    <row r="32" spans="1:28" ht="16.2" customHeight="1" x14ac:dyDescent="0.3">
      <c r="A32" s="760"/>
      <c r="B32" s="760"/>
      <c r="C32" s="760"/>
      <c r="D32" s="760"/>
      <c r="E32" s="760"/>
      <c r="F32" s="760"/>
      <c r="G32" s="760"/>
      <c r="H32" s="760"/>
      <c r="I32" s="760"/>
      <c r="J32" s="760"/>
      <c r="K32" s="760"/>
      <c r="L32" s="760"/>
      <c r="M32" s="760"/>
      <c r="N32" s="760"/>
      <c r="O32" s="760"/>
      <c r="P32" s="760"/>
      <c r="Q32" s="760"/>
      <c r="R32" s="287"/>
      <c r="S32" s="287"/>
      <c r="T32" s="287"/>
      <c r="U32" s="287"/>
      <c r="V32" s="287"/>
      <c r="W32" s="287"/>
      <c r="X32" s="287"/>
      <c r="Y32" s="287"/>
      <c r="Z32" s="287"/>
      <c r="AA32" s="287"/>
      <c r="AB32" s="287"/>
    </row>
    <row r="33" spans="1:28" ht="16.2" customHeight="1" x14ac:dyDescent="0.3">
      <c r="A33" s="760"/>
      <c r="B33" s="760"/>
      <c r="C33" s="760"/>
      <c r="D33" s="760"/>
      <c r="E33" s="760"/>
      <c r="F33" s="760"/>
      <c r="G33" s="760"/>
      <c r="H33" s="760"/>
      <c r="I33" s="760"/>
      <c r="J33" s="760"/>
      <c r="K33" s="760"/>
      <c r="L33" s="760"/>
      <c r="M33" s="760"/>
      <c r="N33" s="760"/>
      <c r="O33" s="760"/>
      <c r="P33" s="760"/>
      <c r="Q33" s="760"/>
      <c r="R33" s="287"/>
      <c r="S33" s="287"/>
      <c r="T33" s="287"/>
      <c r="U33" s="287"/>
      <c r="V33" s="287"/>
      <c r="W33" s="287"/>
      <c r="X33" s="287"/>
      <c r="Y33" s="287"/>
      <c r="Z33" s="287"/>
      <c r="AA33" s="287"/>
      <c r="AB33" s="287"/>
    </row>
    <row r="34" spans="1:28" ht="16.2" customHeight="1" x14ac:dyDescent="0.3">
      <c r="A34" s="760"/>
      <c r="B34" s="760"/>
      <c r="C34" s="760"/>
      <c r="D34" s="760"/>
      <c r="E34" s="760"/>
      <c r="F34" s="760"/>
      <c r="G34" s="760"/>
      <c r="H34" s="760"/>
      <c r="I34" s="760"/>
      <c r="J34" s="760"/>
      <c r="K34" s="760"/>
      <c r="L34" s="760"/>
      <c r="M34" s="760"/>
      <c r="N34" s="760"/>
      <c r="O34" s="760"/>
      <c r="P34" s="760"/>
      <c r="Q34" s="760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87"/>
    </row>
    <row r="35" spans="1:28" ht="16.2" customHeight="1" x14ac:dyDescent="0.3">
      <c r="A35" s="760"/>
      <c r="B35" s="760"/>
      <c r="C35" s="760"/>
      <c r="D35" s="760"/>
      <c r="E35" s="760"/>
      <c r="F35" s="760"/>
      <c r="G35" s="760"/>
      <c r="H35" s="760"/>
      <c r="I35" s="760"/>
      <c r="J35" s="760"/>
      <c r="K35" s="760"/>
      <c r="L35" s="760"/>
      <c r="M35" s="760"/>
      <c r="N35" s="760"/>
      <c r="O35" s="760"/>
      <c r="P35" s="760"/>
      <c r="Q35" s="760"/>
      <c r="R35" s="287"/>
      <c r="S35" s="287"/>
      <c r="T35" s="287"/>
      <c r="U35" s="287"/>
      <c r="V35" s="287"/>
      <c r="W35" s="287"/>
      <c r="X35" s="287"/>
      <c r="Y35" s="287"/>
      <c r="Z35" s="287"/>
      <c r="AA35" s="287"/>
      <c r="AB35" s="287"/>
    </row>
    <row r="36" spans="1:28" ht="16.2" customHeight="1" x14ac:dyDescent="0.3">
      <c r="A36" s="760"/>
      <c r="B36" s="760"/>
      <c r="C36" s="760"/>
      <c r="D36" s="760"/>
      <c r="E36" s="760"/>
      <c r="F36" s="760"/>
      <c r="G36" s="760"/>
      <c r="H36" s="760"/>
      <c r="I36" s="760"/>
      <c r="J36" s="760"/>
      <c r="K36" s="760"/>
      <c r="L36" s="760"/>
      <c r="M36" s="760"/>
      <c r="N36" s="760"/>
      <c r="O36" s="760"/>
      <c r="P36" s="760"/>
      <c r="Q36" s="760"/>
      <c r="R36" s="287"/>
      <c r="S36" s="287"/>
      <c r="T36" s="287"/>
      <c r="U36" s="287"/>
      <c r="V36" s="287"/>
      <c r="W36" s="287"/>
      <c r="X36" s="287"/>
      <c r="Y36" s="287"/>
      <c r="Z36" s="287"/>
      <c r="AA36" s="287"/>
      <c r="AB36" s="287"/>
    </row>
    <row r="37" spans="1:28" ht="16.2" customHeight="1" x14ac:dyDescent="0.3">
      <c r="A37" s="760"/>
      <c r="B37" s="760"/>
      <c r="C37" s="760"/>
      <c r="D37" s="760"/>
      <c r="E37" s="760"/>
      <c r="F37" s="760"/>
      <c r="G37" s="760"/>
      <c r="H37" s="760"/>
      <c r="I37" s="760"/>
      <c r="J37" s="760"/>
      <c r="K37" s="760"/>
      <c r="L37" s="760"/>
      <c r="M37" s="760"/>
      <c r="N37" s="760"/>
      <c r="O37" s="760"/>
      <c r="P37" s="760"/>
      <c r="Q37" s="76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</row>
    <row r="38" spans="1:28" ht="16.2" customHeight="1" x14ac:dyDescent="0.3">
      <c r="A38" s="760"/>
      <c r="B38" s="760"/>
      <c r="C38" s="760"/>
      <c r="D38" s="760"/>
      <c r="E38" s="760"/>
      <c r="F38" s="760"/>
      <c r="G38" s="760"/>
      <c r="H38" s="760"/>
      <c r="I38" s="760"/>
      <c r="J38" s="760"/>
      <c r="K38" s="760"/>
      <c r="L38" s="760"/>
      <c r="M38" s="760"/>
      <c r="N38" s="760"/>
      <c r="O38" s="760"/>
      <c r="P38" s="760"/>
      <c r="Q38" s="760"/>
      <c r="R38" s="270"/>
      <c r="S38" s="270"/>
      <c r="T38" s="270"/>
      <c r="U38" s="270"/>
      <c r="V38" s="270"/>
      <c r="W38" s="270"/>
      <c r="X38" s="270"/>
      <c r="Y38" s="270"/>
      <c r="Z38" s="270"/>
      <c r="AA38" s="270"/>
      <c r="AB38" s="270"/>
    </row>
    <row r="39" spans="1:28" ht="16.2" customHeight="1" x14ac:dyDescent="0.3">
      <c r="A39" s="760"/>
      <c r="B39" s="760"/>
      <c r="C39" s="760"/>
      <c r="D39" s="760"/>
      <c r="E39" s="760"/>
      <c r="F39" s="760"/>
      <c r="G39" s="760"/>
      <c r="H39" s="760"/>
      <c r="I39" s="760"/>
      <c r="J39" s="760"/>
      <c r="K39" s="760"/>
      <c r="L39" s="760"/>
      <c r="M39" s="760"/>
      <c r="N39" s="760"/>
      <c r="O39" s="760"/>
      <c r="P39" s="760"/>
      <c r="Q39" s="760"/>
      <c r="R39" s="270"/>
      <c r="S39" s="270"/>
      <c r="T39" s="270"/>
      <c r="U39" s="270"/>
      <c r="V39" s="270"/>
      <c r="W39" s="270"/>
      <c r="X39" s="270"/>
      <c r="Y39" s="270"/>
      <c r="Z39" s="270"/>
      <c r="AA39" s="270"/>
      <c r="AB39" s="270"/>
    </row>
    <row r="40" spans="1:28" ht="16.2" customHeight="1" x14ac:dyDescent="0.3">
      <c r="A40" s="760"/>
      <c r="B40" s="760"/>
      <c r="C40" s="760"/>
      <c r="D40" s="760"/>
      <c r="E40" s="760"/>
      <c r="F40" s="760"/>
      <c r="G40" s="760"/>
      <c r="H40" s="760"/>
      <c r="I40" s="760"/>
      <c r="J40" s="760"/>
      <c r="K40" s="760"/>
      <c r="L40" s="760"/>
      <c r="M40" s="760"/>
      <c r="N40" s="760"/>
      <c r="O40" s="760"/>
      <c r="P40" s="760"/>
      <c r="Q40" s="760"/>
      <c r="R40" s="270"/>
      <c r="S40" s="270"/>
      <c r="T40" s="270"/>
      <c r="U40" s="270"/>
      <c r="V40" s="270"/>
      <c r="W40" s="270"/>
      <c r="X40" s="270"/>
      <c r="Y40" s="270"/>
      <c r="Z40" s="270"/>
      <c r="AA40" s="270"/>
      <c r="AB40" s="270"/>
    </row>
    <row r="41" spans="1:28" x14ac:dyDescent="0.3">
      <c r="A41" s="760"/>
      <c r="B41" s="760"/>
      <c r="C41" s="760"/>
      <c r="D41" s="760"/>
      <c r="E41" s="760"/>
      <c r="F41" s="760"/>
      <c r="G41" s="760"/>
      <c r="H41" s="760"/>
      <c r="I41" s="760"/>
      <c r="J41" s="760"/>
      <c r="K41" s="760"/>
      <c r="L41" s="760"/>
      <c r="M41" s="760"/>
      <c r="N41" s="760"/>
      <c r="O41" s="760"/>
      <c r="P41" s="760"/>
      <c r="Q41" s="760"/>
      <c r="R41" s="270"/>
      <c r="S41" s="270"/>
      <c r="T41" s="270"/>
      <c r="U41" s="270"/>
      <c r="V41" s="270"/>
      <c r="W41" s="270"/>
      <c r="X41" s="270"/>
      <c r="Y41" s="270"/>
      <c r="Z41" s="270"/>
      <c r="AA41" s="270"/>
      <c r="AB41" s="270"/>
    </row>
    <row r="42" spans="1:28" ht="10.199999999999999" customHeight="1" x14ac:dyDescent="0.3">
      <c r="A42" s="760"/>
      <c r="B42" s="760"/>
      <c r="C42" s="760"/>
      <c r="D42" s="760"/>
      <c r="E42" s="760"/>
      <c r="F42" s="760"/>
      <c r="G42" s="760"/>
      <c r="H42" s="760"/>
      <c r="I42" s="760"/>
      <c r="J42" s="760"/>
      <c r="K42" s="760"/>
      <c r="L42" s="760"/>
      <c r="M42" s="760"/>
      <c r="N42" s="760"/>
      <c r="O42" s="760"/>
      <c r="P42" s="760"/>
      <c r="Q42" s="760"/>
      <c r="R42" s="270"/>
      <c r="S42" s="270"/>
      <c r="T42" s="270"/>
      <c r="U42" s="270"/>
      <c r="V42" s="270"/>
      <c r="W42" s="270"/>
      <c r="X42" s="270"/>
      <c r="Y42" s="270"/>
      <c r="Z42" s="270"/>
      <c r="AA42" s="270"/>
      <c r="AB42" s="270"/>
    </row>
    <row r="43" spans="1:28" ht="10.199999999999999" customHeight="1" x14ac:dyDescent="0.3">
      <c r="A43" s="760"/>
      <c r="B43" s="760"/>
      <c r="C43" s="760"/>
      <c r="D43" s="760"/>
      <c r="E43" s="760"/>
      <c r="F43" s="760"/>
      <c r="G43" s="760"/>
      <c r="H43" s="760"/>
      <c r="I43" s="760"/>
      <c r="J43" s="760"/>
      <c r="K43" s="760"/>
      <c r="L43" s="760"/>
      <c r="M43" s="760"/>
      <c r="N43" s="760"/>
      <c r="O43" s="760"/>
      <c r="P43" s="760"/>
      <c r="Q43" s="760"/>
      <c r="R43" s="270"/>
      <c r="S43" s="270"/>
      <c r="T43" s="270"/>
      <c r="U43" s="270"/>
      <c r="V43" s="270"/>
      <c r="W43" s="270"/>
      <c r="X43" s="270"/>
      <c r="Y43" s="270"/>
      <c r="Z43" s="270"/>
      <c r="AA43" s="270"/>
      <c r="AB43" s="270"/>
    </row>
    <row r="44" spans="1:28" ht="10.199999999999999" customHeight="1" x14ac:dyDescent="0.3">
      <c r="A44" s="760"/>
      <c r="B44" s="760"/>
      <c r="C44" s="760"/>
      <c r="D44" s="760"/>
      <c r="E44" s="760"/>
      <c r="F44" s="760"/>
      <c r="G44" s="760"/>
      <c r="H44" s="760"/>
      <c r="I44" s="760"/>
      <c r="J44" s="760"/>
      <c r="K44" s="760"/>
      <c r="L44" s="760"/>
      <c r="M44" s="760"/>
      <c r="N44" s="760"/>
      <c r="O44" s="760"/>
      <c r="P44" s="760"/>
      <c r="Q44" s="760"/>
      <c r="R44" s="270"/>
      <c r="S44" s="270"/>
      <c r="T44" s="270"/>
      <c r="U44" s="270"/>
      <c r="V44" s="270"/>
      <c r="W44" s="270"/>
      <c r="X44" s="270"/>
      <c r="Y44" s="270"/>
      <c r="Z44" s="270"/>
      <c r="AA44" s="270"/>
      <c r="AB44" s="270"/>
    </row>
    <row r="45" spans="1:28" ht="10.199999999999999" customHeight="1" x14ac:dyDescent="0.3">
      <c r="A45" s="760"/>
      <c r="B45" s="760"/>
      <c r="C45" s="760"/>
      <c r="D45" s="760"/>
      <c r="E45" s="760"/>
      <c r="F45" s="760"/>
      <c r="G45" s="760"/>
      <c r="H45" s="760"/>
      <c r="I45" s="760"/>
      <c r="J45" s="760"/>
      <c r="K45" s="760"/>
      <c r="L45" s="760"/>
      <c r="M45" s="760"/>
      <c r="N45" s="760"/>
      <c r="O45" s="760"/>
      <c r="P45" s="760"/>
      <c r="Q45" s="760"/>
      <c r="R45" s="270"/>
      <c r="S45" s="270"/>
      <c r="T45" s="270"/>
      <c r="U45" s="270"/>
      <c r="V45" s="270"/>
      <c r="W45" s="270"/>
      <c r="X45" s="270"/>
      <c r="Y45" s="270"/>
      <c r="Z45" s="270"/>
      <c r="AA45" s="270"/>
      <c r="AB45" s="270"/>
    </row>
    <row r="46" spans="1:28" ht="10.199999999999999" customHeight="1" x14ac:dyDescent="0.3">
      <c r="A46" s="760"/>
      <c r="B46" s="760"/>
      <c r="C46" s="760"/>
      <c r="D46" s="760"/>
      <c r="E46" s="760"/>
      <c r="F46" s="760"/>
      <c r="G46" s="760"/>
      <c r="H46" s="760"/>
      <c r="I46" s="760"/>
      <c r="J46" s="760"/>
      <c r="K46" s="760"/>
      <c r="L46" s="760"/>
      <c r="M46" s="760"/>
      <c r="N46" s="760"/>
      <c r="O46" s="760"/>
      <c r="P46" s="760"/>
      <c r="Q46" s="760"/>
      <c r="R46" s="270"/>
      <c r="S46" s="270"/>
      <c r="T46" s="270"/>
      <c r="U46" s="270"/>
      <c r="V46" s="270"/>
      <c r="W46" s="270"/>
      <c r="X46" s="270"/>
      <c r="Y46" s="270"/>
      <c r="Z46" s="270"/>
      <c r="AA46" s="270"/>
      <c r="AB46" s="270"/>
    </row>
    <row r="47" spans="1:28" ht="10.199999999999999" customHeight="1" x14ac:dyDescent="0.3">
      <c r="A47" s="760"/>
      <c r="B47" s="760"/>
      <c r="C47" s="760"/>
      <c r="D47" s="760"/>
      <c r="E47" s="760"/>
      <c r="F47" s="760"/>
      <c r="G47" s="760"/>
      <c r="H47" s="760"/>
      <c r="I47" s="760"/>
      <c r="J47" s="760"/>
      <c r="K47" s="760"/>
      <c r="L47" s="760"/>
      <c r="M47" s="760"/>
      <c r="N47" s="760"/>
      <c r="O47" s="760"/>
      <c r="P47" s="760"/>
      <c r="Q47" s="760"/>
      <c r="R47" s="270"/>
      <c r="S47" s="270"/>
      <c r="T47" s="270"/>
      <c r="U47" s="270"/>
      <c r="V47" s="270"/>
      <c r="W47" s="270"/>
      <c r="X47" s="270"/>
      <c r="Y47" s="270"/>
      <c r="Z47" s="270"/>
      <c r="AA47" s="270"/>
      <c r="AB47" s="270"/>
    </row>
    <row r="48" spans="1:28" ht="10.199999999999999" customHeight="1" x14ac:dyDescent="0.3">
      <c r="A48" s="760"/>
      <c r="B48" s="760"/>
      <c r="C48" s="760"/>
      <c r="D48" s="760"/>
      <c r="E48" s="760"/>
      <c r="F48" s="760"/>
      <c r="G48" s="760"/>
      <c r="H48" s="760"/>
      <c r="I48" s="760"/>
      <c r="J48" s="760"/>
      <c r="K48" s="760"/>
      <c r="L48" s="760"/>
      <c r="M48" s="760"/>
      <c r="N48" s="760"/>
      <c r="O48" s="760"/>
      <c r="P48" s="760"/>
      <c r="Q48" s="760"/>
      <c r="R48" s="270"/>
      <c r="S48" s="270"/>
      <c r="T48" s="270"/>
      <c r="U48" s="270"/>
      <c r="V48" s="270"/>
      <c r="W48" s="270"/>
      <c r="X48" s="270"/>
      <c r="Y48" s="270"/>
      <c r="Z48" s="270"/>
      <c r="AA48" s="270"/>
      <c r="AB48" s="270"/>
    </row>
    <row r="49" spans="1:28" ht="10.199999999999999" customHeight="1" x14ac:dyDescent="0.3">
      <c r="A49" s="760"/>
      <c r="B49" s="760"/>
      <c r="C49" s="760"/>
      <c r="D49" s="760"/>
      <c r="E49" s="760"/>
      <c r="F49" s="760"/>
      <c r="G49" s="760"/>
      <c r="H49" s="760"/>
      <c r="I49" s="760"/>
      <c r="J49" s="760"/>
      <c r="K49" s="760"/>
      <c r="L49" s="760"/>
      <c r="M49" s="760"/>
      <c r="N49" s="760"/>
      <c r="O49" s="760"/>
      <c r="P49" s="760"/>
      <c r="Q49" s="760"/>
      <c r="R49" s="270"/>
      <c r="S49" s="270"/>
      <c r="T49" s="270"/>
      <c r="U49" s="270"/>
      <c r="V49" s="270"/>
      <c r="W49" s="270"/>
      <c r="X49" s="270"/>
      <c r="Y49" s="270"/>
      <c r="Z49" s="270"/>
      <c r="AA49" s="270"/>
      <c r="AB49" s="270"/>
    </row>
    <row r="50" spans="1:28" ht="10.199999999999999" customHeight="1" x14ac:dyDescent="0.3">
      <c r="A50" s="760"/>
      <c r="B50" s="760"/>
      <c r="C50" s="760"/>
      <c r="D50" s="760"/>
      <c r="E50" s="760"/>
      <c r="F50" s="760"/>
      <c r="G50" s="760"/>
      <c r="H50" s="760"/>
      <c r="I50" s="760"/>
      <c r="J50" s="760"/>
      <c r="K50" s="760"/>
      <c r="L50" s="760"/>
      <c r="M50" s="760"/>
      <c r="N50" s="760"/>
      <c r="O50" s="760"/>
      <c r="P50" s="760"/>
      <c r="Q50" s="760"/>
      <c r="R50" s="270"/>
      <c r="S50" s="270"/>
      <c r="T50" s="270"/>
      <c r="U50" s="270"/>
      <c r="V50" s="270"/>
      <c r="W50" s="270"/>
      <c r="X50" s="270"/>
      <c r="Y50" s="270"/>
      <c r="Z50" s="270"/>
      <c r="AA50" s="270"/>
      <c r="AB50" s="270"/>
    </row>
    <row r="51" spans="1:28" ht="10.199999999999999" customHeight="1" x14ac:dyDescent="0.3">
      <c r="A51" s="760"/>
      <c r="B51" s="760"/>
      <c r="C51" s="760"/>
      <c r="D51" s="760"/>
      <c r="E51" s="760"/>
      <c r="F51" s="760"/>
      <c r="G51" s="760"/>
      <c r="H51" s="760"/>
      <c r="I51" s="760"/>
      <c r="J51" s="760"/>
      <c r="K51" s="760"/>
      <c r="L51" s="760"/>
      <c r="M51" s="760"/>
      <c r="N51" s="760"/>
      <c r="O51" s="760"/>
      <c r="P51" s="760"/>
      <c r="Q51" s="760"/>
      <c r="R51" s="270"/>
      <c r="S51" s="270"/>
      <c r="T51" s="270"/>
      <c r="U51" s="270"/>
      <c r="V51" s="270"/>
      <c r="W51" s="270"/>
      <c r="X51" s="270"/>
      <c r="Y51" s="270"/>
      <c r="Z51" s="270"/>
      <c r="AA51" s="270"/>
      <c r="AB51" s="270"/>
    </row>
    <row r="52" spans="1:28" ht="10.199999999999999" customHeight="1" x14ac:dyDescent="0.3">
      <c r="A52" s="760"/>
      <c r="B52" s="760"/>
      <c r="C52" s="760"/>
      <c r="D52" s="760"/>
      <c r="E52" s="760"/>
      <c r="F52" s="760"/>
      <c r="G52" s="760"/>
      <c r="H52" s="760"/>
      <c r="I52" s="760"/>
      <c r="J52" s="760"/>
      <c r="K52" s="760"/>
      <c r="L52" s="760"/>
      <c r="M52" s="760"/>
      <c r="N52" s="760"/>
      <c r="O52" s="760"/>
      <c r="P52" s="760"/>
      <c r="Q52" s="76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</row>
    <row r="53" spans="1:28" x14ac:dyDescent="0.3">
      <c r="A53" s="760"/>
      <c r="B53" s="760"/>
      <c r="C53" s="760"/>
      <c r="D53" s="760"/>
      <c r="E53" s="760"/>
      <c r="F53" s="760"/>
      <c r="G53" s="760"/>
      <c r="H53" s="760"/>
      <c r="I53" s="760"/>
      <c r="J53" s="760"/>
      <c r="K53" s="760"/>
      <c r="L53" s="760"/>
      <c r="M53" s="760"/>
      <c r="N53" s="760"/>
      <c r="O53" s="760"/>
      <c r="P53" s="760"/>
      <c r="Q53" s="760"/>
      <c r="R53" s="270"/>
      <c r="S53" s="270"/>
      <c r="T53" s="270"/>
      <c r="U53" s="270"/>
      <c r="V53" s="270"/>
      <c r="W53" s="270"/>
      <c r="X53" s="270"/>
      <c r="Y53" s="270"/>
      <c r="Z53" s="270"/>
      <c r="AA53" s="270"/>
      <c r="AB53" s="270"/>
    </row>
    <row r="54" spans="1:28" x14ac:dyDescent="0.3">
      <c r="A54" s="760"/>
      <c r="B54" s="760"/>
      <c r="C54" s="760"/>
      <c r="D54" s="760"/>
      <c r="E54" s="760"/>
      <c r="F54" s="760"/>
      <c r="G54" s="760"/>
      <c r="H54" s="760"/>
      <c r="I54" s="760"/>
      <c r="J54" s="760"/>
      <c r="K54" s="760"/>
      <c r="L54" s="760"/>
      <c r="M54" s="760"/>
      <c r="N54" s="760"/>
      <c r="O54" s="760"/>
      <c r="P54" s="760"/>
      <c r="Q54" s="760"/>
      <c r="R54" s="270"/>
      <c r="S54" s="270"/>
      <c r="T54" s="270"/>
      <c r="U54" s="270"/>
      <c r="V54" s="270"/>
      <c r="W54" s="270"/>
      <c r="X54" s="270"/>
      <c r="Y54" s="270"/>
      <c r="Z54" s="270"/>
      <c r="AA54" s="270"/>
      <c r="AB54" s="270"/>
    </row>
    <row r="55" spans="1:28" x14ac:dyDescent="0.3">
      <c r="A55" s="760"/>
      <c r="B55" s="760"/>
      <c r="C55" s="760"/>
      <c r="D55" s="760"/>
      <c r="E55" s="760"/>
      <c r="F55" s="760"/>
      <c r="G55" s="760"/>
      <c r="H55" s="760"/>
      <c r="I55" s="760"/>
      <c r="J55" s="760"/>
      <c r="K55" s="760"/>
      <c r="L55" s="760"/>
      <c r="M55" s="760"/>
      <c r="N55" s="760"/>
      <c r="O55" s="760"/>
      <c r="P55" s="760"/>
      <c r="Q55" s="760"/>
      <c r="R55" s="270"/>
      <c r="S55" s="270"/>
      <c r="T55" s="270"/>
      <c r="U55" s="270"/>
      <c r="V55" s="270"/>
      <c r="W55" s="270"/>
      <c r="X55" s="270"/>
      <c r="Y55" s="270"/>
      <c r="Z55" s="270"/>
      <c r="AA55" s="270"/>
      <c r="AB55" s="270"/>
    </row>
    <row r="56" spans="1:28" x14ac:dyDescent="0.3">
      <c r="A56" s="760"/>
      <c r="B56" s="760"/>
      <c r="C56" s="760"/>
      <c r="D56" s="760"/>
      <c r="E56" s="760"/>
      <c r="F56" s="760"/>
      <c r="G56" s="760"/>
      <c r="H56" s="760"/>
      <c r="I56" s="760"/>
      <c r="J56" s="760"/>
      <c r="K56" s="760"/>
      <c r="L56" s="760"/>
      <c r="M56" s="760"/>
      <c r="N56" s="760"/>
      <c r="O56" s="760"/>
      <c r="P56" s="760"/>
      <c r="Q56" s="760"/>
      <c r="R56" s="270"/>
      <c r="S56" s="270"/>
      <c r="T56" s="270"/>
      <c r="U56" s="270"/>
      <c r="V56" s="270"/>
      <c r="W56" s="270"/>
      <c r="X56" s="270"/>
      <c r="Y56" s="270"/>
      <c r="Z56" s="270"/>
      <c r="AA56" s="270"/>
      <c r="AB56" s="270"/>
    </row>
    <row r="57" spans="1:28" x14ac:dyDescent="0.3">
      <c r="A57" s="760"/>
      <c r="B57" s="760"/>
      <c r="C57" s="760"/>
      <c r="D57" s="760"/>
      <c r="E57" s="760"/>
      <c r="F57" s="760"/>
      <c r="G57" s="760"/>
      <c r="H57" s="760"/>
      <c r="I57" s="760"/>
      <c r="J57" s="760"/>
      <c r="K57" s="760"/>
      <c r="L57" s="760"/>
      <c r="M57" s="760"/>
      <c r="N57" s="760"/>
      <c r="O57" s="760"/>
      <c r="P57" s="760"/>
      <c r="Q57" s="760"/>
      <c r="R57" s="270"/>
      <c r="S57" s="270"/>
      <c r="T57" s="270"/>
      <c r="U57" s="270"/>
      <c r="V57" s="270"/>
      <c r="W57" s="270"/>
      <c r="X57" s="270"/>
      <c r="Y57" s="270"/>
      <c r="Z57" s="270"/>
      <c r="AA57" s="270"/>
      <c r="AB57" s="270"/>
    </row>
    <row r="58" spans="1:28" x14ac:dyDescent="0.3">
      <c r="A58" s="760"/>
      <c r="B58" s="760"/>
      <c r="C58" s="760"/>
      <c r="D58" s="760"/>
      <c r="E58" s="760"/>
      <c r="F58" s="760"/>
      <c r="G58" s="760"/>
      <c r="H58" s="760"/>
      <c r="I58" s="760"/>
      <c r="J58" s="760"/>
      <c r="K58" s="760"/>
      <c r="L58" s="760"/>
      <c r="M58" s="760"/>
      <c r="N58" s="760"/>
      <c r="O58" s="760"/>
      <c r="P58" s="760"/>
      <c r="Q58" s="760"/>
      <c r="R58" s="270"/>
      <c r="S58" s="270"/>
      <c r="T58" s="270"/>
      <c r="U58" s="270"/>
      <c r="V58" s="270"/>
      <c r="W58" s="270"/>
      <c r="X58" s="270"/>
      <c r="Y58" s="270"/>
      <c r="Z58" s="270"/>
      <c r="AA58" s="270"/>
      <c r="AB58" s="270"/>
    </row>
    <row r="59" spans="1:28" x14ac:dyDescent="0.3">
      <c r="A59" s="760"/>
      <c r="B59" s="760"/>
      <c r="C59" s="760"/>
      <c r="D59" s="760"/>
      <c r="E59" s="760"/>
      <c r="F59" s="760"/>
      <c r="G59" s="760"/>
      <c r="H59" s="760"/>
      <c r="I59" s="760"/>
      <c r="J59" s="760"/>
      <c r="K59" s="760"/>
      <c r="L59" s="760"/>
      <c r="M59" s="760"/>
      <c r="N59" s="760"/>
      <c r="O59" s="760"/>
      <c r="P59" s="760"/>
      <c r="Q59" s="760"/>
      <c r="R59" s="270"/>
      <c r="S59" s="270"/>
      <c r="T59" s="270"/>
      <c r="U59" s="270"/>
      <c r="V59" s="270"/>
      <c r="W59" s="270"/>
      <c r="X59" s="270"/>
      <c r="Y59" s="270"/>
      <c r="Z59" s="270"/>
      <c r="AA59" s="270"/>
      <c r="AB59" s="270"/>
    </row>
    <row r="60" spans="1:28" ht="15" customHeight="1" x14ac:dyDescent="0.3">
      <c r="A60" s="760"/>
      <c r="B60" s="760"/>
      <c r="C60" s="760"/>
      <c r="D60" s="760"/>
      <c r="E60" s="760"/>
      <c r="F60" s="760"/>
      <c r="G60" s="760"/>
      <c r="H60" s="760"/>
      <c r="I60" s="760"/>
      <c r="J60" s="760"/>
      <c r="K60" s="760"/>
      <c r="L60" s="760"/>
      <c r="M60" s="760"/>
      <c r="N60" s="760"/>
      <c r="O60" s="760"/>
      <c r="P60" s="760"/>
      <c r="Q60" s="760"/>
      <c r="R60" s="270"/>
      <c r="S60" s="270"/>
      <c r="T60" s="270"/>
      <c r="U60" s="270"/>
      <c r="V60" s="270"/>
      <c r="W60" s="270"/>
      <c r="X60" s="270"/>
      <c r="Y60" s="270"/>
      <c r="Z60" s="270"/>
      <c r="AA60" s="270"/>
      <c r="AB60" s="270"/>
    </row>
    <row r="61" spans="1:28" ht="15" customHeight="1" x14ac:dyDescent="0.3">
      <c r="A61" s="760"/>
      <c r="B61" s="760"/>
      <c r="C61" s="760"/>
      <c r="D61" s="760"/>
      <c r="E61" s="760"/>
      <c r="F61" s="760"/>
      <c r="G61" s="760"/>
      <c r="H61" s="760"/>
      <c r="I61" s="760"/>
      <c r="J61" s="760"/>
      <c r="K61" s="760"/>
      <c r="L61" s="760"/>
      <c r="M61" s="760"/>
      <c r="N61" s="760"/>
      <c r="O61" s="760"/>
      <c r="P61" s="760"/>
      <c r="Q61" s="760"/>
      <c r="R61" s="270"/>
      <c r="S61" s="270"/>
      <c r="T61" s="270"/>
      <c r="U61" s="270"/>
      <c r="V61" s="270"/>
      <c r="W61" s="270"/>
      <c r="X61" s="270"/>
      <c r="Y61" s="270"/>
      <c r="Z61" s="270"/>
      <c r="AA61" s="270"/>
      <c r="AB61" s="270"/>
    </row>
    <row r="62" spans="1:28" x14ac:dyDescent="0.3">
      <c r="A62" s="760"/>
      <c r="B62" s="760"/>
      <c r="C62" s="760"/>
      <c r="D62" s="760"/>
      <c r="E62" s="760"/>
      <c r="F62" s="760"/>
      <c r="G62" s="760"/>
      <c r="H62" s="760"/>
      <c r="I62" s="760"/>
      <c r="J62" s="760"/>
      <c r="K62" s="760"/>
      <c r="L62" s="760"/>
      <c r="M62" s="760"/>
      <c r="N62" s="760"/>
      <c r="O62" s="760"/>
      <c r="P62" s="760"/>
      <c r="Q62" s="760"/>
      <c r="R62" s="270"/>
      <c r="S62" s="270"/>
      <c r="T62" s="270"/>
      <c r="U62" s="270"/>
      <c r="V62" s="270"/>
      <c r="W62" s="270"/>
      <c r="X62" s="270"/>
      <c r="Y62" s="270"/>
      <c r="Z62" s="270"/>
      <c r="AA62" s="270"/>
      <c r="AB62" s="270"/>
    </row>
    <row r="63" spans="1:28" x14ac:dyDescent="0.3">
      <c r="A63" s="760"/>
      <c r="B63" s="760"/>
      <c r="C63" s="760"/>
      <c r="D63" s="760"/>
      <c r="E63" s="760"/>
      <c r="F63" s="760"/>
      <c r="G63" s="760"/>
      <c r="H63" s="760"/>
      <c r="I63" s="760"/>
      <c r="J63" s="760"/>
      <c r="K63" s="760"/>
      <c r="L63" s="760"/>
      <c r="M63" s="760"/>
      <c r="N63" s="760"/>
      <c r="O63" s="760"/>
      <c r="P63" s="760"/>
      <c r="Q63" s="760"/>
      <c r="R63" s="270"/>
      <c r="S63" s="270"/>
      <c r="T63" s="270"/>
      <c r="U63" s="270"/>
      <c r="V63" s="270"/>
      <c r="W63" s="270"/>
      <c r="X63" s="270"/>
      <c r="Y63" s="270"/>
      <c r="Z63" s="270"/>
      <c r="AA63" s="270"/>
      <c r="AB63" s="270"/>
    </row>
    <row r="64" spans="1:28" x14ac:dyDescent="0.3">
      <c r="A64" s="760"/>
      <c r="B64" s="760"/>
      <c r="C64" s="760"/>
      <c r="D64" s="760"/>
      <c r="E64" s="760"/>
      <c r="F64" s="760"/>
      <c r="G64" s="760"/>
      <c r="H64" s="760"/>
      <c r="I64" s="760"/>
      <c r="J64" s="760"/>
      <c r="K64" s="760"/>
      <c r="L64" s="760"/>
      <c r="M64" s="760"/>
      <c r="N64" s="760"/>
      <c r="O64" s="760"/>
      <c r="P64" s="760"/>
      <c r="Q64" s="760"/>
      <c r="R64" s="270"/>
      <c r="S64" s="270"/>
      <c r="T64" s="270"/>
      <c r="U64" s="270"/>
      <c r="V64" s="270"/>
      <c r="W64" s="270"/>
      <c r="X64" s="270"/>
      <c r="Y64" s="270"/>
      <c r="Z64" s="270"/>
      <c r="AA64" s="270"/>
      <c r="AB64" s="270"/>
    </row>
    <row r="65" spans="1:28" x14ac:dyDescent="0.3">
      <c r="A65" s="760"/>
      <c r="B65" s="760"/>
      <c r="C65" s="760"/>
      <c r="D65" s="760"/>
      <c r="E65" s="760"/>
      <c r="F65" s="760"/>
      <c r="G65" s="760"/>
      <c r="H65" s="760"/>
      <c r="I65" s="760"/>
      <c r="J65" s="760"/>
      <c r="K65" s="760"/>
      <c r="L65" s="760"/>
      <c r="M65" s="760"/>
      <c r="N65" s="760"/>
      <c r="O65" s="760"/>
      <c r="P65" s="760"/>
      <c r="Q65" s="760"/>
      <c r="R65" s="270"/>
      <c r="S65" s="270"/>
      <c r="T65" s="270"/>
      <c r="U65" s="270"/>
      <c r="V65" s="270"/>
      <c r="W65" s="270"/>
      <c r="X65" s="270"/>
      <c r="Y65" s="270"/>
      <c r="Z65" s="270"/>
      <c r="AA65" s="270"/>
      <c r="AB65" s="270"/>
    </row>
    <row r="66" spans="1:28" x14ac:dyDescent="0.3">
      <c r="A66" s="760"/>
      <c r="B66" s="760"/>
      <c r="C66" s="760"/>
      <c r="D66" s="760"/>
      <c r="E66" s="760"/>
      <c r="F66" s="760"/>
      <c r="G66" s="760"/>
      <c r="H66" s="760"/>
      <c r="I66" s="760"/>
      <c r="J66" s="760"/>
      <c r="K66" s="760"/>
      <c r="L66" s="760"/>
      <c r="M66" s="760"/>
      <c r="N66" s="760"/>
      <c r="O66" s="760"/>
      <c r="P66" s="760"/>
      <c r="Q66" s="760"/>
      <c r="R66" s="270"/>
      <c r="S66" s="270"/>
      <c r="T66" s="270"/>
      <c r="U66" s="270"/>
      <c r="V66" s="270"/>
      <c r="W66" s="270"/>
      <c r="X66" s="270"/>
      <c r="Y66" s="270"/>
      <c r="Z66" s="270"/>
      <c r="AA66" s="270"/>
      <c r="AB66" s="270"/>
    </row>
    <row r="67" spans="1:28" x14ac:dyDescent="0.3">
      <c r="A67" s="760"/>
      <c r="B67" s="760"/>
      <c r="C67" s="760"/>
      <c r="D67" s="760"/>
      <c r="E67" s="760"/>
      <c r="F67" s="760"/>
      <c r="G67" s="760"/>
      <c r="H67" s="760"/>
      <c r="I67" s="760"/>
      <c r="J67" s="760"/>
      <c r="K67" s="760"/>
      <c r="L67" s="760"/>
      <c r="M67" s="760"/>
      <c r="N67" s="760"/>
      <c r="O67" s="760"/>
      <c r="P67" s="760"/>
      <c r="Q67" s="76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</row>
    <row r="68" spans="1:28" x14ac:dyDescent="0.3">
      <c r="A68" s="760"/>
      <c r="B68" s="760"/>
      <c r="C68" s="760"/>
      <c r="D68" s="760"/>
      <c r="E68" s="760"/>
      <c r="F68" s="760"/>
      <c r="G68" s="760"/>
      <c r="H68" s="760"/>
      <c r="I68" s="760"/>
      <c r="J68" s="760"/>
      <c r="K68" s="760"/>
      <c r="L68" s="760"/>
      <c r="M68" s="760"/>
      <c r="N68" s="760"/>
      <c r="O68" s="760"/>
      <c r="P68" s="760"/>
      <c r="Q68" s="760"/>
      <c r="R68" s="270"/>
      <c r="S68" s="270"/>
      <c r="T68" s="270"/>
      <c r="U68" s="270"/>
      <c r="V68" s="270"/>
      <c r="W68" s="270"/>
      <c r="X68" s="270"/>
      <c r="Y68" s="270"/>
      <c r="Z68" s="270"/>
      <c r="AA68" s="270"/>
      <c r="AB68" s="270"/>
    </row>
    <row r="69" spans="1:28" x14ac:dyDescent="0.3">
      <c r="A69" s="760"/>
      <c r="B69" s="760"/>
      <c r="C69" s="760"/>
      <c r="D69" s="760"/>
      <c r="E69" s="760"/>
      <c r="F69" s="760"/>
      <c r="G69" s="760"/>
      <c r="H69" s="760"/>
      <c r="I69" s="760"/>
      <c r="J69" s="760"/>
      <c r="K69" s="760"/>
      <c r="L69" s="760"/>
      <c r="M69" s="760"/>
      <c r="N69" s="760"/>
      <c r="O69" s="760"/>
      <c r="P69" s="760"/>
      <c r="Q69" s="760"/>
      <c r="R69" s="270"/>
      <c r="S69" s="270"/>
      <c r="T69" s="270"/>
      <c r="U69" s="270"/>
      <c r="V69" s="270"/>
      <c r="W69" s="270"/>
      <c r="X69" s="270"/>
      <c r="Y69" s="270"/>
      <c r="Z69" s="270"/>
      <c r="AA69" s="270"/>
      <c r="AB69" s="270"/>
    </row>
    <row r="70" spans="1:28" x14ac:dyDescent="0.3">
      <c r="A70" s="760"/>
      <c r="B70" s="760"/>
      <c r="C70" s="760"/>
      <c r="D70" s="760"/>
      <c r="E70" s="760"/>
      <c r="F70" s="760"/>
      <c r="G70" s="760"/>
      <c r="H70" s="760"/>
      <c r="I70" s="760"/>
      <c r="J70" s="760"/>
      <c r="K70" s="760"/>
      <c r="L70" s="760"/>
      <c r="M70" s="760"/>
      <c r="N70" s="760"/>
      <c r="O70" s="760"/>
      <c r="P70" s="760"/>
      <c r="Q70" s="760"/>
      <c r="R70" s="270"/>
      <c r="S70" s="270"/>
      <c r="T70" s="270"/>
      <c r="U70" s="270"/>
      <c r="V70" s="270"/>
      <c r="W70" s="270"/>
      <c r="X70" s="270"/>
      <c r="Y70" s="270"/>
      <c r="Z70" s="270"/>
      <c r="AA70" s="270"/>
      <c r="AB70" s="270"/>
    </row>
    <row r="71" spans="1:28" x14ac:dyDescent="0.3">
      <c r="A71" s="760"/>
      <c r="B71" s="760"/>
      <c r="C71" s="760"/>
      <c r="D71" s="760"/>
      <c r="E71" s="760"/>
      <c r="F71" s="760"/>
      <c r="G71" s="760"/>
      <c r="H71" s="760"/>
      <c r="I71" s="760"/>
      <c r="J71" s="760"/>
      <c r="K71" s="760"/>
      <c r="L71" s="760"/>
      <c r="M71" s="760"/>
      <c r="N71" s="760"/>
      <c r="O71" s="760"/>
      <c r="P71" s="760"/>
      <c r="Q71" s="760"/>
      <c r="R71" s="270"/>
      <c r="S71" s="270"/>
      <c r="T71" s="270"/>
      <c r="U71" s="270"/>
      <c r="V71" s="270"/>
      <c r="W71" s="270"/>
      <c r="X71" s="270"/>
      <c r="Y71" s="270"/>
      <c r="Z71" s="270"/>
      <c r="AA71" s="270"/>
      <c r="AB71" s="270"/>
    </row>
    <row r="72" spans="1:28" x14ac:dyDescent="0.3">
      <c r="A72" s="760"/>
      <c r="B72" s="760"/>
      <c r="C72" s="760"/>
      <c r="D72" s="760"/>
      <c r="E72" s="760"/>
      <c r="F72" s="760"/>
      <c r="G72" s="760"/>
      <c r="H72" s="760"/>
      <c r="I72" s="760"/>
      <c r="J72" s="760"/>
      <c r="K72" s="760"/>
      <c r="L72" s="760"/>
      <c r="M72" s="760"/>
      <c r="N72" s="760"/>
      <c r="O72" s="760"/>
      <c r="P72" s="760"/>
      <c r="Q72" s="760"/>
      <c r="R72" s="270"/>
      <c r="S72" s="270"/>
      <c r="T72" s="270"/>
      <c r="U72" s="270"/>
      <c r="V72" s="270"/>
      <c r="W72" s="270"/>
      <c r="X72" s="270"/>
      <c r="Y72" s="270"/>
      <c r="Z72" s="270"/>
      <c r="AA72" s="270"/>
      <c r="AB72" s="270"/>
    </row>
    <row r="73" spans="1:28" x14ac:dyDescent="0.3">
      <c r="A73" s="760"/>
      <c r="B73" s="760"/>
      <c r="C73" s="760"/>
      <c r="D73" s="760"/>
      <c r="E73" s="760"/>
      <c r="F73" s="760"/>
      <c r="G73" s="760"/>
      <c r="H73" s="760"/>
      <c r="I73" s="760"/>
      <c r="J73" s="760"/>
      <c r="K73" s="760"/>
      <c r="L73" s="760"/>
      <c r="M73" s="760"/>
      <c r="N73" s="760"/>
      <c r="O73" s="760"/>
      <c r="P73" s="760"/>
      <c r="Q73" s="760"/>
      <c r="R73" s="270"/>
      <c r="S73" s="270"/>
      <c r="T73" s="270"/>
      <c r="U73" s="270"/>
      <c r="V73" s="270"/>
      <c r="W73" s="270"/>
      <c r="X73" s="270"/>
      <c r="Y73" s="270"/>
      <c r="Z73" s="270"/>
      <c r="AA73" s="270"/>
      <c r="AB73" s="270"/>
    </row>
    <row r="74" spans="1:28" x14ac:dyDescent="0.3">
      <c r="A74" s="760"/>
      <c r="B74" s="760"/>
      <c r="C74" s="760"/>
      <c r="D74" s="760"/>
      <c r="E74" s="760"/>
      <c r="F74" s="760"/>
      <c r="G74" s="760"/>
      <c r="H74" s="760"/>
      <c r="I74" s="760"/>
      <c r="J74" s="760"/>
      <c r="K74" s="760"/>
      <c r="L74" s="760"/>
      <c r="M74" s="760"/>
      <c r="N74" s="760"/>
      <c r="O74" s="760"/>
      <c r="P74" s="760"/>
      <c r="Q74" s="760"/>
      <c r="R74" s="270"/>
      <c r="S74" s="270"/>
      <c r="T74" s="270"/>
      <c r="U74" s="270"/>
      <c r="V74" s="270"/>
      <c r="W74" s="270"/>
      <c r="X74" s="270"/>
      <c r="Y74" s="270"/>
      <c r="Z74" s="270"/>
      <c r="AA74" s="270"/>
      <c r="AB74" s="270"/>
    </row>
    <row r="75" spans="1:28" x14ac:dyDescent="0.3">
      <c r="A75" s="760"/>
      <c r="B75" s="760"/>
      <c r="C75" s="760"/>
      <c r="D75" s="760"/>
      <c r="E75" s="760"/>
      <c r="F75" s="760"/>
      <c r="G75" s="760"/>
      <c r="H75" s="760"/>
      <c r="I75" s="760"/>
      <c r="J75" s="760"/>
      <c r="K75" s="760"/>
      <c r="L75" s="760"/>
      <c r="M75" s="760"/>
      <c r="N75" s="760"/>
      <c r="O75" s="760"/>
      <c r="P75" s="760"/>
      <c r="Q75" s="760"/>
      <c r="R75" s="270"/>
      <c r="S75" s="270"/>
      <c r="T75" s="270"/>
      <c r="U75" s="270"/>
      <c r="V75" s="270"/>
      <c r="W75" s="270"/>
      <c r="X75" s="270"/>
      <c r="Y75" s="270"/>
      <c r="Z75" s="270"/>
      <c r="AA75" s="270"/>
      <c r="AB75" s="270"/>
    </row>
    <row r="76" spans="1:28" x14ac:dyDescent="0.3">
      <c r="A76" s="760"/>
      <c r="B76" s="760"/>
      <c r="C76" s="760"/>
      <c r="D76" s="760"/>
      <c r="E76" s="760"/>
      <c r="F76" s="760"/>
      <c r="G76" s="760"/>
      <c r="H76" s="760"/>
      <c r="I76" s="760"/>
      <c r="J76" s="760"/>
      <c r="K76" s="760"/>
      <c r="L76" s="760"/>
      <c r="M76" s="760"/>
      <c r="N76" s="760"/>
      <c r="O76" s="760"/>
      <c r="P76" s="760"/>
      <c r="Q76" s="760"/>
      <c r="R76" s="270"/>
      <c r="S76" s="270"/>
      <c r="T76" s="270"/>
      <c r="U76" s="270"/>
      <c r="V76" s="270"/>
      <c r="W76" s="270"/>
      <c r="X76" s="270"/>
      <c r="Y76" s="270"/>
      <c r="Z76" s="270"/>
      <c r="AA76" s="270"/>
      <c r="AB76" s="270"/>
    </row>
    <row r="77" spans="1:28" x14ac:dyDescent="0.3">
      <c r="A77" s="760"/>
      <c r="B77" s="760"/>
      <c r="C77" s="760"/>
      <c r="D77" s="760"/>
      <c r="E77" s="760"/>
      <c r="F77" s="760"/>
      <c r="G77" s="760"/>
      <c r="H77" s="760"/>
      <c r="I77" s="760"/>
      <c r="J77" s="760"/>
      <c r="K77" s="760"/>
      <c r="L77" s="760"/>
      <c r="M77" s="760"/>
      <c r="N77" s="760"/>
      <c r="O77" s="760"/>
      <c r="P77" s="760"/>
      <c r="Q77" s="760"/>
      <c r="R77" s="270"/>
      <c r="S77" s="270"/>
      <c r="T77" s="270"/>
      <c r="U77" s="270"/>
      <c r="V77" s="270"/>
      <c r="W77" s="270"/>
      <c r="X77" s="270"/>
      <c r="Y77" s="270"/>
      <c r="Z77" s="270"/>
      <c r="AA77" s="270"/>
      <c r="AB77" s="270"/>
    </row>
    <row r="78" spans="1:28" x14ac:dyDescent="0.3">
      <c r="A78" s="760"/>
      <c r="B78" s="760"/>
      <c r="C78" s="760"/>
      <c r="D78" s="760"/>
      <c r="E78" s="760"/>
      <c r="F78" s="760"/>
      <c r="G78" s="760"/>
      <c r="H78" s="760"/>
      <c r="I78" s="760"/>
      <c r="J78" s="760"/>
      <c r="K78" s="760"/>
      <c r="L78" s="760"/>
      <c r="M78" s="760"/>
      <c r="N78" s="760"/>
      <c r="O78" s="760"/>
      <c r="P78" s="760"/>
      <c r="Q78" s="76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</row>
    <row r="79" spans="1:28" x14ac:dyDescent="0.3">
      <c r="A79" s="760"/>
      <c r="B79" s="760"/>
      <c r="C79" s="760"/>
      <c r="D79" s="760"/>
      <c r="E79" s="760"/>
      <c r="F79" s="760"/>
      <c r="G79" s="760"/>
      <c r="H79" s="760"/>
      <c r="I79" s="760"/>
      <c r="J79" s="760"/>
      <c r="K79" s="760"/>
      <c r="L79" s="760"/>
      <c r="M79" s="760"/>
      <c r="N79" s="760"/>
      <c r="O79" s="760"/>
      <c r="P79" s="760"/>
      <c r="Q79" s="760"/>
      <c r="R79" s="270"/>
      <c r="S79" s="270"/>
      <c r="T79" s="270"/>
      <c r="U79" s="270"/>
      <c r="V79" s="270"/>
      <c r="W79" s="270"/>
      <c r="X79" s="270"/>
      <c r="Y79" s="270"/>
      <c r="Z79" s="270"/>
      <c r="AA79" s="270"/>
      <c r="AB79" s="270"/>
    </row>
    <row r="80" spans="1:28" x14ac:dyDescent="0.3">
      <c r="A80" s="760"/>
      <c r="B80" s="760"/>
      <c r="C80" s="760"/>
      <c r="D80" s="760"/>
      <c r="E80" s="760"/>
      <c r="F80" s="760"/>
      <c r="G80" s="760"/>
      <c r="H80" s="760"/>
      <c r="I80" s="760"/>
      <c r="J80" s="760"/>
      <c r="K80" s="760"/>
      <c r="L80" s="760"/>
      <c r="M80" s="760"/>
      <c r="N80" s="760"/>
      <c r="O80" s="760"/>
      <c r="P80" s="760"/>
      <c r="Q80" s="760"/>
      <c r="R80" s="270"/>
      <c r="S80" s="270"/>
      <c r="T80" s="270"/>
      <c r="U80" s="270"/>
      <c r="V80" s="270"/>
      <c r="W80" s="270"/>
      <c r="X80" s="270"/>
      <c r="Y80" s="270"/>
      <c r="Z80" s="270"/>
      <c r="AA80" s="270"/>
      <c r="AB80" s="270"/>
    </row>
    <row r="81" spans="1:28" x14ac:dyDescent="0.3">
      <c r="A81" s="760"/>
      <c r="B81" s="760"/>
      <c r="C81" s="760"/>
      <c r="D81" s="760"/>
      <c r="E81" s="760"/>
      <c r="F81" s="760"/>
      <c r="G81" s="760"/>
      <c r="H81" s="760"/>
      <c r="I81" s="760"/>
      <c r="J81" s="760"/>
      <c r="K81" s="760"/>
      <c r="L81" s="760"/>
      <c r="M81" s="760"/>
      <c r="N81" s="760"/>
      <c r="O81" s="760"/>
      <c r="P81" s="760"/>
      <c r="Q81" s="760"/>
      <c r="R81" s="270"/>
      <c r="S81" s="270"/>
      <c r="T81" s="270"/>
      <c r="U81" s="270"/>
      <c r="V81" s="270"/>
      <c r="W81" s="270"/>
      <c r="X81" s="270"/>
      <c r="Y81" s="270"/>
      <c r="Z81" s="270"/>
      <c r="AA81" s="270"/>
      <c r="AB81" s="270"/>
    </row>
    <row r="82" spans="1:28" x14ac:dyDescent="0.3">
      <c r="A82" s="760"/>
      <c r="B82" s="760"/>
      <c r="C82" s="760"/>
      <c r="D82" s="760"/>
      <c r="E82" s="760"/>
      <c r="F82" s="760"/>
      <c r="G82" s="760"/>
      <c r="H82" s="760"/>
      <c r="I82" s="760"/>
      <c r="J82" s="760"/>
      <c r="K82" s="760"/>
      <c r="L82" s="760"/>
      <c r="M82" s="760"/>
      <c r="N82" s="760"/>
      <c r="O82" s="760"/>
      <c r="P82" s="760"/>
      <c r="Q82" s="760"/>
      <c r="R82" s="270"/>
      <c r="S82" s="270"/>
      <c r="T82" s="270"/>
      <c r="U82" s="270"/>
      <c r="V82" s="270"/>
      <c r="W82" s="270"/>
      <c r="X82" s="270"/>
      <c r="Y82" s="270"/>
      <c r="Z82" s="270"/>
      <c r="AA82" s="270"/>
      <c r="AB82" s="270"/>
    </row>
    <row r="83" spans="1:28" x14ac:dyDescent="0.3">
      <c r="A83" s="760"/>
      <c r="B83" s="760"/>
      <c r="C83" s="760"/>
      <c r="D83" s="760"/>
      <c r="E83" s="760"/>
      <c r="F83" s="760"/>
      <c r="G83" s="760"/>
      <c r="H83" s="760"/>
      <c r="I83" s="760"/>
      <c r="J83" s="760"/>
      <c r="K83" s="760"/>
      <c r="L83" s="760"/>
      <c r="M83" s="760"/>
      <c r="N83" s="760"/>
      <c r="O83" s="760"/>
      <c r="P83" s="760"/>
      <c r="Q83" s="760"/>
      <c r="R83" s="270"/>
      <c r="S83" s="270"/>
      <c r="T83" s="270"/>
      <c r="U83" s="270"/>
      <c r="V83" s="270"/>
      <c r="W83" s="270"/>
      <c r="X83" s="270"/>
      <c r="Y83" s="270"/>
      <c r="Z83" s="270"/>
      <c r="AA83" s="270"/>
      <c r="AB83" s="270"/>
    </row>
    <row r="84" spans="1:28" x14ac:dyDescent="0.3">
      <c r="A84" s="760"/>
      <c r="B84" s="760"/>
      <c r="C84" s="760"/>
      <c r="D84" s="760"/>
      <c r="E84" s="760"/>
      <c r="F84" s="760"/>
      <c r="G84" s="760"/>
      <c r="H84" s="760"/>
      <c r="I84" s="760"/>
      <c r="J84" s="760"/>
      <c r="K84" s="760"/>
      <c r="L84" s="760"/>
      <c r="M84" s="760"/>
      <c r="N84" s="760"/>
      <c r="O84" s="760"/>
      <c r="P84" s="760"/>
      <c r="Q84" s="760"/>
      <c r="R84" s="270"/>
      <c r="S84" s="270"/>
      <c r="T84" s="270"/>
      <c r="U84" s="270"/>
      <c r="V84" s="270"/>
      <c r="W84" s="270"/>
      <c r="X84" s="270"/>
      <c r="Y84" s="270"/>
      <c r="Z84" s="270"/>
      <c r="AA84" s="270"/>
      <c r="AB84" s="270"/>
    </row>
    <row r="85" spans="1:28" x14ac:dyDescent="0.3">
      <c r="A85" s="760"/>
      <c r="B85" s="760"/>
      <c r="C85" s="760"/>
      <c r="D85" s="760"/>
      <c r="E85" s="760"/>
      <c r="F85" s="760"/>
      <c r="G85" s="760"/>
      <c r="H85" s="760"/>
      <c r="I85" s="760"/>
      <c r="J85" s="760"/>
      <c r="K85" s="760"/>
      <c r="L85" s="760"/>
      <c r="M85" s="760"/>
      <c r="N85" s="760"/>
      <c r="O85" s="760"/>
      <c r="P85" s="760"/>
      <c r="Q85" s="760"/>
      <c r="R85" s="270"/>
      <c r="S85" s="270"/>
      <c r="T85" s="270"/>
      <c r="U85" s="270"/>
      <c r="V85" s="270"/>
      <c r="W85" s="270"/>
      <c r="X85" s="270"/>
      <c r="Y85" s="270"/>
      <c r="Z85" s="270"/>
      <c r="AA85" s="270"/>
      <c r="AB85" s="270"/>
    </row>
    <row r="86" spans="1:28" x14ac:dyDescent="0.3">
      <c r="A86" s="760"/>
      <c r="B86" s="760"/>
      <c r="C86" s="760"/>
      <c r="D86" s="760"/>
      <c r="E86" s="760"/>
      <c r="F86" s="760"/>
      <c r="G86" s="760"/>
      <c r="H86" s="760"/>
      <c r="I86" s="760"/>
      <c r="J86" s="760"/>
      <c r="K86" s="760"/>
      <c r="L86" s="760"/>
      <c r="M86" s="760"/>
      <c r="N86" s="760"/>
      <c r="O86" s="760"/>
      <c r="P86" s="760"/>
      <c r="Q86" s="760"/>
      <c r="R86" s="270"/>
      <c r="S86" s="270"/>
      <c r="T86" s="270"/>
      <c r="U86" s="270"/>
      <c r="V86" s="270"/>
      <c r="W86" s="270"/>
      <c r="X86" s="270"/>
      <c r="Y86" s="270"/>
      <c r="Z86" s="270"/>
      <c r="AA86" s="270"/>
      <c r="AB86" s="270"/>
    </row>
    <row r="87" spans="1:28" x14ac:dyDescent="0.3">
      <c r="A87" s="760"/>
      <c r="B87" s="760"/>
      <c r="C87" s="760"/>
      <c r="D87" s="760"/>
      <c r="E87" s="760"/>
      <c r="F87" s="760"/>
      <c r="G87" s="760"/>
      <c r="H87" s="760"/>
      <c r="I87" s="760"/>
      <c r="J87" s="760"/>
      <c r="K87" s="760"/>
      <c r="L87" s="760"/>
      <c r="M87" s="760"/>
      <c r="N87" s="760"/>
      <c r="O87" s="760"/>
      <c r="P87" s="760"/>
      <c r="Q87" s="760"/>
      <c r="R87" s="270"/>
      <c r="S87" s="270"/>
      <c r="T87" s="270"/>
      <c r="U87" s="270"/>
      <c r="V87" s="270"/>
      <c r="W87" s="270"/>
      <c r="X87" s="270"/>
      <c r="Y87" s="270"/>
      <c r="Z87" s="270"/>
      <c r="AA87" s="270"/>
      <c r="AB87" s="270"/>
    </row>
    <row r="88" spans="1:28" x14ac:dyDescent="0.3">
      <c r="A88" s="760"/>
      <c r="B88" s="760"/>
      <c r="C88" s="760"/>
      <c r="D88" s="760"/>
      <c r="E88" s="760"/>
      <c r="F88" s="760"/>
      <c r="G88" s="760"/>
      <c r="H88" s="760"/>
      <c r="I88" s="760"/>
      <c r="J88" s="760"/>
      <c r="K88" s="760"/>
      <c r="L88" s="760"/>
      <c r="M88" s="760"/>
      <c r="N88" s="760"/>
      <c r="O88" s="760"/>
      <c r="P88" s="760"/>
      <c r="Q88" s="760"/>
      <c r="R88" s="270"/>
      <c r="S88" s="270"/>
      <c r="T88" s="270"/>
      <c r="U88" s="270"/>
      <c r="V88" s="270"/>
      <c r="W88" s="270"/>
      <c r="X88" s="270"/>
      <c r="Y88" s="270"/>
      <c r="Z88" s="270"/>
      <c r="AA88" s="270"/>
      <c r="AB88" s="270"/>
    </row>
    <row r="89" spans="1:28" x14ac:dyDescent="0.3">
      <c r="A89" s="760"/>
      <c r="B89" s="760"/>
      <c r="C89" s="760"/>
      <c r="D89" s="760"/>
      <c r="E89" s="760"/>
      <c r="F89" s="760"/>
      <c r="G89" s="760"/>
      <c r="H89" s="760"/>
      <c r="I89" s="760"/>
      <c r="J89" s="760"/>
      <c r="K89" s="760"/>
      <c r="L89" s="760"/>
      <c r="M89" s="760"/>
      <c r="N89" s="760"/>
      <c r="O89" s="760"/>
      <c r="P89" s="760"/>
      <c r="Q89" s="76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</row>
    <row r="90" spans="1:28" x14ac:dyDescent="0.3">
      <c r="A90" s="760"/>
      <c r="B90" s="760"/>
      <c r="C90" s="760"/>
      <c r="D90" s="760"/>
      <c r="E90" s="760"/>
      <c r="F90" s="760"/>
      <c r="G90" s="760"/>
      <c r="H90" s="760"/>
      <c r="I90" s="760"/>
      <c r="J90" s="760"/>
      <c r="K90" s="760"/>
      <c r="L90" s="760"/>
      <c r="M90" s="760"/>
      <c r="N90" s="760"/>
      <c r="O90" s="760"/>
      <c r="P90" s="760"/>
      <c r="Q90" s="760"/>
      <c r="R90" s="270"/>
      <c r="S90" s="270"/>
      <c r="T90" s="270"/>
      <c r="U90" s="270"/>
      <c r="V90" s="270"/>
      <c r="W90" s="270"/>
      <c r="X90" s="270"/>
      <c r="Y90" s="270"/>
      <c r="Z90" s="270"/>
      <c r="AA90" s="270"/>
      <c r="AB90" s="270"/>
    </row>
    <row r="91" spans="1:28" x14ac:dyDescent="0.3">
      <c r="A91" s="760"/>
      <c r="B91" s="760"/>
      <c r="C91" s="760"/>
      <c r="D91" s="760"/>
      <c r="E91" s="760"/>
      <c r="F91" s="760"/>
      <c r="G91" s="760"/>
      <c r="H91" s="760"/>
      <c r="I91" s="760"/>
      <c r="J91" s="760"/>
      <c r="K91" s="760"/>
      <c r="L91" s="760"/>
      <c r="M91" s="760"/>
      <c r="N91" s="760"/>
      <c r="O91" s="760"/>
      <c r="P91" s="760"/>
      <c r="Q91" s="760"/>
      <c r="R91" s="270"/>
      <c r="S91" s="270"/>
      <c r="T91" s="270"/>
      <c r="U91" s="270"/>
      <c r="V91" s="270"/>
      <c r="W91" s="270"/>
      <c r="X91" s="270"/>
      <c r="Y91" s="270"/>
      <c r="Z91" s="270"/>
      <c r="AA91" s="270"/>
      <c r="AB91" s="270"/>
    </row>
    <row r="92" spans="1:28" x14ac:dyDescent="0.3">
      <c r="A92" s="760"/>
      <c r="B92" s="760"/>
      <c r="C92" s="760"/>
      <c r="D92" s="760"/>
      <c r="E92" s="760"/>
      <c r="F92" s="760"/>
      <c r="G92" s="760"/>
      <c r="H92" s="760"/>
      <c r="I92" s="760"/>
      <c r="J92" s="760"/>
      <c r="K92" s="760"/>
      <c r="L92" s="760"/>
      <c r="M92" s="760"/>
      <c r="N92" s="760"/>
      <c r="O92" s="760"/>
      <c r="P92" s="760"/>
      <c r="Q92" s="760"/>
      <c r="R92" s="270"/>
      <c r="S92" s="270"/>
      <c r="T92" s="270"/>
      <c r="U92" s="270"/>
      <c r="V92" s="270"/>
      <c r="W92" s="270"/>
      <c r="X92" s="270"/>
      <c r="Y92" s="270"/>
      <c r="Z92" s="270"/>
      <c r="AA92" s="270"/>
      <c r="AB92" s="270"/>
    </row>
    <row r="93" spans="1:28" x14ac:dyDescent="0.3">
      <c r="A93" s="760"/>
      <c r="B93" s="760"/>
      <c r="C93" s="760"/>
      <c r="D93" s="760"/>
      <c r="E93" s="760"/>
      <c r="F93" s="760"/>
      <c r="G93" s="760"/>
      <c r="H93" s="760"/>
      <c r="I93" s="760"/>
      <c r="J93" s="760"/>
      <c r="K93" s="760"/>
      <c r="L93" s="760"/>
      <c r="M93" s="760"/>
      <c r="N93" s="760"/>
      <c r="O93" s="760"/>
      <c r="P93" s="760"/>
      <c r="Q93" s="760"/>
      <c r="R93" s="270"/>
      <c r="S93" s="270"/>
      <c r="T93" s="270"/>
      <c r="U93" s="270"/>
      <c r="V93" s="270"/>
      <c r="W93" s="270"/>
      <c r="X93" s="270"/>
      <c r="Y93" s="270"/>
      <c r="Z93" s="270"/>
      <c r="AA93" s="270"/>
      <c r="AB93" s="270"/>
    </row>
    <row r="94" spans="1:28" x14ac:dyDescent="0.3">
      <c r="A94" s="760"/>
      <c r="B94" s="760"/>
      <c r="C94" s="760"/>
      <c r="D94" s="760"/>
      <c r="E94" s="760"/>
      <c r="F94" s="760"/>
      <c r="G94" s="760"/>
      <c r="H94" s="760"/>
      <c r="I94" s="760"/>
      <c r="J94" s="760"/>
      <c r="K94" s="760"/>
      <c r="L94" s="760"/>
      <c r="M94" s="760"/>
      <c r="N94" s="760"/>
      <c r="O94" s="760"/>
      <c r="P94" s="760"/>
      <c r="Q94" s="760"/>
      <c r="R94" s="270"/>
      <c r="S94" s="270"/>
      <c r="T94" s="270"/>
      <c r="U94" s="270"/>
      <c r="V94" s="270"/>
      <c r="W94" s="270"/>
      <c r="X94" s="270"/>
      <c r="Y94" s="270"/>
      <c r="Z94" s="270"/>
      <c r="AA94" s="270"/>
      <c r="AB94" s="270"/>
    </row>
    <row r="95" spans="1:28" x14ac:dyDescent="0.3">
      <c r="A95" s="760"/>
      <c r="B95" s="760"/>
      <c r="C95" s="760"/>
      <c r="D95" s="760"/>
      <c r="E95" s="760"/>
      <c r="F95" s="760"/>
      <c r="G95" s="760"/>
      <c r="H95" s="760"/>
      <c r="I95" s="760"/>
      <c r="J95" s="760"/>
      <c r="K95" s="760"/>
      <c r="L95" s="760"/>
      <c r="M95" s="760"/>
      <c r="N95" s="760"/>
      <c r="O95" s="760"/>
      <c r="P95" s="760"/>
      <c r="Q95" s="760"/>
      <c r="R95" s="270"/>
      <c r="S95" s="270"/>
      <c r="T95" s="270"/>
      <c r="U95" s="270"/>
      <c r="V95" s="270"/>
      <c r="W95" s="270"/>
      <c r="X95" s="270"/>
      <c r="Y95" s="270"/>
      <c r="Z95" s="270"/>
      <c r="AA95" s="270"/>
      <c r="AB95" s="270"/>
    </row>
    <row r="96" spans="1:28" x14ac:dyDescent="0.3">
      <c r="A96" s="760"/>
      <c r="B96" s="760"/>
      <c r="C96" s="760"/>
      <c r="D96" s="760"/>
      <c r="E96" s="760"/>
      <c r="F96" s="760"/>
      <c r="G96" s="760"/>
      <c r="H96" s="760"/>
      <c r="I96" s="760"/>
      <c r="J96" s="760"/>
      <c r="K96" s="760"/>
      <c r="L96" s="760"/>
      <c r="M96" s="760"/>
      <c r="N96" s="760"/>
      <c r="O96" s="760"/>
      <c r="P96" s="760"/>
      <c r="Q96" s="760"/>
      <c r="R96" s="270"/>
      <c r="S96" s="270"/>
      <c r="T96" s="270"/>
      <c r="U96" s="270"/>
      <c r="V96" s="270"/>
      <c r="W96" s="270"/>
      <c r="X96" s="270"/>
      <c r="Y96" s="270"/>
      <c r="Z96" s="270"/>
      <c r="AA96" s="270"/>
      <c r="AB96" s="270"/>
    </row>
    <row r="97" spans="1:28" x14ac:dyDescent="0.3">
      <c r="A97" s="760"/>
      <c r="B97" s="760"/>
      <c r="C97" s="760"/>
      <c r="D97" s="760"/>
      <c r="E97" s="760"/>
      <c r="F97" s="760"/>
      <c r="G97" s="760"/>
      <c r="H97" s="760"/>
      <c r="I97" s="760"/>
      <c r="J97" s="760"/>
      <c r="K97" s="760"/>
      <c r="L97" s="760"/>
      <c r="M97" s="760"/>
      <c r="N97" s="760"/>
      <c r="O97" s="760"/>
      <c r="P97" s="760"/>
      <c r="Q97" s="760"/>
      <c r="R97" s="270"/>
      <c r="S97" s="270"/>
      <c r="T97" s="270"/>
      <c r="U97" s="270"/>
      <c r="V97" s="270"/>
      <c r="W97" s="270"/>
      <c r="X97" s="270"/>
      <c r="Y97" s="270"/>
      <c r="Z97" s="270"/>
      <c r="AA97" s="270"/>
      <c r="AB97" s="270"/>
    </row>
    <row r="98" spans="1:28" x14ac:dyDescent="0.3">
      <c r="A98" s="760"/>
      <c r="B98" s="760"/>
      <c r="C98" s="760"/>
      <c r="D98" s="760"/>
      <c r="E98" s="760"/>
      <c r="F98" s="760"/>
      <c r="G98" s="760"/>
      <c r="H98" s="760"/>
      <c r="I98" s="760"/>
      <c r="J98" s="760"/>
      <c r="K98" s="760"/>
      <c r="L98" s="760"/>
      <c r="M98" s="760"/>
      <c r="N98" s="760"/>
      <c r="O98" s="760"/>
      <c r="P98" s="760"/>
      <c r="Q98" s="760"/>
      <c r="R98" s="270"/>
      <c r="S98" s="270"/>
      <c r="T98" s="270"/>
      <c r="U98" s="270"/>
      <c r="V98" s="270"/>
      <c r="W98" s="270"/>
      <c r="X98" s="270"/>
      <c r="Y98" s="270"/>
      <c r="Z98" s="270"/>
      <c r="AA98" s="270"/>
      <c r="AB98" s="270"/>
    </row>
    <row r="99" spans="1:28" x14ac:dyDescent="0.3">
      <c r="A99" s="760"/>
      <c r="B99" s="760"/>
      <c r="C99" s="760"/>
      <c r="D99" s="760"/>
      <c r="E99" s="760"/>
      <c r="F99" s="760"/>
      <c r="G99" s="760"/>
      <c r="H99" s="760"/>
      <c r="I99" s="760"/>
      <c r="J99" s="760"/>
      <c r="K99" s="760"/>
      <c r="L99" s="760"/>
      <c r="M99" s="760"/>
      <c r="N99" s="760"/>
      <c r="O99" s="760"/>
      <c r="P99" s="760"/>
      <c r="Q99" s="760"/>
      <c r="R99" s="270"/>
      <c r="S99" s="270"/>
      <c r="T99" s="270"/>
      <c r="U99" s="270"/>
      <c r="V99" s="270"/>
      <c r="W99" s="270"/>
      <c r="X99" s="270"/>
      <c r="Y99" s="270"/>
      <c r="Z99" s="270"/>
      <c r="AA99" s="270"/>
      <c r="AB99" s="270"/>
    </row>
    <row r="100" spans="1:28" x14ac:dyDescent="0.3">
      <c r="A100" s="760"/>
      <c r="B100" s="760"/>
      <c r="C100" s="760"/>
      <c r="D100" s="760"/>
      <c r="E100" s="760"/>
      <c r="F100" s="760"/>
      <c r="G100" s="760"/>
      <c r="H100" s="760"/>
      <c r="I100" s="760"/>
      <c r="J100" s="760"/>
      <c r="K100" s="760"/>
      <c r="L100" s="760"/>
      <c r="M100" s="760"/>
      <c r="N100" s="760"/>
      <c r="O100" s="760"/>
      <c r="P100" s="760"/>
      <c r="Q100" s="760"/>
      <c r="R100" s="270"/>
      <c r="S100" s="270"/>
      <c r="T100" s="270"/>
      <c r="U100" s="270"/>
      <c r="V100" s="270"/>
      <c r="W100" s="270"/>
      <c r="X100" s="270"/>
      <c r="Y100" s="270"/>
      <c r="Z100" s="270"/>
      <c r="AA100" s="270"/>
      <c r="AB100" s="270"/>
    </row>
    <row r="101" spans="1:28" x14ac:dyDescent="0.3">
      <c r="A101" s="760"/>
      <c r="B101" s="760"/>
      <c r="C101" s="760"/>
      <c r="D101" s="760"/>
      <c r="E101" s="760"/>
      <c r="F101" s="760"/>
      <c r="G101" s="760"/>
      <c r="H101" s="760"/>
      <c r="I101" s="760"/>
      <c r="J101" s="760"/>
      <c r="K101" s="760"/>
      <c r="L101" s="760"/>
      <c r="M101" s="760"/>
      <c r="N101" s="760"/>
      <c r="O101" s="760"/>
      <c r="P101" s="760"/>
      <c r="Q101" s="760"/>
      <c r="R101" s="270"/>
      <c r="S101" s="270"/>
      <c r="T101" s="270"/>
      <c r="U101" s="270"/>
      <c r="V101" s="270"/>
      <c r="W101" s="270"/>
      <c r="X101" s="270"/>
      <c r="Y101" s="270"/>
      <c r="Z101" s="270"/>
      <c r="AA101" s="270"/>
      <c r="AB101" s="270"/>
    </row>
    <row r="102" spans="1:28" x14ac:dyDescent="0.3">
      <c r="A102" s="760"/>
      <c r="B102" s="760"/>
      <c r="C102" s="760"/>
      <c r="D102" s="760"/>
      <c r="E102" s="760"/>
      <c r="F102" s="760"/>
      <c r="G102" s="760"/>
      <c r="H102" s="760"/>
      <c r="I102" s="760"/>
      <c r="J102" s="760"/>
      <c r="K102" s="760"/>
      <c r="L102" s="760"/>
      <c r="M102" s="760"/>
      <c r="N102" s="760"/>
      <c r="O102" s="760"/>
      <c r="P102" s="760"/>
      <c r="Q102" s="760"/>
      <c r="R102" s="270"/>
      <c r="S102" s="270"/>
      <c r="T102" s="270"/>
      <c r="U102" s="270"/>
      <c r="V102" s="270"/>
      <c r="W102" s="270"/>
      <c r="X102" s="270"/>
      <c r="Y102" s="270"/>
      <c r="Z102" s="270"/>
      <c r="AA102" s="270"/>
      <c r="AB102" s="270"/>
    </row>
    <row r="103" spans="1:28" x14ac:dyDescent="0.3">
      <c r="A103" s="760"/>
      <c r="B103" s="760"/>
      <c r="C103" s="760"/>
      <c r="D103" s="760"/>
      <c r="E103" s="760"/>
      <c r="F103" s="760"/>
      <c r="G103" s="760"/>
      <c r="H103" s="760"/>
      <c r="I103" s="760"/>
      <c r="J103" s="760"/>
      <c r="K103" s="760"/>
      <c r="L103" s="760"/>
      <c r="M103" s="760"/>
      <c r="N103" s="760"/>
      <c r="O103" s="760"/>
      <c r="P103" s="760"/>
      <c r="Q103" s="760"/>
      <c r="R103" s="270"/>
      <c r="S103" s="270"/>
      <c r="T103" s="270"/>
      <c r="U103" s="270"/>
      <c r="V103" s="270"/>
      <c r="W103" s="270"/>
      <c r="X103" s="270"/>
      <c r="Y103" s="270"/>
      <c r="Z103" s="270"/>
      <c r="AA103" s="270"/>
      <c r="AB103" s="270"/>
    </row>
    <row r="104" spans="1:28" x14ac:dyDescent="0.3">
      <c r="A104" s="760"/>
      <c r="B104" s="760"/>
      <c r="C104" s="760"/>
      <c r="D104" s="760"/>
      <c r="E104" s="760"/>
      <c r="F104" s="760"/>
      <c r="G104" s="760"/>
      <c r="H104" s="760"/>
      <c r="I104" s="760"/>
      <c r="J104" s="760"/>
      <c r="K104" s="760"/>
      <c r="L104" s="760"/>
      <c r="M104" s="760"/>
      <c r="N104" s="760"/>
      <c r="O104" s="760"/>
      <c r="P104" s="760"/>
      <c r="Q104" s="760"/>
      <c r="R104" s="270"/>
      <c r="S104" s="270"/>
      <c r="T104" s="270"/>
      <c r="U104" s="270"/>
      <c r="V104" s="270"/>
      <c r="W104" s="270"/>
      <c r="X104" s="270"/>
      <c r="Y104" s="270"/>
      <c r="Z104" s="270"/>
      <c r="AA104" s="270"/>
      <c r="AB104" s="270"/>
    </row>
    <row r="105" spans="1:28" x14ac:dyDescent="0.3">
      <c r="A105" s="760"/>
      <c r="B105" s="760"/>
      <c r="C105" s="760"/>
      <c r="D105" s="760"/>
      <c r="E105" s="760"/>
      <c r="F105" s="760"/>
      <c r="G105" s="760"/>
      <c r="H105" s="760"/>
      <c r="I105" s="760"/>
      <c r="J105" s="760"/>
      <c r="K105" s="760"/>
      <c r="L105" s="760"/>
      <c r="M105" s="760"/>
      <c r="N105" s="760"/>
      <c r="O105" s="760"/>
      <c r="P105" s="760"/>
      <c r="Q105" s="760"/>
      <c r="R105" s="270"/>
      <c r="S105" s="270"/>
      <c r="T105" s="270"/>
      <c r="U105" s="270"/>
      <c r="V105" s="270"/>
      <c r="W105" s="270"/>
      <c r="X105" s="270"/>
      <c r="Y105" s="270"/>
      <c r="Z105" s="270"/>
      <c r="AA105" s="270"/>
      <c r="AB105" s="270"/>
    </row>
    <row r="106" spans="1:28" x14ac:dyDescent="0.3">
      <c r="A106" s="760"/>
      <c r="B106" s="760"/>
      <c r="C106" s="760"/>
      <c r="D106" s="760"/>
      <c r="E106" s="760"/>
      <c r="F106" s="760"/>
      <c r="G106" s="760"/>
      <c r="H106" s="760"/>
      <c r="I106" s="760"/>
      <c r="J106" s="760"/>
      <c r="K106" s="760"/>
      <c r="L106" s="760"/>
      <c r="M106" s="760"/>
      <c r="N106" s="760"/>
      <c r="O106" s="760"/>
      <c r="P106" s="760"/>
      <c r="Q106" s="760"/>
      <c r="R106" s="270"/>
      <c r="S106" s="270"/>
      <c r="T106" s="270"/>
      <c r="U106" s="270"/>
      <c r="V106" s="270"/>
      <c r="W106" s="270"/>
      <c r="X106" s="270"/>
      <c r="Y106" s="270"/>
      <c r="Z106" s="270"/>
      <c r="AA106" s="270"/>
      <c r="AB106" s="270"/>
    </row>
    <row r="107" spans="1:28" x14ac:dyDescent="0.3">
      <c r="A107" s="760"/>
      <c r="B107" s="760"/>
      <c r="C107" s="760"/>
      <c r="D107" s="760"/>
      <c r="E107" s="760"/>
      <c r="F107" s="760"/>
      <c r="G107" s="760"/>
      <c r="H107" s="760"/>
      <c r="I107" s="760"/>
      <c r="J107" s="760"/>
      <c r="K107" s="760"/>
      <c r="L107" s="760"/>
      <c r="M107" s="760"/>
      <c r="N107" s="760"/>
      <c r="O107" s="760"/>
      <c r="P107" s="760"/>
      <c r="Q107" s="760"/>
    </row>
    <row r="108" spans="1:28" x14ac:dyDescent="0.3">
      <c r="A108" s="760"/>
      <c r="B108" s="760"/>
      <c r="C108" s="760"/>
      <c r="D108" s="760"/>
      <c r="E108" s="760"/>
      <c r="F108" s="760"/>
      <c r="G108" s="760"/>
      <c r="H108" s="760"/>
      <c r="I108" s="760"/>
      <c r="J108" s="760"/>
      <c r="K108" s="760"/>
      <c r="L108" s="760"/>
      <c r="M108" s="760"/>
      <c r="N108" s="760"/>
      <c r="O108" s="760"/>
      <c r="P108" s="760"/>
      <c r="Q108" s="760"/>
    </row>
  </sheetData>
  <sortState xmlns:xlrd2="http://schemas.microsoft.com/office/spreadsheetml/2017/richdata2" ref="B26">
    <sortCondition ref="B25:B26"/>
  </sortState>
  <mergeCells count="6">
    <mergeCell ref="A3:A4"/>
    <mergeCell ref="B3:B4"/>
    <mergeCell ref="S5:T5"/>
    <mergeCell ref="S11:T11"/>
    <mergeCell ref="B22:B23"/>
    <mergeCell ref="A22:A23"/>
  </mergeCells>
  <dataValidations count="2">
    <dataValidation type="list" allowBlank="1" showInputMessage="1" showErrorMessage="1" sqref="B3 B22" xr:uid="{D8EC01BD-D6DC-402C-A7D0-AFF4C5819117}">
      <formula1>"YES, NO"</formula1>
    </dataValidation>
    <dataValidation type="list" allowBlank="1" showInputMessage="1" showErrorMessage="1" sqref="E4" xr:uid="{CDDE46F3-8D91-4CFB-AC3F-89443570E987}">
      <formula1>"NON HAZ, HAZ"</formula1>
    </dataValidation>
  </dataValidations>
  <printOptions horizontalCentered="1"/>
  <pageMargins left="0.31496062992125984" right="0.31496062992125984" top="0.31496062992125984" bottom="0.31496062992125984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A506474-D95B-402A-9DE4-99E96FB43379}">
          <x14:formula1>
            <xm:f>FILETER!$C$2:$C$240</xm:f>
          </x14:formula1>
          <xm:sqref>B7:F7</xm:sqref>
        </x14:dataValidation>
        <x14:dataValidation type="list" allowBlank="1" showInputMessage="1" showErrorMessage="1" xr:uid="{B483CBAE-A140-4779-A1A1-208A8F14D5FF}">
          <x14:formula1>
            <xm:f>FILETER!$E$2:$E$500</xm:f>
          </x14:formula1>
          <xm:sqref>E3</xm:sqref>
        </x14:dataValidation>
        <x14:dataValidation type="list" allowBlank="1" showInputMessage="1" showErrorMessage="1" xr:uid="{B1952089-D97E-415A-86C0-53B6EE855C7B}">
          <x14:formula1>
            <xm:f>'RATE SHEET'!$D$1:$D$409</xm:f>
          </x14:formula1>
          <xm:sqref>B8:F8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12EF9-755E-4511-904C-7D7A917EE504}">
  <sheetPr codeName="Sheet23">
    <tabColor rgb="FFFFFF00"/>
  </sheetPr>
  <dimension ref="A1:XEP424"/>
  <sheetViews>
    <sheetView showGridLines="0" zoomScale="115" zoomScaleNormal="115" workbookViewId="0">
      <pane xSplit="4" ySplit="2" topLeftCell="E189" activePane="bottomRight" state="frozenSplit"/>
      <selection pane="topRight" activeCell="D1" sqref="D1"/>
      <selection pane="bottomLeft" activeCell="A4" sqref="A4"/>
      <selection pane="bottomRight" activeCell="D200" sqref="D200"/>
    </sheetView>
  </sheetViews>
  <sheetFormatPr defaultColWidth="8.88671875" defaultRowHeight="13.8" x14ac:dyDescent="0.3"/>
  <cols>
    <col min="1" max="1" width="18.5546875" style="231" customWidth="1"/>
    <col min="2" max="2" width="21.44140625" style="231" customWidth="1"/>
    <col min="3" max="3" width="22.88671875" style="234" customWidth="1"/>
    <col min="4" max="4" width="25.77734375" style="234" customWidth="1"/>
    <col min="5" max="5" width="14.6640625" style="231" customWidth="1"/>
    <col min="6" max="7" width="12.33203125" style="233" customWidth="1"/>
    <col min="8" max="8" width="13.6640625" style="233" customWidth="1"/>
    <col min="9" max="10" width="12.6640625" style="232" customWidth="1"/>
    <col min="11" max="11" width="6.6640625" style="273" customWidth="1"/>
    <col min="12" max="12" width="19.5546875" style="231" customWidth="1"/>
    <col min="13" max="16" width="8.6640625" style="233" customWidth="1"/>
    <col min="17" max="17" width="5.33203125" style="231" customWidth="1"/>
    <col min="18" max="21" width="8.6640625" style="233" customWidth="1"/>
    <col min="22" max="22" width="5.33203125" style="231" customWidth="1"/>
    <col min="23" max="25" width="9" style="233" customWidth="1"/>
    <col min="26" max="26" width="5.33203125" style="231" customWidth="1"/>
    <col min="27" max="30" width="9" style="233" customWidth="1"/>
    <col min="31" max="31" width="10.88671875" style="233" customWidth="1"/>
    <col min="32" max="32" width="9" style="233" customWidth="1"/>
    <col min="33" max="33" width="11.33203125" style="233" customWidth="1"/>
    <col min="34" max="34" width="11.6640625" style="233" customWidth="1"/>
    <col min="35" max="35" width="11.6640625" style="231" customWidth="1"/>
    <col min="36" max="36" width="5.33203125" style="231" customWidth="1"/>
    <col min="37" max="16384" width="8.88671875" style="248"/>
  </cols>
  <sheetData>
    <row r="1" spans="1:36" ht="15.6" customHeight="1" thickTop="1" thickBot="1" x14ac:dyDescent="0.35">
      <c r="C1" s="231"/>
      <c r="D1" s="231"/>
      <c r="F1" s="231"/>
      <c r="G1" s="231"/>
      <c r="H1" s="231"/>
      <c r="I1" s="231"/>
      <c r="J1" s="231"/>
      <c r="K1" s="231"/>
      <c r="M1" s="920" t="s">
        <v>48</v>
      </c>
      <c r="N1" s="921"/>
      <c r="O1" s="921"/>
      <c r="P1" s="921"/>
      <c r="R1" s="920" t="s">
        <v>51</v>
      </c>
      <c r="S1" s="921"/>
      <c r="T1" s="921"/>
      <c r="U1" s="921"/>
      <c r="W1" s="920" t="s">
        <v>388</v>
      </c>
      <c r="X1" s="921"/>
      <c r="Y1" s="921"/>
      <c r="Z1" s="517" t="s">
        <v>389</v>
      </c>
      <c r="AA1" s="922" t="s">
        <v>390</v>
      </c>
      <c r="AB1" s="923"/>
      <c r="AC1" s="923"/>
      <c r="AD1" s="923"/>
      <c r="AE1" s="923"/>
      <c r="AF1" s="923"/>
      <c r="AG1" s="923"/>
      <c r="AH1" s="923"/>
      <c r="AI1" s="923"/>
    </row>
    <row r="2" spans="1:36" ht="15" thickTop="1" thickBot="1" x14ac:dyDescent="0.35">
      <c r="A2" s="364" t="s">
        <v>77</v>
      </c>
      <c r="B2" s="364" t="s">
        <v>1308</v>
      </c>
      <c r="C2" s="364" t="s">
        <v>52</v>
      </c>
      <c r="D2" s="364" t="s">
        <v>59</v>
      </c>
      <c r="E2" s="364" t="s">
        <v>72</v>
      </c>
      <c r="F2" s="365" t="s">
        <v>48</v>
      </c>
      <c r="G2" s="365" t="s">
        <v>51</v>
      </c>
      <c r="H2" s="365" t="s">
        <v>78</v>
      </c>
      <c r="I2" s="366" t="s">
        <v>391</v>
      </c>
      <c r="J2" s="366" t="s">
        <v>392</v>
      </c>
      <c r="K2" s="366" t="s">
        <v>393</v>
      </c>
      <c r="L2" s="244" t="s">
        <v>40</v>
      </c>
      <c r="M2" s="364" t="s">
        <v>41</v>
      </c>
      <c r="N2" s="364" t="s">
        <v>43</v>
      </c>
      <c r="O2" s="364" t="s">
        <v>44</v>
      </c>
      <c r="P2" s="364" t="s">
        <v>45</v>
      </c>
      <c r="Q2" s="240" t="s">
        <v>394</v>
      </c>
      <c r="R2" s="364" t="s">
        <v>395</v>
      </c>
      <c r="S2" s="364" t="s">
        <v>396</v>
      </c>
      <c r="T2" s="364" t="s">
        <v>397</v>
      </c>
      <c r="U2" s="364" t="s">
        <v>398</v>
      </c>
      <c r="V2" s="240" t="s">
        <v>399</v>
      </c>
      <c r="W2" s="367" t="s">
        <v>46</v>
      </c>
      <c r="X2" s="364" t="s">
        <v>49</v>
      </c>
      <c r="Y2" s="368" t="s">
        <v>353</v>
      </c>
      <c r="Z2" s="240" t="s">
        <v>389</v>
      </c>
      <c r="AA2" s="369" t="s">
        <v>83</v>
      </c>
      <c r="AB2" s="369" t="s">
        <v>85</v>
      </c>
      <c r="AC2" s="777" t="s">
        <v>86</v>
      </c>
      <c r="AD2" s="777" t="s">
        <v>87</v>
      </c>
      <c r="AE2" s="777" t="s">
        <v>400</v>
      </c>
      <c r="AF2" s="777" t="s">
        <v>88</v>
      </c>
      <c r="AG2" s="777" t="s">
        <v>89</v>
      </c>
      <c r="AH2" s="777" t="s">
        <v>90</v>
      </c>
      <c r="AI2" s="370" t="s">
        <v>401</v>
      </c>
      <c r="AJ2" s="240" t="s">
        <v>402</v>
      </c>
    </row>
    <row r="3" spans="1:36" ht="15" thickTop="1" thickBot="1" x14ac:dyDescent="0.35">
      <c r="A3" s="234"/>
      <c r="B3" s="234"/>
      <c r="E3" s="235"/>
      <c r="F3" s="235" t="str">
        <f t="shared" ref="F3:F67" si="0">IF(M3,SUM(M3:P3,W3:X3),"-")</f>
        <v>-</v>
      </c>
      <c r="G3" s="235" t="str">
        <f t="shared" ref="G3:G67" si="1">IF(R3,SUM(R3:U3,W3:X3),"-")</f>
        <v>-</v>
      </c>
      <c r="H3" s="235"/>
      <c r="I3" s="236"/>
      <c r="J3" s="236"/>
      <c r="K3" s="241" t="str">
        <f ca="1">IF(Table1192[[#This Row],[VALID]],Table1192[[#This Row],[VALID]]-TODAY(),"-")</f>
        <v>-</v>
      </c>
      <c r="L3" s="244"/>
      <c r="M3" s="238"/>
      <c r="N3" s="237"/>
      <c r="O3" s="237"/>
      <c r="P3" s="237"/>
      <c r="Q3" s="250"/>
      <c r="R3" s="238"/>
      <c r="S3" s="237"/>
      <c r="T3" s="237"/>
      <c r="U3" s="237"/>
      <c r="V3" s="250"/>
      <c r="W3" s="239"/>
      <c r="X3" s="237"/>
      <c r="Y3" s="242"/>
      <c r="Z3" s="251"/>
      <c r="AA3" s="243"/>
      <c r="AB3" s="243"/>
      <c r="AC3" s="243"/>
      <c r="AD3" s="243"/>
      <c r="AE3" s="243"/>
      <c r="AF3" s="243"/>
      <c r="AG3" s="243"/>
      <c r="AH3" s="243"/>
      <c r="AI3" s="776"/>
      <c r="AJ3" s="251"/>
    </row>
    <row r="4" spans="1:36" ht="15" thickTop="1" thickBot="1" x14ac:dyDescent="0.35">
      <c r="A4" s="234"/>
      <c r="B4" s="234" t="s">
        <v>1224</v>
      </c>
      <c r="D4" s="234" t="s">
        <v>414</v>
      </c>
      <c r="E4" s="235"/>
      <c r="F4" s="235" t="str">
        <f t="shared" si="0"/>
        <v>-</v>
      </c>
      <c r="G4" s="235" t="str">
        <f t="shared" si="1"/>
        <v>-</v>
      </c>
      <c r="H4" s="235"/>
      <c r="I4" s="236"/>
      <c r="J4" s="236"/>
      <c r="K4" s="241" t="str">
        <f ca="1">IF(Table1192[[#This Row],[VALID]],Table1192[[#This Row],[VALID]]-TODAY(),"-")</f>
        <v>-</v>
      </c>
      <c r="L4" s="244"/>
      <c r="M4" s="238"/>
      <c r="N4" s="237"/>
      <c r="O4" s="237"/>
      <c r="P4" s="237"/>
      <c r="Q4" s="250"/>
      <c r="R4" s="238"/>
      <c r="S4" s="237"/>
      <c r="T4" s="237"/>
      <c r="U4" s="237"/>
      <c r="V4" s="250"/>
      <c r="W4" s="239"/>
      <c r="X4" s="237"/>
      <c r="Y4" s="242"/>
      <c r="Z4" s="251"/>
      <c r="AA4" s="243"/>
      <c r="AB4" s="243"/>
      <c r="AC4" s="243"/>
      <c r="AD4" s="243"/>
      <c r="AE4" s="243"/>
      <c r="AF4" s="243"/>
      <c r="AG4" s="243"/>
      <c r="AH4" s="243"/>
      <c r="AI4" s="776"/>
      <c r="AJ4" s="251"/>
    </row>
    <row r="5" spans="1:36" ht="15" thickTop="1" thickBot="1" x14ac:dyDescent="0.35">
      <c r="A5" s="234"/>
      <c r="B5" s="234" t="s">
        <v>1224</v>
      </c>
      <c r="D5" s="234" t="s">
        <v>417</v>
      </c>
      <c r="E5" s="235"/>
      <c r="F5" s="235" t="str">
        <f t="shared" si="0"/>
        <v>-</v>
      </c>
      <c r="G5" s="235" t="str">
        <f t="shared" si="1"/>
        <v>-</v>
      </c>
      <c r="H5" s="235"/>
      <c r="I5" s="236"/>
      <c r="J5" s="236"/>
      <c r="K5" s="241" t="str">
        <f ca="1">IF(Table1192[[#This Row],[VALID]],Table1192[[#This Row],[VALID]]-TODAY(),"-")</f>
        <v>-</v>
      </c>
      <c r="L5" s="244"/>
      <c r="M5" s="238"/>
      <c r="N5" s="237"/>
      <c r="O5" s="237"/>
      <c r="P5" s="237"/>
      <c r="Q5" s="250"/>
      <c r="R5" s="238"/>
      <c r="S5" s="237"/>
      <c r="T5" s="237"/>
      <c r="U5" s="237"/>
      <c r="V5" s="250"/>
      <c r="W5" s="239"/>
      <c r="X5" s="237"/>
      <c r="Y5" s="242"/>
      <c r="Z5" s="251"/>
      <c r="AA5" s="243"/>
      <c r="AB5" s="243"/>
      <c r="AC5" s="243"/>
      <c r="AD5" s="243"/>
      <c r="AE5" s="243"/>
      <c r="AF5" s="243"/>
      <c r="AG5" s="243"/>
      <c r="AH5" s="243"/>
      <c r="AI5" s="243"/>
      <c r="AJ5" s="251"/>
    </row>
    <row r="6" spans="1:36" ht="15" thickTop="1" thickBot="1" x14ac:dyDescent="0.35">
      <c r="A6" s="234"/>
      <c r="B6" s="234" t="s">
        <v>1224</v>
      </c>
      <c r="D6" s="234" t="s">
        <v>633</v>
      </c>
      <c r="E6" s="235"/>
      <c r="F6" s="235" t="str">
        <f t="shared" si="0"/>
        <v>-</v>
      </c>
      <c r="G6" s="235" t="str">
        <f t="shared" si="1"/>
        <v>-</v>
      </c>
      <c r="H6" s="235"/>
      <c r="I6" s="236"/>
      <c r="J6" s="236"/>
      <c r="K6" s="241" t="str">
        <f ca="1">IF(Table1192[[#This Row],[VALID]],Table1192[[#This Row],[VALID]]-TODAY(),"-")</f>
        <v>-</v>
      </c>
      <c r="L6" s="244"/>
      <c r="M6" s="238"/>
      <c r="N6" s="237"/>
      <c r="O6" s="237"/>
      <c r="P6" s="237"/>
      <c r="Q6" s="250"/>
      <c r="R6" s="238"/>
      <c r="S6" s="237"/>
      <c r="T6" s="237"/>
      <c r="U6" s="237"/>
      <c r="V6" s="250"/>
      <c r="W6" s="239"/>
      <c r="X6" s="237"/>
      <c r="Y6" s="242"/>
      <c r="Z6" s="251"/>
      <c r="AA6" s="243"/>
      <c r="AB6" s="243"/>
      <c r="AC6" s="243"/>
      <c r="AD6" s="243"/>
      <c r="AE6" s="243"/>
      <c r="AF6" s="243"/>
      <c r="AG6" s="243"/>
      <c r="AH6" s="243"/>
      <c r="AI6" s="243"/>
      <c r="AJ6" s="251"/>
    </row>
    <row r="7" spans="1:36" ht="15" thickTop="1" thickBot="1" x14ac:dyDescent="0.35">
      <c r="A7" s="234"/>
      <c r="B7" s="234" t="s">
        <v>1283</v>
      </c>
      <c r="D7" s="234" t="s">
        <v>578</v>
      </c>
      <c r="E7" s="235"/>
      <c r="F7" s="235" t="str">
        <f t="shared" si="0"/>
        <v>-</v>
      </c>
      <c r="G7" s="235" t="str">
        <f t="shared" si="1"/>
        <v>-</v>
      </c>
      <c r="H7" s="235"/>
      <c r="I7" s="236"/>
      <c r="J7" s="236"/>
      <c r="K7" s="241" t="str">
        <f ca="1">IF(Table1192[[#This Row],[VALID]],Table1192[[#This Row],[VALID]]-TODAY(),"-")</f>
        <v>-</v>
      </c>
      <c r="L7" s="244"/>
      <c r="M7" s="238"/>
      <c r="N7" s="237"/>
      <c r="O7" s="237"/>
      <c r="P7" s="237"/>
      <c r="Q7" s="250"/>
      <c r="R7" s="238"/>
      <c r="S7" s="237"/>
      <c r="T7" s="237"/>
      <c r="U7" s="237"/>
      <c r="V7" s="250"/>
      <c r="W7" s="239"/>
      <c r="X7" s="237"/>
      <c r="Y7" s="242"/>
      <c r="Z7" s="251"/>
      <c r="AA7" s="243"/>
      <c r="AB7" s="243"/>
      <c r="AC7" s="243"/>
      <c r="AD7" s="243"/>
      <c r="AE7" s="243"/>
      <c r="AF7" s="243"/>
      <c r="AG7" s="243"/>
      <c r="AH7" s="243"/>
      <c r="AI7" s="243"/>
      <c r="AJ7" s="251"/>
    </row>
    <row r="8" spans="1:36" ht="15" thickTop="1" thickBot="1" x14ac:dyDescent="0.35">
      <c r="A8" s="234"/>
      <c r="B8" s="234" t="s">
        <v>1283</v>
      </c>
      <c r="D8" s="234" t="s">
        <v>583</v>
      </c>
      <c r="E8" s="235"/>
      <c r="F8" s="235" t="str">
        <f t="shared" si="0"/>
        <v>-</v>
      </c>
      <c r="G8" s="235" t="str">
        <f t="shared" si="1"/>
        <v>-</v>
      </c>
      <c r="H8" s="235"/>
      <c r="I8" s="236"/>
      <c r="J8" s="236"/>
      <c r="K8" s="241" t="str">
        <f ca="1">IF(Table1192[[#This Row],[VALID]],Table1192[[#This Row],[VALID]]-TODAY(),"-")</f>
        <v>-</v>
      </c>
      <c r="L8" s="244"/>
      <c r="M8" s="238"/>
      <c r="N8" s="237"/>
      <c r="O8" s="237"/>
      <c r="P8" s="237"/>
      <c r="Q8" s="250"/>
      <c r="R8" s="238"/>
      <c r="S8" s="237"/>
      <c r="T8" s="237"/>
      <c r="U8" s="237"/>
      <c r="V8" s="250"/>
      <c r="W8" s="239"/>
      <c r="X8" s="237"/>
      <c r="Y8" s="242"/>
      <c r="Z8" s="251"/>
      <c r="AA8" s="243"/>
      <c r="AB8" s="243"/>
      <c r="AC8" s="243"/>
      <c r="AD8" s="243"/>
      <c r="AE8" s="243"/>
      <c r="AF8" s="243"/>
      <c r="AG8" s="243"/>
      <c r="AH8" s="243"/>
      <c r="AI8" s="243"/>
      <c r="AJ8" s="251"/>
    </row>
    <row r="9" spans="1:36" ht="15" thickTop="1" thickBot="1" x14ac:dyDescent="0.35">
      <c r="A9" s="234"/>
      <c r="B9" s="234" t="s">
        <v>1231</v>
      </c>
      <c r="D9" s="234" t="s">
        <v>424</v>
      </c>
      <c r="E9" s="235"/>
      <c r="F9" s="235" t="str">
        <f t="shared" si="0"/>
        <v>-</v>
      </c>
      <c r="G9" s="235" t="str">
        <f t="shared" si="1"/>
        <v>-</v>
      </c>
      <c r="H9" s="235"/>
      <c r="I9" s="236"/>
      <c r="J9" s="236"/>
      <c r="K9" s="241" t="str">
        <f ca="1">IF(Table1192[[#This Row],[VALID]],Table1192[[#This Row],[VALID]]-TODAY(),"-")</f>
        <v>-</v>
      </c>
      <c r="L9" s="244"/>
      <c r="M9" s="238"/>
      <c r="N9" s="237"/>
      <c r="O9" s="237"/>
      <c r="P9" s="237"/>
      <c r="Q9" s="250"/>
      <c r="R9" s="238"/>
      <c r="S9" s="237"/>
      <c r="T9" s="237"/>
      <c r="U9" s="237"/>
      <c r="V9" s="250"/>
      <c r="W9" s="239"/>
      <c r="X9" s="237"/>
      <c r="Y9" s="242"/>
      <c r="Z9" s="251"/>
      <c r="AA9" s="243"/>
      <c r="AB9" s="243"/>
      <c r="AC9" s="243"/>
      <c r="AD9" s="243"/>
      <c r="AE9" s="243"/>
      <c r="AF9" s="243"/>
      <c r="AG9" s="243"/>
      <c r="AH9" s="243"/>
      <c r="AI9" s="243"/>
      <c r="AJ9" s="251"/>
    </row>
    <row r="10" spans="1:36" ht="15" thickTop="1" thickBot="1" x14ac:dyDescent="0.35">
      <c r="A10" s="234"/>
      <c r="B10" s="234" t="s">
        <v>1231</v>
      </c>
      <c r="D10" s="234" t="s">
        <v>449</v>
      </c>
      <c r="E10" s="235"/>
      <c r="F10" s="235" t="str">
        <f t="shared" si="0"/>
        <v>-</v>
      </c>
      <c r="G10" s="235" t="str">
        <f t="shared" si="1"/>
        <v>-</v>
      </c>
      <c r="H10" s="235"/>
      <c r="I10" s="236"/>
      <c r="J10" s="236"/>
      <c r="K10" s="241" t="str">
        <f ca="1">IF(Table1192[[#This Row],[VALID]],Table1192[[#This Row],[VALID]]-TODAY(),"-")</f>
        <v>-</v>
      </c>
      <c r="L10" s="244"/>
      <c r="M10" s="238"/>
      <c r="N10" s="237"/>
      <c r="O10" s="237"/>
      <c r="P10" s="237"/>
      <c r="Q10" s="250"/>
      <c r="R10" s="238"/>
      <c r="S10" s="237"/>
      <c r="T10" s="237"/>
      <c r="U10" s="237"/>
      <c r="V10" s="250"/>
      <c r="W10" s="239"/>
      <c r="X10" s="237"/>
      <c r="Y10" s="242"/>
      <c r="Z10" s="251"/>
      <c r="AA10" s="243"/>
      <c r="AB10" s="243"/>
      <c r="AC10" s="243"/>
      <c r="AD10" s="243"/>
      <c r="AE10" s="243"/>
      <c r="AF10" s="243"/>
      <c r="AG10" s="243"/>
      <c r="AH10" s="243"/>
      <c r="AI10" s="243"/>
      <c r="AJ10" s="251"/>
    </row>
    <row r="11" spans="1:36" ht="15" thickTop="1" thickBot="1" x14ac:dyDescent="0.35">
      <c r="A11" s="234"/>
      <c r="B11" s="234" t="s">
        <v>1231</v>
      </c>
      <c r="D11" s="234" t="s">
        <v>658</v>
      </c>
      <c r="E11" s="235"/>
      <c r="F11" s="235" t="str">
        <f t="shared" si="0"/>
        <v>-</v>
      </c>
      <c r="G11" s="235" t="str">
        <f t="shared" si="1"/>
        <v>-</v>
      </c>
      <c r="H11" s="235"/>
      <c r="I11" s="236"/>
      <c r="J11" s="236"/>
      <c r="K11" s="241" t="str">
        <f ca="1">IF(Table1192[[#This Row],[VALID]],Table1192[[#This Row],[VALID]]-TODAY(),"-")</f>
        <v>-</v>
      </c>
      <c r="L11" s="244"/>
      <c r="M11" s="238"/>
      <c r="N11" s="237"/>
      <c r="O11" s="237"/>
      <c r="P11" s="237"/>
      <c r="Q11" s="250"/>
      <c r="R11" s="238"/>
      <c r="S11" s="237"/>
      <c r="T11" s="237"/>
      <c r="U11" s="237"/>
      <c r="V11" s="250"/>
      <c r="W11" s="239"/>
      <c r="X11" s="237"/>
      <c r="Y11" s="242"/>
      <c r="Z11" s="251"/>
      <c r="AA11" s="243"/>
      <c r="AB11" s="243"/>
      <c r="AC11" s="243"/>
      <c r="AD11" s="243"/>
      <c r="AE11" s="243"/>
      <c r="AF11" s="243"/>
      <c r="AG11" s="243"/>
      <c r="AH11" s="243"/>
      <c r="AI11" s="243"/>
      <c r="AJ11" s="251"/>
    </row>
    <row r="12" spans="1:36" ht="15" thickTop="1" thickBot="1" x14ac:dyDescent="0.35">
      <c r="A12" s="234"/>
      <c r="B12" s="234" t="s">
        <v>1231</v>
      </c>
      <c r="D12" s="234" t="s">
        <v>677</v>
      </c>
      <c r="E12" s="235"/>
      <c r="F12" s="235" t="str">
        <f t="shared" si="0"/>
        <v>-</v>
      </c>
      <c r="G12" s="235" t="str">
        <f t="shared" si="1"/>
        <v>-</v>
      </c>
      <c r="H12" s="235"/>
      <c r="I12" s="236"/>
      <c r="J12" s="236"/>
      <c r="K12" s="241" t="str">
        <f ca="1">IF(Table1192[[#This Row],[VALID]],Table1192[[#This Row],[VALID]]-TODAY(),"-")</f>
        <v>-</v>
      </c>
      <c r="L12" s="244"/>
      <c r="M12" s="238"/>
      <c r="N12" s="237"/>
      <c r="O12" s="237"/>
      <c r="P12" s="237"/>
      <c r="Q12" s="250"/>
      <c r="R12" s="238"/>
      <c r="S12" s="237"/>
      <c r="T12" s="237"/>
      <c r="U12" s="237"/>
      <c r="V12" s="250"/>
      <c r="W12" s="239"/>
      <c r="X12" s="237"/>
      <c r="Y12" s="242"/>
      <c r="Z12" s="251"/>
      <c r="AA12" s="243"/>
      <c r="AB12" s="243"/>
      <c r="AC12" s="243"/>
      <c r="AD12" s="243"/>
      <c r="AE12" s="243"/>
      <c r="AF12" s="243"/>
      <c r="AG12" s="243"/>
      <c r="AH12" s="243"/>
      <c r="AI12" s="243"/>
      <c r="AJ12" s="251"/>
    </row>
    <row r="13" spans="1:36" ht="15" thickTop="1" thickBot="1" x14ac:dyDescent="0.35">
      <c r="A13" s="234"/>
      <c r="B13" s="234" t="s">
        <v>1219</v>
      </c>
      <c r="D13" s="234" t="s">
        <v>406</v>
      </c>
      <c r="E13" s="235"/>
      <c r="F13" s="235" t="str">
        <f t="shared" si="0"/>
        <v>-</v>
      </c>
      <c r="G13" s="235" t="str">
        <f t="shared" si="1"/>
        <v>-</v>
      </c>
      <c r="H13" s="235"/>
      <c r="I13" s="236"/>
      <c r="J13" s="236"/>
      <c r="K13" s="241" t="str">
        <f ca="1">IF(Table1192[[#This Row],[VALID]],Table1192[[#This Row],[VALID]]-TODAY(),"-")</f>
        <v>-</v>
      </c>
      <c r="L13" s="244"/>
      <c r="M13" s="238"/>
      <c r="N13" s="237"/>
      <c r="O13" s="237"/>
      <c r="P13" s="237"/>
      <c r="Q13" s="250"/>
      <c r="R13" s="238"/>
      <c r="S13" s="237"/>
      <c r="T13" s="237"/>
      <c r="U13" s="237"/>
      <c r="V13" s="250"/>
      <c r="W13" s="239"/>
      <c r="X13" s="237"/>
      <c r="Y13" s="242"/>
      <c r="Z13" s="251"/>
      <c r="AA13" s="243"/>
      <c r="AB13" s="243"/>
      <c r="AC13" s="243"/>
      <c r="AD13" s="243"/>
      <c r="AE13" s="243"/>
      <c r="AF13" s="243"/>
      <c r="AG13" s="243"/>
      <c r="AH13" s="243"/>
      <c r="AI13" s="243"/>
      <c r="AJ13" s="251"/>
    </row>
    <row r="14" spans="1:36" ht="15" thickTop="1" thickBot="1" x14ac:dyDescent="0.35">
      <c r="A14" s="234"/>
      <c r="B14" s="234" t="s">
        <v>1219</v>
      </c>
      <c r="D14" s="234" t="s">
        <v>446</v>
      </c>
      <c r="E14" s="235"/>
      <c r="F14" s="235" t="str">
        <f t="shared" si="0"/>
        <v>-</v>
      </c>
      <c r="G14" s="235" t="str">
        <f t="shared" si="1"/>
        <v>-</v>
      </c>
      <c r="H14" s="235"/>
      <c r="I14" s="236"/>
      <c r="J14" s="236"/>
      <c r="K14" s="241" t="str">
        <f ca="1">IF(Table1192[[#This Row],[VALID]],Table1192[[#This Row],[VALID]]-TODAY(),"-")</f>
        <v>-</v>
      </c>
      <c r="L14" s="244"/>
      <c r="M14" s="238"/>
      <c r="N14" s="237"/>
      <c r="O14" s="237"/>
      <c r="P14" s="237"/>
      <c r="Q14" s="250"/>
      <c r="R14" s="238"/>
      <c r="S14" s="237"/>
      <c r="T14" s="237"/>
      <c r="U14" s="237"/>
      <c r="V14" s="250"/>
      <c r="W14" s="239"/>
      <c r="X14" s="237"/>
      <c r="Y14" s="242"/>
      <c r="Z14" s="251"/>
      <c r="AA14" s="243"/>
      <c r="AB14" s="243"/>
      <c r="AC14" s="243"/>
      <c r="AD14" s="243"/>
      <c r="AE14" s="243"/>
      <c r="AF14" s="243"/>
      <c r="AG14" s="243"/>
      <c r="AH14" s="243"/>
      <c r="AI14" s="243"/>
      <c r="AJ14" s="251"/>
    </row>
    <row r="15" spans="1:36" ht="15" thickTop="1" thickBot="1" x14ac:dyDescent="0.35">
      <c r="A15" s="234"/>
      <c r="B15" s="234" t="s">
        <v>1219</v>
      </c>
      <c r="D15" s="234" t="s">
        <v>493</v>
      </c>
      <c r="E15" s="235"/>
      <c r="F15" s="235" t="str">
        <f t="shared" si="0"/>
        <v>-</v>
      </c>
      <c r="G15" s="235" t="str">
        <f t="shared" si="1"/>
        <v>-</v>
      </c>
      <c r="H15" s="235"/>
      <c r="I15" s="236"/>
      <c r="J15" s="236"/>
      <c r="K15" s="241" t="str">
        <f ca="1">IF(Table1192[[#This Row],[VALID]],Table1192[[#This Row],[VALID]]-TODAY(),"-")</f>
        <v>-</v>
      </c>
      <c r="L15" s="244"/>
      <c r="M15" s="238"/>
      <c r="N15" s="237"/>
      <c r="O15" s="237"/>
      <c r="P15" s="237"/>
      <c r="Q15" s="250"/>
      <c r="R15" s="238"/>
      <c r="S15" s="237"/>
      <c r="T15" s="237"/>
      <c r="U15" s="237"/>
      <c r="V15" s="250"/>
      <c r="W15" s="239"/>
      <c r="X15" s="237"/>
      <c r="Y15" s="242"/>
      <c r="Z15" s="251"/>
      <c r="AA15" s="243"/>
      <c r="AB15" s="243"/>
      <c r="AC15" s="243"/>
      <c r="AD15" s="243"/>
      <c r="AE15" s="243"/>
      <c r="AF15" s="243"/>
      <c r="AG15" s="243"/>
      <c r="AH15" s="243"/>
      <c r="AI15" s="243"/>
      <c r="AJ15" s="251"/>
    </row>
    <row r="16" spans="1:36" ht="15" thickTop="1" thickBot="1" x14ac:dyDescent="0.35">
      <c r="A16" s="234"/>
      <c r="B16" s="234" t="s">
        <v>1219</v>
      </c>
      <c r="D16" s="234" t="s">
        <v>507</v>
      </c>
      <c r="E16" s="235"/>
      <c r="F16" s="235" t="str">
        <f t="shared" si="0"/>
        <v>-</v>
      </c>
      <c r="G16" s="235" t="str">
        <f t="shared" si="1"/>
        <v>-</v>
      </c>
      <c r="H16" s="235"/>
      <c r="I16" s="236"/>
      <c r="J16" s="236"/>
      <c r="K16" s="241" t="str">
        <f ca="1">IF(Table1192[[#This Row],[VALID]],Table1192[[#This Row],[VALID]]-TODAY(),"-")</f>
        <v>-</v>
      </c>
      <c r="L16" s="244"/>
      <c r="M16" s="238"/>
      <c r="N16" s="237"/>
      <c r="O16" s="237"/>
      <c r="P16" s="237"/>
      <c r="Q16" s="250"/>
      <c r="R16" s="238"/>
      <c r="S16" s="237"/>
      <c r="T16" s="237"/>
      <c r="U16" s="237"/>
      <c r="V16" s="250"/>
      <c r="W16" s="239"/>
      <c r="X16" s="237"/>
      <c r="Y16" s="242"/>
      <c r="Z16" s="251"/>
      <c r="AA16" s="243"/>
      <c r="AB16" s="243"/>
      <c r="AC16" s="243"/>
      <c r="AD16" s="243"/>
      <c r="AE16" s="243"/>
      <c r="AF16" s="243"/>
      <c r="AG16" s="243"/>
      <c r="AH16" s="243"/>
      <c r="AI16" s="243"/>
      <c r="AJ16" s="251"/>
    </row>
    <row r="17" spans="1:36" ht="15" thickTop="1" thickBot="1" x14ac:dyDescent="0.35">
      <c r="A17" s="234"/>
      <c r="B17" s="234" t="s">
        <v>1219</v>
      </c>
      <c r="D17" s="234" t="s">
        <v>600</v>
      </c>
      <c r="E17" s="235"/>
      <c r="F17" s="235" t="str">
        <f t="shared" si="0"/>
        <v>-</v>
      </c>
      <c r="G17" s="235" t="str">
        <f t="shared" si="1"/>
        <v>-</v>
      </c>
      <c r="H17" s="235"/>
      <c r="I17" s="236"/>
      <c r="J17" s="236"/>
      <c r="K17" s="241" t="str">
        <f ca="1">IF(Table1192[[#This Row],[VALID]],Table1192[[#This Row],[VALID]]-TODAY(),"-")</f>
        <v>-</v>
      </c>
      <c r="L17" s="244"/>
      <c r="M17" s="238"/>
      <c r="N17" s="237"/>
      <c r="O17" s="237"/>
      <c r="P17" s="237"/>
      <c r="Q17" s="250"/>
      <c r="R17" s="238"/>
      <c r="S17" s="237"/>
      <c r="T17" s="237"/>
      <c r="U17" s="237"/>
      <c r="V17" s="250"/>
      <c r="W17" s="239"/>
      <c r="X17" s="237"/>
      <c r="Y17" s="242"/>
      <c r="Z17" s="251"/>
      <c r="AA17" s="243"/>
      <c r="AB17" s="243"/>
      <c r="AC17" s="243"/>
      <c r="AD17" s="243"/>
      <c r="AE17" s="243"/>
      <c r="AF17" s="243"/>
      <c r="AG17" s="243"/>
      <c r="AH17" s="243"/>
      <c r="AI17" s="243"/>
      <c r="AJ17" s="251"/>
    </row>
    <row r="18" spans="1:36" ht="15" thickTop="1" thickBot="1" x14ac:dyDescent="0.35">
      <c r="A18" s="234"/>
      <c r="B18" s="234" t="s">
        <v>1219</v>
      </c>
      <c r="D18" s="234" t="s">
        <v>626</v>
      </c>
      <c r="E18" s="235"/>
      <c r="F18" s="235" t="str">
        <f t="shared" si="0"/>
        <v>-</v>
      </c>
      <c r="G18" s="235" t="str">
        <f t="shared" si="1"/>
        <v>-</v>
      </c>
      <c r="H18" s="235"/>
      <c r="I18" s="236"/>
      <c r="J18" s="236"/>
      <c r="K18" s="241" t="str">
        <f ca="1">IF(Table1192[[#This Row],[VALID]],Table1192[[#This Row],[VALID]]-TODAY(),"-")</f>
        <v>-</v>
      </c>
      <c r="L18" s="244"/>
      <c r="M18" s="238"/>
      <c r="N18" s="237"/>
      <c r="O18" s="237"/>
      <c r="P18" s="237"/>
      <c r="Q18" s="250"/>
      <c r="R18" s="238"/>
      <c r="S18" s="237"/>
      <c r="T18" s="237"/>
      <c r="U18" s="237"/>
      <c r="V18" s="250"/>
      <c r="W18" s="239"/>
      <c r="X18" s="237"/>
      <c r="Y18" s="242"/>
      <c r="Z18" s="251"/>
      <c r="AA18" s="243"/>
      <c r="AB18" s="243"/>
      <c r="AC18" s="243"/>
      <c r="AD18" s="243"/>
      <c r="AE18" s="243"/>
      <c r="AF18" s="243"/>
      <c r="AG18" s="243"/>
      <c r="AH18" s="243"/>
      <c r="AI18" s="776"/>
      <c r="AJ18" s="251"/>
    </row>
    <row r="19" spans="1:36" ht="15" thickTop="1" thickBot="1" x14ac:dyDescent="0.35">
      <c r="A19" s="234"/>
      <c r="B19" s="234" t="s">
        <v>1219</v>
      </c>
      <c r="D19" s="234" t="s">
        <v>650</v>
      </c>
      <c r="E19" s="235"/>
      <c r="F19" s="235" t="str">
        <f t="shared" si="0"/>
        <v>-</v>
      </c>
      <c r="G19" s="235" t="str">
        <f t="shared" si="1"/>
        <v>-</v>
      </c>
      <c r="H19" s="235"/>
      <c r="I19" s="236"/>
      <c r="J19" s="236"/>
      <c r="K19" s="241" t="str">
        <f ca="1">IF(Table1192[[#This Row],[VALID]],Table1192[[#This Row],[VALID]]-TODAY(),"-")</f>
        <v>-</v>
      </c>
      <c r="L19" s="244"/>
      <c r="M19" s="238"/>
      <c r="N19" s="237"/>
      <c r="O19" s="237"/>
      <c r="P19" s="237"/>
      <c r="Q19" s="250"/>
      <c r="R19" s="238"/>
      <c r="S19" s="237"/>
      <c r="T19" s="237"/>
      <c r="U19" s="237"/>
      <c r="V19" s="250"/>
      <c r="W19" s="239"/>
      <c r="X19" s="237"/>
      <c r="Y19" s="242"/>
      <c r="Z19" s="251"/>
      <c r="AA19" s="243"/>
      <c r="AB19" s="243"/>
      <c r="AC19" s="243"/>
      <c r="AD19" s="243"/>
      <c r="AE19" s="243"/>
      <c r="AF19" s="243"/>
      <c r="AG19" s="243"/>
      <c r="AH19" s="243"/>
      <c r="AI19" s="243"/>
      <c r="AJ19" s="251"/>
    </row>
    <row r="20" spans="1:36" ht="15" thickTop="1" thickBot="1" x14ac:dyDescent="0.35">
      <c r="A20" s="234"/>
      <c r="B20" s="234" t="s">
        <v>1219</v>
      </c>
      <c r="D20" s="234" t="s">
        <v>717</v>
      </c>
      <c r="E20" s="235"/>
      <c r="F20" s="235" t="str">
        <f t="shared" si="0"/>
        <v>-</v>
      </c>
      <c r="G20" s="235" t="str">
        <f t="shared" si="1"/>
        <v>-</v>
      </c>
      <c r="H20" s="235"/>
      <c r="I20" s="236"/>
      <c r="J20" s="236"/>
      <c r="K20" s="241" t="str">
        <f ca="1">IF(Table1192[[#This Row],[VALID]],Table1192[[#This Row],[VALID]]-TODAY(),"-")</f>
        <v>-</v>
      </c>
      <c r="L20" s="244"/>
      <c r="M20" s="238"/>
      <c r="N20" s="237"/>
      <c r="O20" s="237"/>
      <c r="P20" s="237"/>
      <c r="Q20" s="250"/>
      <c r="R20" s="238"/>
      <c r="S20" s="237"/>
      <c r="T20" s="237"/>
      <c r="U20" s="237"/>
      <c r="V20" s="250"/>
      <c r="W20" s="239"/>
      <c r="X20" s="237"/>
      <c r="Y20" s="242"/>
      <c r="Z20" s="251"/>
      <c r="AA20" s="243"/>
      <c r="AB20" s="243"/>
      <c r="AC20" s="243"/>
      <c r="AD20" s="243"/>
      <c r="AE20" s="243"/>
      <c r="AF20" s="243"/>
      <c r="AG20" s="243"/>
      <c r="AH20" s="243"/>
      <c r="AI20" s="243"/>
      <c r="AJ20" s="251"/>
    </row>
    <row r="21" spans="1:36" ht="15" thickTop="1" thickBot="1" x14ac:dyDescent="0.35">
      <c r="A21" s="234"/>
      <c r="B21" s="234" t="s">
        <v>1299</v>
      </c>
      <c r="D21" s="234" t="s">
        <v>744</v>
      </c>
      <c r="E21" s="235"/>
      <c r="F21" s="235" t="str">
        <f t="shared" si="0"/>
        <v>-</v>
      </c>
      <c r="G21" s="235" t="str">
        <f t="shared" si="1"/>
        <v>-</v>
      </c>
      <c r="H21" s="235"/>
      <c r="I21" s="236"/>
      <c r="J21" s="236"/>
      <c r="K21" s="241" t="str">
        <f ca="1">IF(Table1192[[#This Row],[VALID]],Table1192[[#This Row],[VALID]]-TODAY(),"-")</f>
        <v>-</v>
      </c>
      <c r="L21" s="244"/>
      <c r="M21" s="238"/>
      <c r="N21" s="237"/>
      <c r="O21" s="237"/>
      <c r="P21" s="237"/>
      <c r="Q21" s="250"/>
      <c r="R21" s="238"/>
      <c r="S21" s="237"/>
      <c r="T21" s="237"/>
      <c r="U21" s="237"/>
      <c r="V21" s="250"/>
      <c r="W21" s="239"/>
      <c r="X21" s="237"/>
      <c r="Y21" s="242"/>
      <c r="Z21" s="251"/>
      <c r="AA21" s="243"/>
      <c r="AB21" s="243"/>
      <c r="AC21" s="243"/>
      <c r="AD21" s="243"/>
      <c r="AE21" s="243"/>
      <c r="AF21" s="243"/>
      <c r="AG21" s="243"/>
      <c r="AH21" s="243"/>
      <c r="AI21" s="243"/>
      <c r="AJ21" s="251"/>
    </row>
    <row r="22" spans="1:36" ht="15" thickTop="1" thickBot="1" x14ac:dyDescent="0.35">
      <c r="A22" s="234"/>
      <c r="B22" s="234" t="s">
        <v>1232</v>
      </c>
      <c r="D22" s="234" t="s">
        <v>425</v>
      </c>
      <c r="E22" s="235"/>
      <c r="F22" s="235" t="str">
        <f t="shared" si="0"/>
        <v>-</v>
      </c>
      <c r="G22" s="235" t="str">
        <f t="shared" si="1"/>
        <v>-</v>
      </c>
      <c r="H22" s="235"/>
      <c r="I22" s="236"/>
      <c r="J22" s="236"/>
      <c r="K22" s="241" t="str">
        <f ca="1">IF(Table1192[[#This Row],[VALID]],Table1192[[#This Row],[VALID]]-TODAY(),"-")</f>
        <v>-</v>
      </c>
      <c r="L22" s="244"/>
      <c r="M22" s="238"/>
      <c r="N22" s="237"/>
      <c r="O22" s="237"/>
      <c r="P22" s="237"/>
      <c r="Q22" s="250"/>
      <c r="R22" s="238"/>
      <c r="S22" s="237"/>
      <c r="T22" s="237"/>
      <c r="U22" s="237"/>
      <c r="V22" s="250"/>
      <c r="W22" s="239"/>
      <c r="X22" s="237"/>
      <c r="Y22" s="242"/>
      <c r="Z22" s="251"/>
      <c r="AA22" s="243"/>
      <c r="AB22" s="243"/>
      <c r="AC22" s="243"/>
      <c r="AD22" s="243"/>
      <c r="AE22" s="243"/>
      <c r="AF22" s="243"/>
      <c r="AG22" s="243"/>
      <c r="AH22" s="243"/>
      <c r="AI22" s="243"/>
      <c r="AJ22" s="251"/>
    </row>
    <row r="23" spans="1:36" ht="15" thickTop="1" thickBot="1" x14ac:dyDescent="0.35">
      <c r="A23" s="234"/>
      <c r="B23" s="234" t="s">
        <v>1249</v>
      </c>
      <c r="D23" s="234" t="s">
        <v>463</v>
      </c>
      <c r="E23" s="235"/>
      <c r="F23" s="235" t="str">
        <f t="shared" si="0"/>
        <v>-</v>
      </c>
      <c r="G23" s="235" t="str">
        <f t="shared" si="1"/>
        <v>-</v>
      </c>
      <c r="H23" s="235"/>
      <c r="I23" s="236"/>
      <c r="J23" s="236"/>
      <c r="K23" s="241" t="str">
        <f ca="1">IF(Table1192[[#This Row],[VALID]],Table1192[[#This Row],[VALID]]-TODAY(),"-")</f>
        <v>-</v>
      </c>
      <c r="L23" s="244"/>
      <c r="M23" s="238"/>
      <c r="N23" s="237"/>
      <c r="O23" s="237"/>
      <c r="P23" s="237"/>
      <c r="Q23" s="250"/>
      <c r="R23" s="238"/>
      <c r="S23" s="237"/>
      <c r="T23" s="237"/>
      <c r="U23" s="237"/>
      <c r="V23" s="250"/>
      <c r="W23" s="239"/>
      <c r="X23" s="237"/>
      <c r="Y23" s="242"/>
      <c r="Z23" s="251"/>
      <c r="AA23" s="243"/>
      <c r="AB23" s="243"/>
      <c r="AC23" s="243"/>
      <c r="AD23" s="243"/>
      <c r="AE23" s="243"/>
      <c r="AF23" s="243"/>
      <c r="AG23" s="243"/>
      <c r="AH23" s="243"/>
      <c r="AI23" s="243"/>
      <c r="AJ23" s="251"/>
    </row>
    <row r="24" spans="1:36" ht="15" thickTop="1" thickBot="1" x14ac:dyDescent="0.35">
      <c r="A24" s="234"/>
      <c r="B24" s="234" t="s">
        <v>1249</v>
      </c>
      <c r="D24" s="234" t="s">
        <v>533</v>
      </c>
      <c r="E24" s="235"/>
      <c r="F24" s="235" t="str">
        <f t="shared" si="0"/>
        <v>-</v>
      </c>
      <c r="G24" s="235" t="str">
        <f t="shared" si="1"/>
        <v>-</v>
      </c>
      <c r="H24" s="235"/>
      <c r="I24" s="236"/>
      <c r="J24" s="236"/>
      <c r="K24" s="241" t="str">
        <f ca="1">IF(Table1192[[#This Row],[VALID]],Table1192[[#This Row],[VALID]]-TODAY(),"-")</f>
        <v>-</v>
      </c>
      <c r="L24" s="244"/>
      <c r="M24" s="238"/>
      <c r="N24" s="237"/>
      <c r="O24" s="237"/>
      <c r="P24" s="237"/>
      <c r="Q24" s="250"/>
      <c r="R24" s="238"/>
      <c r="S24" s="237"/>
      <c r="T24" s="237"/>
      <c r="U24" s="237"/>
      <c r="V24" s="250"/>
      <c r="W24" s="239"/>
      <c r="X24" s="237"/>
      <c r="Y24" s="242"/>
      <c r="Z24" s="251"/>
      <c r="AA24" s="243"/>
      <c r="AB24" s="243"/>
      <c r="AC24" s="243"/>
      <c r="AD24" s="243"/>
      <c r="AE24" s="243"/>
      <c r="AF24" s="243"/>
      <c r="AG24" s="243"/>
      <c r="AH24" s="243"/>
      <c r="AI24" s="243"/>
      <c r="AJ24" s="251"/>
    </row>
    <row r="25" spans="1:36" ht="15" thickTop="1" thickBot="1" x14ac:dyDescent="0.35">
      <c r="A25" s="234"/>
      <c r="B25" s="234" t="s">
        <v>1226</v>
      </c>
      <c r="D25" s="234" t="s">
        <v>418</v>
      </c>
      <c r="E25" s="235"/>
      <c r="F25" s="235" t="str">
        <f t="shared" si="0"/>
        <v>-</v>
      </c>
      <c r="G25" s="235" t="str">
        <f t="shared" si="1"/>
        <v>-</v>
      </c>
      <c r="H25" s="235"/>
      <c r="I25" s="236"/>
      <c r="J25" s="236"/>
      <c r="K25" s="241" t="str">
        <f ca="1">IF(Table1192[[#This Row],[VALID]],Table1192[[#This Row],[VALID]]-TODAY(),"-")</f>
        <v>-</v>
      </c>
      <c r="L25" s="244"/>
      <c r="M25" s="238"/>
      <c r="N25" s="237"/>
      <c r="O25" s="237"/>
      <c r="P25" s="237"/>
      <c r="Q25" s="250"/>
      <c r="R25" s="238"/>
      <c r="S25" s="237"/>
      <c r="T25" s="237"/>
      <c r="U25" s="237"/>
      <c r="V25" s="250"/>
      <c r="W25" s="239"/>
      <c r="X25" s="237"/>
      <c r="Y25" s="242"/>
      <c r="Z25" s="251"/>
      <c r="AA25" s="243"/>
      <c r="AB25" s="243"/>
      <c r="AC25" s="243"/>
      <c r="AD25" s="243"/>
      <c r="AE25" s="243"/>
      <c r="AF25" s="243"/>
      <c r="AG25" s="243"/>
      <c r="AH25" s="243"/>
      <c r="AI25" s="243"/>
      <c r="AJ25" s="251"/>
    </row>
    <row r="26" spans="1:36" ht="15" thickTop="1" thickBot="1" x14ac:dyDescent="0.35">
      <c r="A26" s="234"/>
      <c r="B26" s="234" t="s">
        <v>1290</v>
      </c>
      <c r="D26" s="234" t="s">
        <v>1203</v>
      </c>
      <c r="E26" s="235"/>
      <c r="F26" s="235" t="str">
        <f t="shared" si="0"/>
        <v>-</v>
      </c>
      <c r="G26" s="235" t="str">
        <f t="shared" si="1"/>
        <v>-</v>
      </c>
      <c r="H26" s="235"/>
      <c r="I26" s="236"/>
      <c r="J26" s="236"/>
      <c r="K26" s="241" t="str">
        <f ca="1">IF(Table1192[[#This Row],[VALID]],Table1192[[#This Row],[VALID]]-TODAY(),"-")</f>
        <v>-</v>
      </c>
      <c r="L26" s="244"/>
      <c r="M26" s="238"/>
      <c r="N26" s="237"/>
      <c r="O26" s="237"/>
      <c r="P26" s="237"/>
      <c r="Q26" s="250"/>
      <c r="R26" s="238"/>
      <c r="S26" s="237"/>
      <c r="T26" s="237"/>
      <c r="U26" s="237"/>
      <c r="V26" s="250"/>
      <c r="W26" s="239"/>
      <c r="X26" s="237"/>
      <c r="Y26" s="242"/>
      <c r="Z26" s="251"/>
      <c r="AA26" s="243"/>
      <c r="AB26" s="243"/>
      <c r="AC26" s="243"/>
      <c r="AD26" s="243"/>
      <c r="AE26" s="243"/>
      <c r="AF26" s="243"/>
      <c r="AG26" s="243"/>
      <c r="AH26" s="243"/>
      <c r="AI26" s="243"/>
      <c r="AJ26" s="251"/>
    </row>
    <row r="27" spans="1:36" ht="15" thickTop="1" thickBot="1" x14ac:dyDescent="0.35">
      <c r="A27" s="234"/>
      <c r="B27" s="234" t="s">
        <v>1254</v>
      </c>
      <c r="D27" s="234" t="s">
        <v>472</v>
      </c>
      <c r="E27" s="235"/>
      <c r="F27" s="235" t="str">
        <f t="shared" si="0"/>
        <v>-</v>
      </c>
      <c r="G27" s="235" t="str">
        <f t="shared" si="1"/>
        <v>-</v>
      </c>
      <c r="H27" s="235"/>
      <c r="I27" s="236"/>
      <c r="J27" s="236"/>
      <c r="K27" s="241" t="str">
        <f ca="1">IF(Table1192[[#This Row],[VALID]],Table1192[[#This Row],[VALID]]-TODAY(),"-")</f>
        <v>-</v>
      </c>
      <c r="L27" s="244"/>
      <c r="M27" s="238"/>
      <c r="N27" s="237"/>
      <c r="O27" s="237"/>
      <c r="P27" s="237"/>
      <c r="Q27" s="250"/>
      <c r="R27" s="238"/>
      <c r="S27" s="237"/>
      <c r="T27" s="237"/>
      <c r="U27" s="237"/>
      <c r="V27" s="250"/>
      <c r="W27" s="239"/>
      <c r="X27" s="237"/>
      <c r="Y27" s="242"/>
      <c r="Z27" s="251"/>
      <c r="AA27" s="243"/>
      <c r="AB27" s="243"/>
      <c r="AC27" s="243"/>
      <c r="AD27" s="243"/>
      <c r="AE27" s="243"/>
      <c r="AF27" s="243"/>
      <c r="AG27" s="243"/>
      <c r="AH27" s="243"/>
      <c r="AI27" s="243"/>
      <c r="AJ27" s="251"/>
    </row>
    <row r="28" spans="1:36" ht="15" thickTop="1" thickBot="1" x14ac:dyDescent="0.35">
      <c r="A28" s="234"/>
      <c r="B28" s="234" t="s">
        <v>1259</v>
      </c>
      <c r="D28" s="234" t="s">
        <v>490</v>
      </c>
      <c r="E28" s="235"/>
      <c r="F28" s="235" t="str">
        <f t="shared" si="0"/>
        <v>-</v>
      </c>
      <c r="G28" s="235" t="str">
        <f t="shared" si="1"/>
        <v>-</v>
      </c>
      <c r="H28" s="235"/>
      <c r="I28" s="236"/>
      <c r="J28" s="236"/>
      <c r="K28" s="241" t="str">
        <f ca="1">IF(Table1192[[#This Row],[VALID]],Table1192[[#This Row],[VALID]]-TODAY(),"-")</f>
        <v>-</v>
      </c>
      <c r="L28" s="244"/>
      <c r="M28" s="238"/>
      <c r="N28" s="237"/>
      <c r="O28" s="237"/>
      <c r="P28" s="237"/>
      <c r="Q28" s="250"/>
      <c r="R28" s="238"/>
      <c r="S28" s="237"/>
      <c r="T28" s="237"/>
      <c r="U28" s="237"/>
      <c r="V28" s="250"/>
      <c r="W28" s="239"/>
      <c r="X28" s="237"/>
      <c r="Y28" s="242"/>
      <c r="Z28" s="251"/>
      <c r="AA28" s="243"/>
      <c r="AB28" s="243"/>
      <c r="AC28" s="243"/>
      <c r="AD28" s="243"/>
      <c r="AE28" s="243"/>
      <c r="AF28" s="243"/>
      <c r="AG28" s="243"/>
      <c r="AH28" s="243"/>
      <c r="AI28" s="243"/>
      <c r="AJ28" s="251"/>
    </row>
    <row r="29" spans="1:36" ht="15" thickTop="1" thickBot="1" x14ac:dyDescent="0.35">
      <c r="A29" s="234"/>
      <c r="B29" s="234" t="s">
        <v>1259</v>
      </c>
      <c r="D29" s="234" t="s">
        <v>541</v>
      </c>
      <c r="E29" s="235"/>
      <c r="F29" s="235" t="str">
        <f t="shared" si="0"/>
        <v>-</v>
      </c>
      <c r="G29" s="235" t="str">
        <f t="shared" si="1"/>
        <v>-</v>
      </c>
      <c r="H29" s="235"/>
      <c r="I29" s="236"/>
      <c r="J29" s="236"/>
      <c r="K29" s="241" t="str">
        <f ca="1">IF(Table1192[[#This Row],[VALID]],Table1192[[#This Row],[VALID]]-TODAY(),"-")</f>
        <v>-</v>
      </c>
      <c r="L29" s="244"/>
      <c r="M29" s="238"/>
      <c r="N29" s="237"/>
      <c r="O29" s="237"/>
      <c r="P29" s="237"/>
      <c r="Q29" s="250"/>
      <c r="R29" s="238"/>
      <c r="S29" s="237"/>
      <c r="T29" s="237"/>
      <c r="U29" s="237"/>
      <c r="V29" s="250"/>
      <c r="W29" s="239"/>
      <c r="X29" s="237"/>
      <c r="Y29" s="242"/>
      <c r="Z29" s="251"/>
      <c r="AA29" s="243"/>
      <c r="AB29" s="243"/>
      <c r="AC29" s="243"/>
      <c r="AD29" s="243"/>
      <c r="AE29" s="243"/>
      <c r="AF29" s="243"/>
      <c r="AG29" s="243"/>
      <c r="AH29" s="243"/>
      <c r="AI29" s="243"/>
      <c r="AJ29" s="251"/>
    </row>
    <row r="30" spans="1:36" ht="15" thickTop="1" thickBot="1" x14ac:dyDescent="0.35">
      <c r="A30" s="234"/>
      <c r="B30" s="234" t="s">
        <v>1259</v>
      </c>
      <c r="D30" s="234" t="s">
        <v>1361</v>
      </c>
      <c r="E30" s="235"/>
      <c r="F30" s="235" t="str">
        <f t="shared" ref="F30" si="2">IF(M30,SUM(M30:P30,W30:X30),"-")</f>
        <v>-</v>
      </c>
      <c r="G30" s="235" t="str">
        <f t="shared" ref="G30" si="3">IF(R30,SUM(R30:U30,W30:X30),"-")</f>
        <v>-</v>
      </c>
      <c r="H30" s="235"/>
      <c r="I30" s="236"/>
      <c r="J30" s="236"/>
      <c r="K30" s="241" t="str">
        <f ca="1">IF(Table1192[[#This Row],[VALID]],Table1192[[#This Row],[VALID]]-TODAY(),"-")</f>
        <v>-</v>
      </c>
      <c r="L30" s="244"/>
      <c r="M30" s="238"/>
      <c r="N30" s="237"/>
      <c r="O30" s="237"/>
      <c r="P30" s="237"/>
      <c r="Q30" s="250"/>
      <c r="R30" s="238"/>
      <c r="S30" s="237"/>
      <c r="T30" s="237"/>
      <c r="U30" s="237"/>
      <c r="V30" s="250"/>
      <c r="W30" s="239"/>
      <c r="X30" s="237"/>
      <c r="Y30" s="242"/>
      <c r="Z30" s="251"/>
      <c r="AA30" s="243"/>
      <c r="AB30" s="243"/>
      <c r="AC30" s="243"/>
      <c r="AD30" s="243"/>
      <c r="AE30" s="243"/>
      <c r="AF30" s="243"/>
      <c r="AG30" s="243"/>
      <c r="AH30" s="243"/>
      <c r="AI30" s="243"/>
      <c r="AJ30" s="251"/>
    </row>
    <row r="31" spans="1:36" ht="15" thickTop="1" thickBot="1" x14ac:dyDescent="0.35">
      <c r="A31" s="234"/>
      <c r="B31" s="234" t="s">
        <v>1259</v>
      </c>
      <c r="D31" s="234" t="s">
        <v>623</v>
      </c>
      <c r="E31" s="235"/>
      <c r="F31" s="235" t="str">
        <f t="shared" si="0"/>
        <v>-</v>
      </c>
      <c r="G31" s="235" t="str">
        <f t="shared" si="1"/>
        <v>-</v>
      </c>
      <c r="H31" s="235"/>
      <c r="I31" s="236"/>
      <c r="J31" s="236"/>
      <c r="K31" s="241" t="str">
        <f ca="1">IF(Table1192[[#This Row],[VALID]],Table1192[[#This Row],[VALID]]-TODAY(),"-")</f>
        <v>-</v>
      </c>
      <c r="L31" s="244"/>
      <c r="M31" s="238"/>
      <c r="N31" s="237"/>
      <c r="O31" s="237"/>
      <c r="P31" s="237"/>
      <c r="Q31" s="250"/>
      <c r="R31" s="238"/>
      <c r="S31" s="237"/>
      <c r="T31" s="237"/>
      <c r="U31" s="237"/>
      <c r="V31" s="250"/>
      <c r="W31" s="239"/>
      <c r="X31" s="237"/>
      <c r="Y31" s="242"/>
      <c r="Z31" s="251"/>
      <c r="AA31" s="243"/>
      <c r="AB31" s="243"/>
      <c r="AC31" s="243"/>
      <c r="AD31" s="243"/>
      <c r="AE31" s="243"/>
      <c r="AF31" s="243"/>
      <c r="AG31" s="243"/>
      <c r="AH31" s="243"/>
      <c r="AI31" s="243"/>
      <c r="AJ31" s="251"/>
    </row>
    <row r="32" spans="1:36" ht="15" thickTop="1" thickBot="1" x14ac:dyDescent="0.35">
      <c r="A32" s="234"/>
      <c r="B32" s="234" t="s">
        <v>1259</v>
      </c>
      <c r="D32" s="234" t="s">
        <v>638</v>
      </c>
      <c r="E32" s="235"/>
      <c r="F32" s="235" t="str">
        <f t="shared" si="0"/>
        <v>-</v>
      </c>
      <c r="G32" s="235" t="str">
        <f t="shared" si="1"/>
        <v>-</v>
      </c>
      <c r="H32" s="235"/>
      <c r="I32" s="236"/>
      <c r="J32" s="236"/>
      <c r="K32" s="241" t="str">
        <f ca="1">IF(Table1192[[#This Row],[VALID]],Table1192[[#This Row],[VALID]]-TODAY(),"-")</f>
        <v>-</v>
      </c>
      <c r="L32" s="244"/>
      <c r="M32" s="238"/>
      <c r="N32" s="237"/>
      <c r="O32" s="237"/>
      <c r="P32" s="237"/>
      <c r="Q32" s="250"/>
      <c r="R32" s="238"/>
      <c r="S32" s="237"/>
      <c r="T32" s="237"/>
      <c r="U32" s="237"/>
      <c r="V32" s="250"/>
      <c r="W32" s="239"/>
      <c r="X32" s="237"/>
      <c r="Y32" s="242"/>
      <c r="Z32" s="251"/>
      <c r="AA32" s="243"/>
      <c r="AB32" s="243"/>
      <c r="AC32" s="243"/>
      <c r="AD32" s="243"/>
      <c r="AE32" s="243"/>
      <c r="AF32" s="243"/>
      <c r="AG32" s="243"/>
      <c r="AH32" s="243"/>
      <c r="AI32" s="243"/>
      <c r="AJ32" s="251"/>
    </row>
    <row r="33" spans="1:36" ht="15" thickTop="1" thickBot="1" x14ac:dyDescent="0.35">
      <c r="A33" s="234"/>
      <c r="B33" s="234" t="s">
        <v>1259</v>
      </c>
      <c r="D33" s="234" t="s">
        <v>640</v>
      </c>
      <c r="E33" s="235"/>
      <c r="F33" s="235" t="str">
        <f t="shared" si="0"/>
        <v>-</v>
      </c>
      <c r="G33" s="235" t="str">
        <f t="shared" si="1"/>
        <v>-</v>
      </c>
      <c r="H33" s="235"/>
      <c r="I33" s="236"/>
      <c r="J33" s="236"/>
      <c r="K33" s="241" t="str">
        <f ca="1">IF(Table1192[[#This Row],[VALID]],Table1192[[#This Row],[VALID]]-TODAY(),"-")</f>
        <v>-</v>
      </c>
      <c r="L33" s="244"/>
      <c r="M33" s="238"/>
      <c r="N33" s="237"/>
      <c r="O33" s="237"/>
      <c r="P33" s="237"/>
      <c r="Q33" s="250"/>
      <c r="R33" s="238"/>
      <c r="S33" s="237"/>
      <c r="T33" s="237"/>
      <c r="U33" s="237"/>
      <c r="V33" s="250"/>
      <c r="W33" s="239"/>
      <c r="X33" s="237"/>
      <c r="Y33" s="242"/>
      <c r="Z33" s="251"/>
      <c r="AA33" s="243"/>
      <c r="AB33" s="243"/>
      <c r="AC33" s="243"/>
      <c r="AD33" s="243"/>
      <c r="AE33" s="243"/>
      <c r="AF33" s="243"/>
      <c r="AG33" s="243"/>
      <c r="AH33" s="243"/>
      <c r="AI33" s="243"/>
      <c r="AJ33" s="251"/>
    </row>
    <row r="34" spans="1:36" ht="15" thickTop="1" thickBot="1" x14ac:dyDescent="0.35">
      <c r="A34" s="234"/>
      <c r="B34" s="234" t="s">
        <v>1259</v>
      </c>
      <c r="D34" s="234" t="s">
        <v>675</v>
      </c>
      <c r="E34" s="235"/>
      <c r="F34" s="235" t="str">
        <f t="shared" si="0"/>
        <v>-</v>
      </c>
      <c r="G34" s="235" t="str">
        <f t="shared" si="1"/>
        <v>-</v>
      </c>
      <c r="H34" s="235"/>
      <c r="I34" s="236"/>
      <c r="J34" s="236"/>
      <c r="K34" s="241" t="str">
        <f ca="1">IF(Table1192[[#This Row],[VALID]],Table1192[[#This Row],[VALID]]-TODAY(),"-")</f>
        <v>-</v>
      </c>
      <c r="L34" s="244"/>
      <c r="M34" s="238"/>
      <c r="N34" s="237"/>
      <c r="O34" s="237"/>
      <c r="P34" s="237"/>
      <c r="Q34" s="250"/>
      <c r="R34" s="238"/>
      <c r="S34" s="237"/>
      <c r="T34" s="237"/>
      <c r="U34" s="237"/>
      <c r="V34" s="250"/>
      <c r="W34" s="239"/>
      <c r="X34" s="237"/>
      <c r="Y34" s="242"/>
      <c r="Z34" s="251"/>
      <c r="AA34" s="243"/>
      <c r="AB34" s="243"/>
      <c r="AC34" s="243"/>
      <c r="AD34" s="243"/>
      <c r="AE34" s="243"/>
      <c r="AF34" s="243"/>
      <c r="AG34" s="243"/>
      <c r="AH34" s="243"/>
      <c r="AI34" s="243"/>
      <c r="AJ34" s="251"/>
    </row>
    <row r="35" spans="1:36" ht="15" thickTop="1" thickBot="1" x14ac:dyDescent="0.35">
      <c r="A35" s="234"/>
      <c r="B35" s="234" t="s">
        <v>1259</v>
      </c>
      <c r="D35" s="234" t="s">
        <v>689</v>
      </c>
      <c r="E35" s="235"/>
      <c r="F35" s="235" t="str">
        <f t="shared" si="0"/>
        <v>-</v>
      </c>
      <c r="G35" s="235" t="str">
        <f t="shared" si="1"/>
        <v>-</v>
      </c>
      <c r="H35" s="235"/>
      <c r="I35" s="236"/>
      <c r="J35" s="236"/>
      <c r="K35" s="241" t="str">
        <f ca="1">IF(Table1192[[#This Row],[VALID]],Table1192[[#This Row],[VALID]]-TODAY(),"-")</f>
        <v>-</v>
      </c>
      <c r="L35" s="244"/>
      <c r="M35" s="238"/>
      <c r="N35" s="237"/>
      <c r="O35" s="237"/>
      <c r="P35" s="237"/>
      <c r="Q35" s="250"/>
      <c r="R35" s="238"/>
      <c r="S35" s="237"/>
      <c r="T35" s="237"/>
      <c r="U35" s="237"/>
      <c r="V35" s="250"/>
      <c r="W35" s="239"/>
      <c r="X35" s="237"/>
      <c r="Y35" s="242"/>
      <c r="Z35" s="251"/>
      <c r="AA35" s="243"/>
      <c r="AB35" s="243"/>
      <c r="AC35" s="243"/>
      <c r="AD35" s="243"/>
      <c r="AE35" s="243"/>
      <c r="AF35" s="243"/>
      <c r="AG35" s="243"/>
      <c r="AH35" s="243"/>
      <c r="AI35" s="243"/>
      <c r="AJ35" s="251"/>
    </row>
    <row r="36" spans="1:36" ht="15" thickTop="1" thickBot="1" x14ac:dyDescent="0.35">
      <c r="A36" s="234"/>
      <c r="B36" s="234" t="s">
        <v>1259</v>
      </c>
      <c r="D36" s="234" t="s">
        <v>714</v>
      </c>
      <c r="E36" s="235"/>
      <c r="F36" s="235" t="str">
        <f t="shared" si="0"/>
        <v>-</v>
      </c>
      <c r="G36" s="235" t="str">
        <f t="shared" si="1"/>
        <v>-</v>
      </c>
      <c r="H36" s="235"/>
      <c r="I36" s="236"/>
      <c r="J36" s="236"/>
      <c r="K36" s="241" t="str">
        <f ca="1">IF(Table1192[[#This Row],[VALID]],Table1192[[#This Row],[VALID]]-TODAY(),"-")</f>
        <v>-</v>
      </c>
      <c r="L36" s="244"/>
      <c r="M36" s="238"/>
      <c r="N36" s="237"/>
      <c r="O36" s="237"/>
      <c r="P36" s="237"/>
      <c r="Q36" s="250"/>
      <c r="R36" s="238"/>
      <c r="S36" s="237"/>
      <c r="T36" s="237"/>
      <c r="U36" s="237"/>
      <c r="V36" s="250"/>
      <c r="W36" s="239"/>
      <c r="X36" s="237"/>
      <c r="Y36" s="242"/>
      <c r="Z36" s="251"/>
      <c r="AA36" s="243"/>
      <c r="AB36" s="243"/>
      <c r="AC36" s="243"/>
      <c r="AD36" s="243"/>
      <c r="AE36" s="243"/>
      <c r="AF36" s="243"/>
      <c r="AG36" s="243"/>
      <c r="AH36" s="243"/>
      <c r="AI36" s="776"/>
      <c r="AJ36" s="251"/>
    </row>
    <row r="37" spans="1:36" ht="15" thickTop="1" thickBot="1" x14ac:dyDescent="0.35">
      <c r="A37" s="234"/>
      <c r="B37" s="234" t="s">
        <v>1259</v>
      </c>
      <c r="D37" s="234" t="s">
        <v>746</v>
      </c>
      <c r="E37" s="235"/>
      <c r="F37" s="235" t="str">
        <f t="shared" si="0"/>
        <v>-</v>
      </c>
      <c r="G37" s="235" t="str">
        <f t="shared" si="1"/>
        <v>-</v>
      </c>
      <c r="H37" s="235"/>
      <c r="I37" s="236"/>
      <c r="J37" s="236"/>
      <c r="K37" s="241" t="str">
        <f ca="1">IF(Table1192[[#This Row],[VALID]],Table1192[[#This Row],[VALID]]-TODAY(),"-")</f>
        <v>-</v>
      </c>
      <c r="L37" s="244"/>
      <c r="M37" s="238"/>
      <c r="N37" s="237"/>
      <c r="O37" s="237"/>
      <c r="P37" s="237"/>
      <c r="Q37" s="250"/>
      <c r="R37" s="238"/>
      <c r="S37" s="237"/>
      <c r="T37" s="237"/>
      <c r="U37" s="237"/>
      <c r="V37" s="250"/>
      <c r="W37" s="239"/>
      <c r="X37" s="237"/>
      <c r="Y37" s="242"/>
      <c r="Z37" s="251"/>
      <c r="AA37" s="243"/>
      <c r="AB37" s="243"/>
      <c r="AC37" s="243"/>
      <c r="AD37" s="243"/>
      <c r="AE37" s="243"/>
      <c r="AF37" s="243"/>
      <c r="AG37" s="243"/>
      <c r="AH37" s="243"/>
      <c r="AI37" s="243"/>
      <c r="AJ37" s="251"/>
    </row>
    <row r="38" spans="1:36" ht="15" thickTop="1" thickBot="1" x14ac:dyDescent="0.35">
      <c r="A38" s="234"/>
      <c r="B38" s="234" t="s">
        <v>1288</v>
      </c>
      <c r="D38" s="234" t="s">
        <v>643</v>
      </c>
      <c r="E38" s="235"/>
      <c r="F38" s="235" t="str">
        <f t="shared" si="0"/>
        <v>-</v>
      </c>
      <c r="G38" s="235" t="str">
        <f t="shared" si="1"/>
        <v>-</v>
      </c>
      <c r="H38" s="235"/>
      <c r="I38" s="236"/>
      <c r="J38" s="236"/>
      <c r="K38" s="241" t="str">
        <f ca="1">IF(Table1192[[#This Row],[VALID]],Table1192[[#This Row],[VALID]]-TODAY(),"-")</f>
        <v>-</v>
      </c>
      <c r="L38" s="244"/>
      <c r="M38" s="238"/>
      <c r="N38" s="237"/>
      <c r="O38" s="237"/>
      <c r="P38" s="237"/>
      <c r="Q38" s="250"/>
      <c r="R38" s="238"/>
      <c r="S38" s="237"/>
      <c r="T38" s="237"/>
      <c r="U38" s="237"/>
      <c r="V38" s="250"/>
      <c r="W38" s="239"/>
      <c r="X38" s="237"/>
      <c r="Y38" s="242"/>
      <c r="Z38" s="251"/>
      <c r="AA38" s="243"/>
      <c r="AB38" s="243"/>
      <c r="AC38" s="243"/>
      <c r="AD38" s="243"/>
      <c r="AE38" s="243"/>
      <c r="AF38" s="243"/>
      <c r="AG38" s="243"/>
      <c r="AH38" s="243"/>
      <c r="AI38" s="243"/>
      <c r="AJ38" s="251"/>
    </row>
    <row r="39" spans="1:36" ht="15" thickTop="1" thickBot="1" x14ac:dyDescent="0.35">
      <c r="A39" s="234"/>
      <c r="B39" s="234" t="s">
        <v>1288</v>
      </c>
      <c r="D39" s="234" t="s">
        <v>707</v>
      </c>
      <c r="E39" s="235"/>
      <c r="F39" s="235" t="str">
        <f t="shared" si="0"/>
        <v>-</v>
      </c>
      <c r="G39" s="235" t="str">
        <f t="shared" si="1"/>
        <v>-</v>
      </c>
      <c r="H39" s="235"/>
      <c r="I39" s="236"/>
      <c r="J39" s="236"/>
      <c r="K39" s="241" t="str">
        <f ca="1">IF(Table1192[[#This Row],[VALID]],Table1192[[#This Row],[VALID]]-TODAY(),"-")</f>
        <v>-</v>
      </c>
      <c r="L39" s="244"/>
      <c r="M39" s="238"/>
      <c r="N39" s="237"/>
      <c r="O39" s="237"/>
      <c r="P39" s="237"/>
      <c r="Q39" s="250"/>
      <c r="R39" s="238"/>
      <c r="S39" s="237"/>
      <c r="T39" s="237"/>
      <c r="U39" s="237"/>
      <c r="V39" s="250"/>
      <c r="W39" s="239"/>
      <c r="X39" s="237"/>
      <c r="Y39" s="242"/>
      <c r="Z39" s="251"/>
      <c r="AA39" s="243"/>
      <c r="AB39" s="243"/>
      <c r="AC39" s="243"/>
      <c r="AD39" s="243"/>
      <c r="AE39" s="243"/>
      <c r="AF39" s="243"/>
      <c r="AG39" s="243"/>
      <c r="AH39" s="243"/>
      <c r="AI39" s="243"/>
      <c r="AJ39" s="251"/>
    </row>
    <row r="40" spans="1:36" ht="15" thickTop="1" thickBot="1" x14ac:dyDescent="0.35">
      <c r="A40" s="234"/>
      <c r="B40" s="234" t="s">
        <v>1258</v>
      </c>
      <c r="D40" s="234" t="s">
        <v>483</v>
      </c>
      <c r="E40" s="235"/>
      <c r="F40" s="235" t="str">
        <f t="shared" si="0"/>
        <v>-</v>
      </c>
      <c r="G40" s="235" t="str">
        <f t="shared" si="1"/>
        <v>-</v>
      </c>
      <c r="H40" s="235"/>
      <c r="I40" s="236"/>
      <c r="J40" s="236"/>
      <c r="K40" s="241" t="str">
        <f ca="1">IF(Table1192[[#This Row],[VALID]],Table1192[[#This Row],[VALID]]-TODAY(),"-")</f>
        <v>-</v>
      </c>
      <c r="L40" s="244"/>
      <c r="M40" s="238"/>
      <c r="N40" s="237"/>
      <c r="O40" s="237"/>
      <c r="P40" s="237"/>
      <c r="Q40" s="250"/>
      <c r="R40" s="238"/>
      <c r="S40" s="237"/>
      <c r="T40" s="237"/>
      <c r="U40" s="237"/>
      <c r="V40" s="250"/>
      <c r="W40" s="239"/>
      <c r="X40" s="237"/>
      <c r="Y40" s="242"/>
      <c r="Z40" s="251"/>
      <c r="AA40" s="243"/>
      <c r="AB40" s="243"/>
      <c r="AC40" s="243"/>
      <c r="AD40" s="243"/>
      <c r="AE40" s="243"/>
      <c r="AF40" s="243"/>
      <c r="AG40" s="243"/>
      <c r="AH40" s="243"/>
      <c r="AI40" s="243"/>
      <c r="AJ40" s="251"/>
    </row>
    <row r="41" spans="1:36" ht="15" thickTop="1" thickBot="1" x14ac:dyDescent="0.35">
      <c r="A41" s="234"/>
      <c r="B41" s="234" t="s">
        <v>1267</v>
      </c>
      <c r="D41" s="234" t="s">
        <v>516</v>
      </c>
      <c r="E41" s="235"/>
      <c r="F41" s="235" t="str">
        <f t="shared" si="0"/>
        <v>-</v>
      </c>
      <c r="G41" s="235" t="str">
        <f t="shared" si="1"/>
        <v>-</v>
      </c>
      <c r="H41" s="235"/>
      <c r="I41" s="236"/>
      <c r="J41" s="236"/>
      <c r="K41" s="241" t="str">
        <f ca="1">IF(Table1192[[#This Row],[VALID]],Table1192[[#This Row],[VALID]]-TODAY(),"-")</f>
        <v>-</v>
      </c>
      <c r="L41" s="244"/>
      <c r="M41" s="238"/>
      <c r="N41" s="237"/>
      <c r="O41" s="237"/>
      <c r="P41" s="237"/>
      <c r="Q41" s="250"/>
      <c r="R41" s="238"/>
      <c r="S41" s="237"/>
      <c r="T41" s="237"/>
      <c r="U41" s="237"/>
      <c r="V41" s="250"/>
      <c r="W41" s="239"/>
      <c r="X41" s="237"/>
      <c r="Y41" s="242"/>
      <c r="Z41" s="251"/>
      <c r="AA41" s="243"/>
      <c r="AB41" s="243"/>
      <c r="AC41" s="243"/>
      <c r="AD41" s="243"/>
      <c r="AE41" s="243"/>
      <c r="AF41" s="243"/>
      <c r="AG41" s="243"/>
      <c r="AH41" s="243"/>
      <c r="AI41" s="243"/>
      <c r="AJ41" s="251"/>
    </row>
    <row r="42" spans="1:36" ht="15" thickTop="1" thickBot="1" x14ac:dyDescent="0.35">
      <c r="A42" s="234"/>
      <c r="B42" s="234" t="s">
        <v>1267</v>
      </c>
      <c r="D42" s="234" t="s">
        <v>612</v>
      </c>
      <c r="E42" s="235"/>
      <c r="F42" s="235" t="str">
        <f t="shared" si="0"/>
        <v>-</v>
      </c>
      <c r="G42" s="235" t="str">
        <f t="shared" si="1"/>
        <v>-</v>
      </c>
      <c r="H42" s="235"/>
      <c r="I42" s="236"/>
      <c r="J42" s="236"/>
      <c r="K42" s="241" t="str">
        <f ca="1">IF(Table1192[[#This Row],[VALID]],Table1192[[#This Row],[VALID]]-TODAY(),"-")</f>
        <v>-</v>
      </c>
      <c r="L42" s="244"/>
      <c r="M42" s="238"/>
      <c r="N42" s="237"/>
      <c r="O42" s="237"/>
      <c r="P42" s="237"/>
      <c r="Q42" s="250"/>
      <c r="R42" s="238"/>
      <c r="S42" s="237"/>
      <c r="T42" s="237"/>
      <c r="U42" s="237"/>
      <c r="V42" s="250"/>
      <c r="W42" s="239"/>
      <c r="X42" s="237"/>
      <c r="Y42" s="242"/>
      <c r="Z42" s="251"/>
      <c r="AA42" s="243"/>
      <c r="AB42" s="243"/>
      <c r="AC42" s="243"/>
      <c r="AD42" s="243"/>
      <c r="AE42" s="243"/>
      <c r="AF42" s="243"/>
      <c r="AG42" s="243"/>
      <c r="AH42" s="243"/>
      <c r="AI42" s="243"/>
      <c r="AJ42" s="251"/>
    </row>
    <row r="43" spans="1:36" ht="15" thickTop="1" thickBot="1" x14ac:dyDescent="0.35">
      <c r="A43" s="234"/>
      <c r="B43" s="234" t="s">
        <v>1267</v>
      </c>
      <c r="D43" s="234" t="s">
        <v>656</v>
      </c>
      <c r="E43" s="235"/>
      <c r="F43" s="235" t="str">
        <f t="shared" si="0"/>
        <v>-</v>
      </c>
      <c r="G43" s="235" t="str">
        <f t="shared" si="1"/>
        <v>-</v>
      </c>
      <c r="H43" s="235"/>
      <c r="I43" s="236"/>
      <c r="J43" s="236"/>
      <c r="K43" s="241" t="str">
        <f ca="1">IF(Table1192[[#This Row],[VALID]],Table1192[[#This Row],[VALID]]-TODAY(),"-")</f>
        <v>-</v>
      </c>
      <c r="L43" s="244"/>
      <c r="M43" s="238"/>
      <c r="N43" s="237"/>
      <c r="O43" s="237"/>
      <c r="P43" s="237"/>
      <c r="Q43" s="250"/>
      <c r="R43" s="238"/>
      <c r="S43" s="237"/>
      <c r="T43" s="237"/>
      <c r="U43" s="237"/>
      <c r="V43" s="250"/>
      <c r="W43" s="239"/>
      <c r="X43" s="237"/>
      <c r="Y43" s="242"/>
      <c r="Z43" s="251"/>
      <c r="AA43" s="243"/>
      <c r="AB43" s="243"/>
      <c r="AC43" s="243"/>
      <c r="AD43" s="243"/>
      <c r="AE43" s="243"/>
      <c r="AF43" s="243"/>
      <c r="AG43" s="243"/>
      <c r="AH43" s="243"/>
      <c r="AI43" s="243"/>
      <c r="AJ43" s="251"/>
    </row>
    <row r="44" spans="1:36" ht="15" thickTop="1" thickBot="1" x14ac:dyDescent="0.35">
      <c r="A44" s="234"/>
      <c r="B44" s="234" t="s">
        <v>1267</v>
      </c>
      <c r="D44" s="234" t="s">
        <v>742</v>
      </c>
      <c r="E44" s="235"/>
      <c r="F44" s="235" t="str">
        <f t="shared" si="0"/>
        <v>-</v>
      </c>
      <c r="G44" s="235" t="str">
        <f t="shared" si="1"/>
        <v>-</v>
      </c>
      <c r="H44" s="235"/>
      <c r="I44" s="236"/>
      <c r="J44" s="236"/>
      <c r="K44" s="241" t="str">
        <f ca="1">IF(Table1192[[#This Row],[VALID]],Table1192[[#This Row],[VALID]]-TODAY(),"-")</f>
        <v>-</v>
      </c>
      <c r="L44" s="244"/>
      <c r="M44" s="238"/>
      <c r="N44" s="237"/>
      <c r="O44" s="237"/>
      <c r="P44" s="237"/>
      <c r="Q44" s="250"/>
      <c r="R44" s="238"/>
      <c r="S44" s="237"/>
      <c r="T44" s="237"/>
      <c r="U44" s="237"/>
      <c r="V44" s="250"/>
      <c r="W44" s="239"/>
      <c r="X44" s="237"/>
      <c r="Y44" s="242"/>
      <c r="Z44" s="251"/>
      <c r="AA44" s="243"/>
      <c r="AB44" s="243"/>
      <c r="AC44" s="243"/>
      <c r="AD44" s="243"/>
      <c r="AE44" s="243"/>
      <c r="AF44" s="243"/>
      <c r="AG44" s="243"/>
      <c r="AH44" s="243"/>
      <c r="AI44" s="243"/>
      <c r="AJ44" s="251"/>
    </row>
    <row r="45" spans="1:36" ht="15" thickTop="1" thickBot="1" x14ac:dyDescent="0.35">
      <c r="A45" s="234"/>
      <c r="B45" s="234" t="s">
        <v>1267</v>
      </c>
      <c r="D45" s="234" t="s">
        <v>1204</v>
      </c>
      <c r="E45" s="235"/>
      <c r="F45" s="235" t="str">
        <f t="shared" si="0"/>
        <v>-</v>
      </c>
      <c r="G45" s="235" t="str">
        <f t="shared" si="1"/>
        <v>-</v>
      </c>
      <c r="H45" s="235"/>
      <c r="I45" s="236"/>
      <c r="J45" s="236"/>
      <c r="K45" s="241" t="str">
        <f ca="1">IF(Table1192[[#This Row],[VALID]],Table1192[[#This Row],[VALID]]-TODAY(),"-")</f>
        <v>-</v>
      </c>
      <c r="L45" s="244"/>
      <c r="M45" s="238"/>
      <c r="N45" s="237"/>
      <c r="O45" s="237"/>
      <c r="P45" s="237"/>
      <c r="Q45" s="250"/>
      <c r="R45" s="238"/>
      <c r="S45" s="237"/>
      <c r="T45" s="237"/>
      <c r="U45" s="237"/>
      <c r="V45" s="250"/>
      <c r="W45" s="239"/>
      <c r="X45" s="237"/>
      <c r="Y45" s="242"/>
      <c r="Z45" s="251"/>
      <c r="AA45" s="243"/>
      <c r="AB45" s="243"/>
      <c r="AC45" s="243"/>
      <c r="AD45" s="243"/>
      <c r="AE45" s="243"/>
      <c r="AF45" s="243"/>
      <c r="AG45" s="243"/>
      <c r="AH45" s="243"/>
      <c r="AI45" s="243"/>
      <c r="AJ45" s="251"/>
    </row>
    <row r="46" spans="1:36" ht="15" thickTop="1" thickBot="1" x14ac:dyDescent="0.35">
      <c r="A46" s="234"/>
      <c r="B46" s="234" t="s">
        <v>1227</v>
      </c>
      <c r="D46" s="234" t="s">
        <v>419</v>
      </c>
      <c r="E46" s="235"/>
      <c r="F46" s="235" t="str">
        <f t="shared" si="0"/>
        <v>-</v>
      </c>
      <c r="G46" s="235" t="str">
        <f t="shared" si="1"/>
        <v>-</v>
      </c>
      <c r="H46" s="235"/>
      <c r="I46" s="236"/>
      <c r="J46" s="236"/>
      <c r="K46" s="241" t="str">
        <f ca="1">IF(Table1192[[#This Row],[VALID]],Table1192[[#This Row],[VALID]]-TODAY(),"-")</f>
        <v>-</v>
      </c>
      <c r="L46" s="244"/>
      <c r="M46" s="238"/>
      <c r="N46" s="237"/>
      <c r="O46" s="237"/>
      <c r="P46" s="237"/>
      <c r="Q46" s="250"/>
      <c r="R46" s="238"/>
      <c r="S46" s="237"/>
      <c r="T46" s="237"/>
      <c r="U46" s="237"/>
      <c r="V46" s="250"/>
      <c r="W46" s="239"/>
      <c r="X46" s="237"/>
      <c r="Y46" s="242"/>
      <c r="Z46" s="251"/>
      <c r="AA46" s="243"/>
      <c r="AB46" s="243"/>
      <c r="AC46" s="243"/>
      <c r="AD46" s="243"/>
      <c r="AE46" s="243"/>
      <c r="AF46" s="243"/>
      <c r="AG46" s="243"/>
      <c r="AH46" s="243"/>
      <c r="AI46" s="243"/>
      <c r="AJ46" s="251"/>
    </row>
    <row r="47" spans="1:36" ht="15" thickTop="1" thickBot="1" x14ac:dyDescent="0.35">
      <c r="A47" s="234"/>
      <c r="B47" s="234" t="s">
        <v>1227</v>
      </c>
      <c r="D47" s="234" t="s">
        <v>537</v>
      </c>
      <c r="E47" s="235"/>
      <c r="F47" s="235" t="str">
        <f t="shared" si="0"/>
        <v>-</v>
      </c>
      <c r="G47" s="235" t="str">
        <f t="shared" si="1"/>
        <v>-</v>
      </c>
      <c r="H47" s="235"/>
      <c r="I47" s="236"/>
      <c r="J47" s="236"/>
      <c r="K47" s="241" t="str">
        <f ca="1">IF(Table1192[[#This Row],[VALID]],Table1192[[#This Row],[VALID]]-TODAY(),"-")</f>
        <v>-</v>
      </c>
      <c r="L47" s="244"/>
      <c r="M47" s="238"/>
      <c r="N47" s="237"/>
      <c r="O47" s="237"/>
      <c r="P47" s="237"/>
      <c r="Q47" s="250"/>
      <c r="R47" s="238"/>
      <c r="S47" s="237"/>
      <c r="T47" s="237"/>
      <c r="U47" s="237"/>
      <c r="V47" s="250"/>
      <c r="W47" s="239"/>
      <c r="X47" s="237"/>
      <c r="Y47" s="242"/>
      <c r="Z47" s="251"/>
      <c r="AA47" s="243"/>
      <c r="AB47" s="243"/>
      <c r="AC47" s="243"/>
      <c r="AD47" s="243"/>
      <c r="AE47" s="243"/>
      <c r="AF47" s="243"/>
      <c r="AG47" s="243"/>
      <c r="AH47" s="243"/>
      <c r="AI47" s="243"/>
      <c r="AJ47" s="251"/>
    </row>
    <row r="48" spans="1:36" ht="15" thickTop="1" thickBot="1" x14ac:dyDescent="0.35">
      <c r="A48" s="234"/>
      <c r="B48" s="234" t="s">
        <v>1227</v>
      </c>
      <c r="D48" s="234" t="s">
        <v>683</v>
      </c>
      <c r="E48" s="235"/>
      <c r="F48" s="235" t="str">
        <f t="shared" si="0"/>
        <v>-</v>
      </c>
      <c r="G48" s="235" t="str">
        <f t="shared" si="1"/>
        <v>-</v>
      </c>
      <c r="H48" s="235"/>
      <c r="I48" s="236"/>
      <c r="J48" s="236"/>
      <c r="K48" s="241" t="str">
        <f ca="1">IF(Table1192[[#This Row],[VALID]],Table1192[[#This Row],[VALID]]-TODAY(),"-")</f>
        <v>-</v>
      </c>
      <c r="L48" s="244"/>
      <c r="M48" s="238"/>
      <c r="N48" s="237"/>
      <c r="O48" s="237"/>
      <c r="P48" s="237"/>
      <c r="Q48" s="250"/>
      <c r="R48" s="238"/>
      <c r="S48" s="237"/>
      <c r="T48" s="237"/>
      <c r="U48" s="237"/>
      <c r="V48" s="250"/>
      <c r="W48" s="239"/>
      <c r="X48" s="237"/>
      <c r="Y48" s="242"/>
      <c r="Z48" s="251"/>
      <c r="AA48" s="243"/>
      <c r="AB48" s="243"/>
      <c r="AC48" s="243"/>
      <c r="AD48" s="243"/>
      <c r="AE48" s="243"/>
      <c r="AF48" s="243"/>
      <c r="AG48" s="243"/>
      <c r="AH48" s="243"/>
      <c r="AI48" s="243"/>
      <c r="AJ48" s="251"/>
    </row>
    <row r="49" spans="1:36" ht="15" thickTop="1" thickBot="1" x14ac:dyDescent="0.35">
      <c r="A49" s="234"/>
      <c r="B49" s="234" t="s">
        <v>1227</v>
      </c>
      <c r="D49" s="234" t="s">
        <v>741</v>
      </c>
      <c r="E49" s="235"/>
      <c r="F49" s="235" t="str">
        <f t="shared" si="0"/>
        <v>-</v>
      </c>
      <c r="G49" s="235" t="str">
        <f t="shared" si="1"/>
        <v>-</v>
      </c>
      <c r="H49" s="235"/>
      <c r="I49" s="236"/>
      <c r="J49" s="236"/>
      <c r="K49" s="241" t="str">
        <f ca="1">IF(Table1192[[#This Row],[VALID]],Table1192[[#This Row],[VALID]]-TODAY(),"-")</f>
        <v>-</v>
      </c>
      <c r="L49" s="244"/>
      <c r="M49" s="238"/>
      <c r="N49" s="237"/>
      <c r="O49" s="237"/>
      <c r="P49" s="237"/>
      <c r="Q49" s="250"/>
      <c r="R49" s="238"/>
      <c r="S49" s="237"/>
      <c r="T49" s="237"/>
      <c r="U49" s="237"/>
      <c r="V49" s="250"/>
      <c r="W49" s="239"/>
      <c r="X49" s="237"/>
      <c r="Y49" s="242"/>
      <c r="Z49" s="251"/>
      <c r="AA49" s="243"/>
      <c r="AB49" s="243"/>
      <c r="AC49" s="243"/>
      <c r="AD49" s="243"/>
      <c r="AE49" s="243"/>
      <c r="AF49" s="243"/>
      <c r="AG49" s="243"/>
      <c r="AH49" s="243"/>
      <c r="AI49" s="243"/>
      <c r="AJ49" s="251"/>
    </row>
    <row r="50" spans="1:36" ht="15" thickTop="1" thickBot="1" x14ac:dyDescent="0.35">
      <c r="A50" s="234"/>
      <c r="B50" s="234" t="s">
        <v>1062</v>
      </c>
      <c r="D50" s="234" t="s">
        <v>436</v>
      </c>
      <c r="E50" s="235"/>
      <c r="F50" s="235" t="str">
        <f t="shared" si="0"/>
        <v>-</v>
      </c>
      <c r="G50" s="235" t="str">
        <f t="shared" si="1"/>
        <v>-</v>
      </c>
      <c r="H50" s="235"/>
      <c r="I50" s="236"/>
      <c r="J50" s="236"/>
      <c r="K50" s="241" t="str">
        <f ca="1">IF(Table1192[[#This Row],[VALID]],Table1192[[#This Row],[VALID]]-TODAY(),"-")</f>
        <v>-</v>
      </c>
      <c r="L50" s="244"/>
      <c r="M50" s="238"/>
      <c r="N50" s="237"/>
      <c r="O50" s="237"/>
      <c r="P50" s="237"/>
      <c r="Q50" s="250"/>
      <c r="R50" s="238"/>
      <c r="S50" s="237"/>
      <c r="T50" s="237"/>
      <c r="U50" s="237"/>
      <c r="V50" s="250"/>
      <c r="W50" s="239"/>
      <c r="X50" s="237"/>
      <c r="Y50" s="242"/>
      <c r="Z50" s="251"/>
      <c r="AA50" s="243"/>
      <c r="AB50" s="243"/>
      <c r="AC50" s="243"/>
      <c r="AD50" s="243"/>
      <c r="AE50" s="243"/>
      <c r="AF50" s="243"/>
      <c r="AG50" s="243"/>
      <c r="AH50" s="243"/>
      <c r="AI50" s="243"/>
      <c r="AJ50" s="251"/>
    </row>
    <row r="51" spans="1:36" ht="15" thickTop="1" thickBot="1" x14ac:dyDescent="0.35">
      <c r="A51" s="234"/>
      <c r="B51" s="234" t="s">
        <v>1062</v>
      </c>
      <c r="D51" s="234" t="s">
        <v>437</v>
      </c>
      <c r="E51" s="235"/>
      <c r="F51" s="235" t="str">
        <f t="shared" si="0"/>
        <v>-</v>
      </c>
      <c r="G51" s="235" t="str">
        <f t="shared" si="1"/>
        <v>-</v>
      </c>
      <c r="H51" s="235"/>
      <c r="I51" s="236"/>
      <c r="J51" s="236"/>
      <c r="K51" s="241" t="str">
        <f ca="1">IF(Table1192[[#This Row],[VALID]],Table1192[[#This Row],[VALID]]-TODAY(),"-")</f>
        <v>-</v>
      </c>
      <c r="L51" s="244"/>
      <c r="M51" s="238"/>
      <c r="N51" s="237"/>
      <c r="O51" s="237"/>
      <c r="P51" s="237"/>
      <c r="Q51" s="250"/>
      <c r="R51" s="238"/>
      <c r="S51" s="237"/>
      <c r="T51" s="237"/>
      <c r="U51" s="237"/>
      <c r="V51" s="250"/>
      <c r="W51" s="239"/>
      <c r="X51" s="237"/>
      <c r="Y51" s="242"/>
      <c r="Z51" s="251"/>
      <c r="AA51" s="243"/>
      <c r="AB51" s="243"/>
      <c r="AC51" s="243"/>
      <c r="AD51" s="243"/>
      <c r="AE51" s="243"/>
      <c r="AF51" s="243"/>
      <c r="AG51" s="243"/>
      <c r="AH51" s="243"/>
      <c r="AI51" s="243"/>
      <c r="AJ51" s="251"/>
    </row>
    <row r="52" spans="1:36" ht="15" thickTop="1" thickBot="1" x14ac:dyDescent="0.35">
      <c r="A52" s="234"/>
      <c r="B52" s="234" t="s">
        <v>1062</v>
      </c>
      <c r="D52" s="234" t="s">
        <v>460</v>
      </c>
      <c r="E52" s="235"/>
      <c r="F52" s="235" t="str">
        <f t="shared" si="0"/>
        <v>-</v>
      </c>
      <c r="G52" s="235" t="str">
        <f t="shared" si="1"/>
        <v>-</v>
      </c>
      <c r="H52" s="235"/>
      <c r="I52" s="236"/>
      <c r="J52" s="236"/>
      <c r="K52" s="241" t="str">
        <f ca="1">IF(Table1192[[#This Row],[VALID]],Table1192[[#This Row],[VALID]]-TODAY(),"-")</f>
        <v>-</v>
      </c>
      <c r="L52" s="244"/>
      <c r="M52" s="238"/>
      <c r="N52" s="237"/>
      <c r="O52" s="237"/>
      <c r="P52" s="237"/>
      <c r="Q52" s="250"/>
      <c r="R52" s="238"/>
      <c r="S52" s="237"/>
      <c r="T52" s="237"/>
      <c r="U52" s="237"/>
      <c r="V52" s="250"/>
      <c r="W52" s="239"/>
      <c r="X52" s="237"/>
      <c r="Y52" s="242"/>
      <c r="Z52" s="251"/>
      <c r="AA52" s="243"/>
      <c r="AB52" s="243"/>
      <c r="AC52" s="243"/>
      <c r="AD52" s="243"/>
      <c r="AE52" s="243"/>
      <c r="AF52" s="243"/>
      <c r="AG52" s="243"/>
      <c r="AH52" s="243"/>
      <c r="AI52" s="243"/>
      <c r="AJ52" s="251"/>
    </row>
    <row r="53" spans="1:36" ht="15" thickTop="1" thickBot="1" x14ac:dyDescent="0.35">
      <c r="A53" s="234"/>
      <c r="B53" s="234" t="s">
        <v>1062</v>
      </c>
      <c r="D53" s="234" t="s">
        <v>461</v>
      </c>
      <c r="E53" s="235"/>
      <c r="F53" s="235" t="str">
        <f t="shared" si="0"/>
        <v>-</v>
      </c>
      <c r="G53" s="235" t="str">
        <f t="shared" si="1"/>
        <v>-</v>
      </c>
      <c r="H53" s="235"/>
      <c r="I53" s="236"/>
      <c r="J53" s="236"/>
      <c r="K53" s="241" t="str">
        <f ca="1">IF(Table1192[[#This Row],[VALID]],Table1192[[#This Row],[VALID]]-TODAY(),"-")</f>
        <v>-</v>
      </c>
      <c r="L53" s="244"/>
      <c r="M53" s="238"/>
      <c r="N53" s="237"/>
      <c r="O53" s="237"/>
      <c r="P53" s="237"/>
      <c r="Q53" s="250"/>
      <c r="R53" s="238"/>
      <c r="S53" s="237"/>
      <c r="T53" s="237"/>
      <c r="U53" s="237"/>
      <c r="V53" s="250"/>
      <c r="W53" s="239"/>
      <c r="X53" s="237"/>
      <c r="Y53" s="242"/>
      <c r="Z53" s="251"/>
      <c r="AA53" s="243"/>
      <c r="AB53" s="243"/>
      <c r="AC53" s="243"/>
      <c r="AD53" s="243"/>
      <c r="AE53" s="243"/>
      <c r="AF53" s="243"/>
      <c r="AG53" s="243"/>
      <c r="AH53" s="243"/>
      <c r="AI53" s="243"/>
      <c r="AJ53" s="251"/>
    </row>
    <row r="54" spans="1:36" ht="15" thickTop="1" thickBot="1" x14ac:dyDescent="0.35">
      <c r="A54" s="234"/>
      <c r="B54" s="234" t="s">
        <v>1062</v>
      </c>
      <c r="D54" s="234" t="s">
        <v>1165</v>
      </c>
      <c r="E54" s="235"/>
      <c r="F54" s="235" t="str">
        <f t="shared" si="0"/>
        <v>-</v>
      </c>
      <c r="G54" s="235" t="str">
        <f t="shared" si="1"/>
        <v>-</v>
      </c>
      <c r="H54" s="235"/>
      <c r="I54" s="236"/>
      <c r="J54" s="236"/>
      <c r="K54" s="241" t="str">
        <f ca="1">IF(Table1192[[#This Row],[VALID]],Table1192[[#This Row],[VALID]]-TODAY(),"-")</f>
        <v>-</v>
      </c>
      <c r="L54" s="244"/>
      <c r="M54" s="238"/>
      <c r="N54" s="237"/>
      <c r="O54" s="237"/>
      <c r="P54" s="237"/>
      <c r="Q54" s="250"/>
      <c r="R54" s="238"/>
      <c r="S54" s="237"/>
      <c r="T54" s="237"/>
      <c r="U54" s="237"/>
      <c r="V54" s="250"/>
      <c r="W54" s="239"/>
      <c r="X54" s="237"/>
      <c r="Y54" s="242"/>
      <c r="Z54" s="251"/>
      <c r="AA54" s="243"/>
      <c r="AB54" s="243"/>
      <c r="AC54" s="243"/>
      <c r="AD54" s="243"/>
      <c r="AE54" s="243"/>
      <c r="AF54" s="243"/>
      <c r="AG54" s="243"/>
      <c r="AH54" s="243"/>
      <c r="AI54" s="243"/>
      <c r="AJ54" s="251"/>
    </row>
    <row r="55" spans="1:36" ht="15" thickTop="1" thickBot="1" x14ac:dyDescent="0.35">
      <c r="A55" s="234"/>
      <c r="B55" s="234" t="s">
        <v>1062</v>
      </c>
      <c r="D55" s="234" t="s">
        <v>467</v>
      </c>
      <c r="E55" s="235"/>
      <c r="F55" s="235" t="str">
        <f t="shared" si="0"/>
        <v>-</v>
      </c>
      <c r="G55" s="235" t="str">
        <f t="shared" si="1"/>
        <v>-</v>
      </c>
      <c r="H55" s="235"/>
      <c r="I55" s="236"/>
      <c r="J55" s="236"/>
      <c r="K55" s="241" t="str">
        <f ca="1">IF(Table1192[[#This Row],[VALID]],Table1192[[#This Row],[VALID]]-TODAY(),"-")</f>
        <v>-</v>
      </c>
      <c r="L55" s="244"/>
      <c r="M55" s="238"/>
      <c r="N55" s="237"/>
      <c r="O55" s="237"/>
      <c r="P55" s="237"/>
      <c r="Q55" s="250"/>
      <c r="R55" s="238"/>
      <c r="S55" s="237"/>
      <c r="T55" s="237"/>
      <c r="U55" s="237"/>
      <c r="V55" s="250"/>
      <c r="W55" s="239"/>
      <c r="X55" s="237"/>
      <c r="Y55" s="242"/>
      <c r="Z55" s="251"/>
      <c r="AA55" s="243"/>
      <c r="AB55" s="243"/>
      <c r="AC55" s="243"/>
      <c r="AD55" s="243"/>
      <c r="AE55" s="243"/>
      <c r="AF55" s="243"/>
      <c r="AG55" s="243"/>
      <c r="AH55" s="243"/>
      <c r="AI55" s="243"/>
      <c r="AJ55" s="251"/>
    </row>
    <row r="56" spans="1:36" ht="15" thickTop="1" thickBot="1" x14ac:dyDescent="0.35">
      <c r="A56" s="234"/>
      <c r="B56" s="234" t="s">
        <v>1062</v>
      </c>
      <c r="D56" s="234" t="s">
        <v>474</v>
      </c>
      <c r="E56" s="235"/>
      <c r="F56" s="235" t="str">
        <f t="shared" si="0"/>
        <v>-</v>
      </c>
      <c r="G56" s="235" t="str">
        <f t="shared" si="1"/>
        <v>-</v>
      </c>
      <c r="H56" s="235"/>
      <c r="I56" s="236"/>
      <c r="J56" s="236"/>
      <c r="K56" s="241" t="str">
        <f ca="1">IF(Table1192[[#This Row],[VALID]],Table1192[[#This Row],[VALID]]-TODAY(),"-")</f>
        <v>-</v>
      </c>
      <c r="L56" s="244"/>
      <c r="M56" s="238"/>
      <c r="N56" s="237"/>
      <c r="O56" s="237"/>
      <c r="P56" s="237"/>
      <c r="Q56" s="250"/>
      <c r="R56" s="238"/>
      <c r="S56" s="237"/>
      <c r="T56" s="237"/>
      <c r="U56" s="237"/>
      <c r="V56" s="250"/>
      <c r="W56" s="239"/>
      <c r="X56" s="237"/>
      <c r="Y56" s="242"/>
      <c r="Z56" s="251"/>
      <c r="AA56" s="243"/>
      <c r="AB56" s="243"/>
      <c r="AC56" s="243"/>
      <c r="AD56" s="243"/>
      <c r="AE56" s="243"/>
      <c r="AF56" s="243"/>
      <c r="AG56" s="243"/>
      <c r="AH56" s="243"/>
      <c r="AI56" s="243"/>
      <c r="AJ56" s="251"/>
    </row>
    <row r="57" spans="1:36" ht="15" thickTop="1" thickBot="1" x14ac:dyDescent="0.35">
      <c r="A57" s="234"/>
      <c r="B57" s="234" t="s">
        <v>1062</v>
      </c>
      <c r="D57" s="234" t="s">
        <v>1166</v>
      </c>
      <c r="E57" s="235"/>
      <c r="F57" s="235" t="str">
        <f t="shared" si="0"/>
        <v>-</v>
      </c>
      <c r="G57" s="235" t="str">
        <f t="shared" si="1"/>
        <v>-</v>
      </c>
      <c r="H57" s="235"/>
      <c r="I57" s="236"/>
      <c r="J57" s="236"/>
      <c r="K57" s="241" t="str">
        <f ca="1">IF(Table1192[[#This Row],[VALID]],Table1192[[#This Row],[VALID]]-TODAY(),"-")</f>
        <v>-</v>
      </c>
      <c r="L57" s="244"/>
      <c r="M57" s="238"/>
      <c r="N57" s="237"/>
      <c r="O57" s="237"/>
      <c r="P57" s="237"/>
      <c r="Q57" s="250"/>
      <c r="R57" s="238"/>
      <c r="S57" s="237"/>
      <c r="T57" s="237"/>
      <c r="U57" s="237"/>
      <c r="V57" s="250"/>
      <c r="W57" s="239"/>
      <c r="X57" s="237"/>
      <c r="Y57" s="242"/>
      <c r="Z57" s="251"/>
      <c r="AA57" s="243"/>
      <c r="AB57" s="243"/>
      <c r="AC57" s="243"/>
      <c r="AD57" s="243"/>
      <c r="AE57" s="243"/>
      <c r="AF57" s="243"/>
      <c r="AG57" s="243"/>
      <c r="AH57" s="243"/>
      <c r="AI57" s="243"/>
      <c r="AJ57" s="251"/>
    </row>
    <row r="58" spans="1:36" ht="15" thickTop="1" thickBot="1" x14ac:dyDescent="0.35">
      <c r="A58" s="234"/>
      <c r="B58" s="234" t="s">
        <v>1062</v>
      </c>
      <c r="D58" s="234" t="s">
        <v>492</v>
      </c>
      <c r="E58" s="235"/>
      <c r="F58" s="235" t="str">
        <f t="shared" si="0"/>
        <v>-</v>
      </c>
      <c r="G58" s="235" t="str">
        <f t="shared" si="1"/>
        <v>-</v>
      </c>
      <c r="H58" s="235"/>
      <c r="I58" s="236"/>
      <c r="J58" s="236"/>
      <c r="K58" s="241" t="str">
        <f ca="1">IF(Table1192[[#This Row],[VALID]],Table1192[[#This Row],[VALID]]-TODAY(),"-")</f>
        <v>-</v>
      </c>
      <c r="L58" s="244"/>
      <c r="M58" s="238"/>
      <c r="N58" s="237"/>
      <c r="O58" s="237"/>
      <c r="P58" s="237"/>
      <c r="Q58" s="250"/>
      <c r="R58" s="238"/>
      <c r="S58" s="237"/>
      <c r="T58" s="237"/>
      <c r="U58" s="237"/>
      <c r="V58" s="250"/>
      <c r="W58" s="239"/>
      <c r="X58" s="237"/>
      <c r="Y58" s="242"/>
      <c r="Z58" s="251"/>
      <c r="AA58" s="243"/>
      <c r="AB58" s="243"/>
      <c r="AC58" s="243"/>
      <c r="AD58" s="243"/>
      <c r="AE58" s="243"/>
      <c r="AF58" s="243"/>
      <c r="AG58" s="243"/>
      <c r="AH58" s="243"/>
      <c r="AI58" s="243"/>
      <c r="AJ58" s="251"/>
    </row>
    <row r="59" spans="1:36" ht="15" thickTop="1" thickBot="1" x14ac:dyDescent="0.35">
      <c r="A59" s="234"/>
      <c r="B59" s="234" t="s">
        <v>1062</v>
      </c>
      <c r="D59" s="234" t="s">
        <v>1167</v>
      </c>
      <c r="E59" s="235"/>
      <c r="F59" s="235" t="str">
        <f t="shared" si="0"/>
        <v>-</v>
      </c>
      <c r="G59" s="235" t="str">
        <f t="shared" si="1"/>
        <v>-</v>
      </c>
      <c r="H59" s="235"/>
      <c r="I59" s="236"/>
      <c r="J59" s="236"/>
      <c r="K59" s="241" t="str">
        <f ca="1">IF(Table1192[[#This Row],[VALID]],Table1192[[#This Row],[VALID]]-TODAY(),"-")</f>
        <v>-</v>
      </c>
      <c r="L59" s="244"/>
      <c r="M59" s="238"/>
      <c r="N59" s="237"/>
      <c r="O59" s="237"/>
      <c r="P59" s="237"/>
      <c r="Q59" s="250"/>
      <c r="R59" s="238"/>
      <c r="S59" s="237"/>
      <c r="T59" s="237"/>
      <c r="U59" s="237"/>
      <c r="V59" s="250"/>
      <c r="W59" s="239"/>
      <c r="X59" s="237"/>
      <c r="Y59" s="242"/>
      <c r="Z59" s="251"/>
      <c r="AA59" s="243"/>
      <c r="AB59" s="243"/>
      <c r="AC59" s="243"/>
      <c r="AD59" s="243"/>
      <c r="AE59" s="243"/>
      <c r="AF59" s="243"/>
      <c r="AG59" s="243"/>
      <c r="AH59" s="243"/>
      <c r="AI59" s="243"/>
      <c r="AJ59" s="251"/>
    </row>
    <row r="60" spans="1:36" ht="15" thickTop="1" thickBot="1" x14ac:dyDescent="0.35">
      <c r="A60" s="234"/>
      <c r="B60" s="234" t="s">
        <v>1062</v>
      </c>
      <c r="D60" s="234" t="s">
        <v>1168</v>
      </c>
      <c r="E60" s="235"/>
      <c r="F60" s="235" t="str">
        <f t="shared" si="0"/>
        <v>-</v>
      </c>
      <c r="G60" s="235" t="str">
        <f t="shared" si="1"/>
        <v>-</v>
      </c>
      <c r="H60" s="235"/>
      <c r="I60" s="236"/>
      <c r="J60" s="236"/>
      <c r="K60" s="241" t="str">
        <f ca="1">IF(Table1192[[#This Row],[VALID]],Table1192[[#This Row],[VALID]]-TODAY(),"-")</f>
        <v>-</v>
      </c>
      <c r="L60" s="244"/>
      <c r="M60" s="238"/>
      <c r="N60" s="237"/>
      <c r="O60" s="237"/>
      <c r="P60" s="237"/>
      <c r="Q60" s="250"/>
      <c r="R60" s="238"/>
      <c r="S60" s="237"/>
      <c r="T60" s="237"/>
      <c r="U60" s="237"/>
      <c r="V60" s="250"/>
      <c r="W60" s="239"/>
      <c r="X60" s="237"/>
      <c r="Y60" s="242"/>
      <c r="Z60" s="251"/>
      <c r="AA60" s="243"/>
      <c r="AB60" s="243"/>
      <c r="AC60" s="243"/>
      <c r="AD60" s="243"/>
      <c r="AE60" s="243"/>
      <c r="AF60" s="243"/>
      <c r="AG60" s="243"/>
      <c r="AH60" s="243"/>
      <c r="AI60" s="243"/>
      <c r="AJ60" s="251"/>
    </row>
    <row r="61" spans="1:36" ht="15" thickTop="1" thickBot="1" x14ac:dyDescent="0.35">
      <c r="A61" s="234"/>
      <c r="B61" s="234" t="s">
        <v>1062</v>
      </c>
      <c r="D61" s="234" t="s">
        <v>1169</v>
      </c>
      <c r="E61" s="235"/>
      <c r="F61" s="235" t="str">
        <f t="shared" si="0"/>
        <v>-</v>
      </c>
      <c r="G61" s="235" t="str">
        <f t="shared" si="1"/>
        <v>-</v>
      </c>
      <c r="H61" s="235"/>
      <c r="I61" s="236"/>
      <c r="J61" s="236"/>
      <c r="K61" s="241" t="str">
        <f ca="1">IF(Table1192[[#This Row],[VALID]],Table1192[[#This Row],[VALID]]-TODAY(),"-")</f>
        <v>-</v>
      </c>
      <c r="L61" s="244"/>
      <c r="M61" s="238"/>
      <c r="N61" s="237"/>
      <c r="O61" s="237"/>
      <c r="P61" s="237"/>
      <c r="Q61" s="250"/>
      <c r="R61" s="238"/>
      <c r="S61" s="237"/>
      <c r="T61" s="237"/>
      <c r="U61" s="237"/>
      <c r="V61" s="250"/>
      <c r="W61" s="239"/>
      <c r="X61" s="237"/>
      <c r="Y61" s="242"/>
      <c r="Z61" s="251"/>
      <c r="AA61" s="243"/>
      <c r="AB61" s="243"/>
      <c r="AC61" s="243"/>
      <c r="AD61" s="243"/>
      <c r="AE61" s="243"/>
      <c r="AF61" s="243"/>
      <c r="AG61" s="243"/>
      <c r="AH61" s="243"/>
      <c r="AI61" s="243"/>
      <c r="AJ61" s="251"/>
    </row>
    <row r="62" spans="1:36" ht="15" thickTop="1" thickBot="1" x14ac:dyDescent="0.35">
      <c r="A62" s="234"/>
      <c r="B62" s="234" t="s">
        <v>1062</v>
      </c>
      <c r="D62" s="234" t="s">
        <v>499</v>
      </c>
      <c r="E62" s="235"/>
      <c r="F62" s="235" t="str">
        <f t="shared" si="0"/>
        <v>-</v>
      </c>
      <c r="G62" s="235" t="str">
        <f t="shared" si="1"/>
        <v>-</v>
      </c>
      <c r="H62" s="235"/>
      <c r="I62" s="236"/>
      <c r="J62" s="236"/>
      <c r="K62" s="241" t="str">
        <f ca="1">IF(Table1192[[#This Row],[VALID]],Table1192[[#This Row],[VALID]]-TODAY(),"-")</f>
        <v>-</v>
      </c>
      <c r="L62" s="244"/>
      <c r="M62" s="238"/>
      <c r="N62" s="237"/>
      <c r="O62" s="237"/>
      <c r="P62" s="237"/>
      <c r="Q62" s="250"/>
      <c r="R62" s="238"/>
      <c r="S62" s="237"/>
      <c r="T62" s="237"/>
      <c r="U62" s="237"/>
      <c r="V62" s="250"/>
      <c r="W62" s="239"/>
      <c r="X62" s="237"/>
      <c r="Y62" s="242"/>
      <c r="Z62" s="251"/>
      <c r="AA62" s="243"/>
      <c r="AB62" s="243"/>
      <c r="AC62" s="243"/>
      <c r="AD62" s="243"/>
      <c r="AE62" s="243"/>
      <c r="AF62" s="243"/>
      <c r="AG62" s="243"/>
      <c r="AH62" s="243"/>
      <c r="AI62" s="243"/>
      <c r="AJ62" s="251"/>
    </row>
    <row r="63" spans="1:36" ht="15" thickTop="1" thickBot="1" x14ac:dyDescent="0.35">
      <c r="A63" s="234"/>
      <c r="B63" s="234" t="s">
        <v>1062</v>
      </c>
      <c r="D63" s="234" t="s">
        <v>512</v>
      </c>
      <c r="E63" s="235"/>
      <c r="F63" s="235" t="str">
        <f t="shared" si="0"/>
        <v>-</v>
      </c>
      <c r="G63" s="235" t="str">
        <f t="shared" si="1"/>
        <v>-</v>
      </c>
      <c r="H63" s="235"/>
      <c r="I63" s="236"/>
      <c r="J63" s="236"/>
      <c r="K63" s="241" t="str">
        <f ca="1">IF(Table1192[[#This Row],[VALID]],Table1192[[#This Row],[VALID]]-TODAY(),"-")</f>
        <v>-</v>
      </c>
      <c r="L63" s="244"/>
      <c r="M63" s="238"/>
      <c r="N63" s="237"/>
      <c r="O63" s="237"/>
      <c r="P63" s="237"/>
      <c r="Q63" s="250"/>
      <c r="R63" s="238"/>
      <c r="S63" s="237"/>
      <c r="T63" s="237"/>
      <c r="U63" s="237"/>
      <c r="V63" s="250"/>
      <c r="W63" s="239"/>
      <c r="X63" s="237"/>
      <c r="Y63" s="242"/>
      <c r="Z63" s="251"/>
      <c r="AA63" s="243"/>
      <c r="AB63" s="243"/>
      <c r="AC63" s="243"/>
      <c r="AD63" s="243"/>
      <c r="AE63" s="243"/>
      <c r="AF63" s="243"/>
      <c r="AG63" s="243"/>
      <c r="AH63" s="243"/>
      <c r="AI63" s="243"/>
      <c r="AJ63" s="251"/>
    </row>
    <row r="64" spans="1:36" ht="15" thickTop="1" thickBot="1" x14ac:dyDescent="0.35">
      <c r="A64" s="234"/>
      <c r="B64" s="234" t="s">
        <v>1062</v>
      </c>
      <c r="D64" s="234" t="s">
        <v>521</v>
      </c>
      <c r="E64" s="235"/>
      <c r="F64" s="235" t="str">
        <f t="shared" si="0"/>
        <v>-</v>
      </c>
      <c r="G64" s="235" t="str">
        <f t="shared" si="1"/>
        <v>-</v>
      </c>
      <c r="H64" s="235"/>
      <c r="I64" s="236"/>
      <c r="J64" s="236"/>
      <c r="K64" s="241" t="str">
        <f ca="1">IF(Table1192[[#This Row],[VALID]],Table1192[[#This Row],[VALID]]-TODAY(),"-")</f>
        <v>-</v>
      </c>
      <c r="L64" s="244"/>
      <c r="M64" s="238"/>
      <c r="N64" s="237"/>
      <c r="O64" s="237"/>
      <c r="P64" s="237"/>
      <c r="Q64" s="250"/>
      <c r="R64" s="238"/>
      <c r="S64" s="237"/>
      <c r="T64" s="237"/>
      <c r="U64" s="237"/>
      <c r="V64" s="250"/>
      <c r="W64" s="239"/>
      <c r="X64" s="237"/>
      <c r="Y64" s="242"/>
      <c r="Z64" s="251"/>
      <c r="AA64" s="243"/>
      <c r="AB64" s="243"/>
      <c r="AC64" s="243"/>
      <c r="AD64" s="243"/>
      <c r="AE64" s="243"/>
      <c r="AF64" s="243"/>
      <c r="AG64" s="243"/>
      <c r="AH64" s="243"/>
      <c r="AI64" s="243"/>
      <c r="AJ64" s="251"/>
    </row>
    <row r="65" spans="1:36" ht="15" thickTop="1" thickBot="1" x14ac:dyDescent="0.35">
      <c r="A65" s="234"/>
      <c r="B65" s="234" t="s">
        <v>1062</v>
      </c>
      <c r="D65" s="234" t="s">
        <v>1170</v>
      </c>
      <c r="E65" s="235"/>
      <c r="F65" s="235" t="str">
        <f t="shared" si="0"/>
        <v>-</v>
      </c>
      <c r="G65" s="235" t="str">
        <f t="shared" si="1"/>
        <v>-</v>
      </c>
      <c r="H65" s="235"/>
      <c r="I65" s="236"/>
      <c r="J65" s="236"/>
      <c r="K65" s="241" t="str">
        <f ca="1">IF(Table1192[[#This Row],[VALID]],Table1192[[#This Row],[VALID]]-TODAY(),"-")</f>
        <v>-</v>
      </c>
      <c r="L65" s="244"/>
      <c r="M65" s="238"/>
      <c r="N65" s="237"/>
      <c r="O65" s="237"/>
      <c r="P65" s="237"/>
      <c r="Q65" s="250"/>
      <c r="R65" s="238"/>
      <c r="S65" s="237"/>
      <c r="T65" s="237"/>
      <c r="U65" s="237"/>
      <c r="V65" s="250"/>
      <c r="W65" s="239"/>
      <c r="X65" s="237"/>
      <c r="Y65" s="242"/>
      <c r="Z65" s="251"/>
      <c r="AA65" s="243"/>
      <c r="AB65" s="243"/>
      <c r="AC65" s="243"/>
      <c r="AD65" s="243"/>
      <c r="AE65" s="243"/>
      <c r="AF65" s="243"/>
      <c r="AG65" s="243"/>
      <c r="AH65" s="243"/>
      <c r="AI65" s="243"/>
      <c r="AJ65" s="251"/>
    </row>
    <row r="66" spans="1:36" ht="15" thickTop="1" thickBot="1" x14ac:dyDescent="0.35">
      <c r="A66" s="234"/>
      <c r="B66" s="234" t="s">
        <v>1062</v>
      </c>
      <c r="D66" s="234" t="s">
        <v>530</v>
      </c>
      <c r="E66" s="235"/>
      <c r="F66" s="235" t="str">
        <f t="shared" si="0"/>
        <v>-</v>
      </c>
      <c r="G66" s="235" t="str">
        <f t="shared" si="1"/>
        <v>-</v>
      </c>
      <c r="H66" s="235"/>
      <c r="I66" s="236"/>
      <c r="J66" s="236"/>
      <c r="K66" s="241" t="str">
        <f ca="1">IF(Table1192[[#This Row],[VALID]],Table1192[[#This Row],[VALID]]-TODAY(),"-")</f>
        <v>-</v>
      </c>
      <c r="L66" s="244"/>
      <c r="M66" s="238"/>
      <c r="N66" s="237"/>
      <c r="O66" s="237"/>
      <c r="P66" s="237"/>
      <c r="Q66" s="250"/>
      <c r="R66" s="238"/>
      <c r="S66" s="237"/>
      <c r="T66" s="237"/>
      <c r="U66" s="237"/>
      <c r="V66" s="250"/>
      <c r="W66" s="239"/>
      <c r="X66" s="237"/>
      <c r="Y66" s="242"/>
      <c r="Z66" s="251"/>
      <c r="AA66" s="243"/>
      <c r="AB66" s="243"/>
      <c r="AC66" s="243"/>
      <c r="AD66" s="243"/>
      <c r="AE66" s="243"/>
      <c r="AF66" s="243"/>
      <c r="AG66" s="243"/>
      <c r="AH66" s="243"/>
      <c r="AI66" s="243"/>
      <c r="AJ66" s="251"/>
    </row>
    <row r="67" spans="1:36" ht="15" thickTop="1" thickBot="1" x14ac:dyDescent="0.35">
      <c r="A67" s="234"/>
      <c r="B67" s="234" t="s">
        <v>1062</v>
      </c>
      <c r="D67" s="234" t="s">
        <v>531</v>
      </c>
      <c r="E67" s="235"/>
      <c r="F67" s="235" t="str">
        <f t="shared" si="0"/>
        <v>-</v>
      </c>
      <c r="G67" s="235" t="str">
        <f t="shared" si="1"/>
        <v>-</v>
      </c>
      <c r="H67" s="235"/>
      <c r="I67" s="236"/>
      <c r="J67" s="236"/>
      <c r="K67" s="241" t="str">
        <f ca="1">IF(Table1192[[#This Row],[VALID]],Table1192[[#This Row],[VALID]]-TODAY(),"-")</f>
        <v>-</v>
      </c>
      <c r="L67" s="244"/>
      <c r="M67" s="238"/>
      <c r="N67" s="237"/>
      <c r="O67" s="237"/>
      <c r="P67" s="237"/>
      <c r="Q67" s="250"/>
      <c r="R67" s="238"/>
      <c r="S67" s="237"/>
      <c r="T67" s="237"/>
      <c r="U67" s="237"/>
      <c r="V67" s="250"/>
      <c r="W67" s="239"/>
      <c r="X67" s="237"/>
      <c r="Y67" s="242"/>
      <c r="Z67" s="251"/>
      <c r="AA67" s="243"/>
      <c r="AB67" s="243"/>
      <c r="AC67" s="243"/>
      <c r="AD67" s="243"/>
      <c r="AE67" s="243"/>
      <c r="AF67" s="243"/>
      <c r="AG67" s="243"/>
      <c r="AH67" s="243"/>
      <c r="AI67" s="243"/>
      <c r="AJ67" s="251"/>
    </row>
    <row r="68" spans="1:36" ht="15" thickTop="1" thickBot="1" x14ac:dyDescent="0.35">
      <c r="A68" s="234"/>
      <c r="B68" s="234" t="s">
        <v>1062</v>
      </c>
      <c r="D68" s="234" t="s">
        <v>532</v>
      </c>
      <c r="E68" s="235"/>
      <c r="F68" s="235" t="str">
        <f t="shared" ref="F68:F131" si="4">IF(M68,SUM(M68:P68,W68:X68),"-")</f>
        <v>-</v>
      </c>
      <c r="G68" s="235" t="str">
        <f t="shared" ref="G68:G131" si="5">IF(R68,SUM(R68:U68,W68:X68),"-")</f>
        <v>-</v>
      </c>
      <c r="H68" s="235"/>
      <c r="I68" s="236"/>
      <c r="J68" s="236"/>
      <c r="K68" s="241" t="str">
        <f ca="1">IF(Table1192[[#This Row],[VALID]],Table1192[[#This Row],[VALID]]-TODAY(),"-")</f>
        <v>-</v>
      </c>
      <c r="L68" s="244"/>
      <c r="M68" s="238"/>
      <c r="N68" s="237"/>
      <c r="O68" s="237"/>
      <c r="P68" s="237"/>
      <c r="Q68" s="250"/>
      <c r="R68" s="238"/>
      <c r="S68" s="237"/>
      <c r="T68" s="237"/>
      <c r="U68" s="237"/>
      <c r="V68" s="250"/>
      <c r="W68" s="239"/>
      <c r="X68" s="237"/>
      <c r="Y68" s="242"/>
      <c r="Z68" s="251"/>
      <c r="AA68" s="243"/>
      <c r="AB68" s="243"/>
      <c r="AC68" s="243"/>
      <c r="AD68" s="243"/>
      <c r="AE68" s="243"/>
      <c r="AF68" s="243"/>
      <c r="AG68" s="243"/>
      <c r="AH68" s="243"/>
      <c r="AI68" s="243"/>
      <c r="AJ68" s="251"/>
    </row>
    <row r="69" spans="1:36" ht="15" thickTop="1" thickBot="1" x14ac:dyDescent="0.35">
      <c r="A69" s="234"/>
      <c r="B69" s="234" t="s">
        <v>1062</v>
      </c>
      <c r="D69" s="234" t="s">
        <v>1171</v>
      </c>
      <c r="E69" s="235"/>
      <c r="F69" s="235" t="str">
        <f t="shared" si="4"/>
        <v>-</v>
      </c>
      <c r="G69" s="235" t="str">
        <f t="shared" si="5"/>
        <v>-</v>
      </c>
      <c r="H69" s="235"/>
      <c r="I69" s="236"/>
      <c r="J69" s="236"/>
      <c r="K69" s="241" t="str">
        <f ca="1">IF(Table1192[[#This Row],[VALID]],Table1192[[#This Row],[VALID]]-TODAY(),"-")</f>
        <v>-</v>
      </c>
      <c r="L69" s="244"/>
      <c r="M69" s="238"/>
      <c r="N69" s="237"/>
      <c r="O69" s="237"/>
      <c r="P69" s="237"/>
      <c r="Q69" s="250"/>
      <c r="R69" s="238"/>
      <c r="S69" s="237"/>
      <c r="T69" s="237"/>
      <c r="U69" s="237"/>
      <c r="V69" s="250"/>
      <c r="W69" s="239"/>
      <c r="X69" s="237"/>
      <c r="Y69" s="242"/>
      <c r="Z69" s="251"/>
      <c r="AA69" s="243"/>
      <c r="AB69" s="243"/>
      <c r="AC69" s="243"/>
      <c r="AD69" s="243"/>
      <c r="AE69" s="243"/>
      <c r="AF69" s="243"/>
      <c r="AG69" s="243"/>
      <c r="AH69" s="243"/>
      <c r="AI69" s="243"/>
      <c r="AJ69" s="251"/>
    </row>
    <row r="70" spans="1:36" ht="15" thickTop="1" thickBot="1" x14ac:dyDescent="0.35">
      <c r="A70" s="234"/>
      <c r="B70" s="234" t="s">
        <v>1062</v>
      </c>
      <c r="D70" s="234" t="s">
        <v>1172</v>
      </c>
      <c r="E70" s="235"/>
      <c r="F70" s="235" t="str">
        <f t="shared" si="4"/>
        <v>-</v>
      </c>
      <c r="G70" s="235" t="str">
        <f t="shared" si="5"/>
        <v>-</v>
      </c>
      <c r="H70" s="235"/>
      <c r="I70" s="236"/>
      <c r="J70" s="236"/>
      <c r="K70" s="241" t="str">
        <f ca="1">IF(Table1192[[#This Row],[VALID]],Table1192[[#This Row],[VALID]]-TODAY(),"-")</f>
        <v>-</v>
      </c>
      <c r="L70" s="244"/>
      <c r="M70" s="238"/>
      <c r="N70" s="237"/>
      <c r="O70" s="237"/>
      <c r="P70" s="237"/>
      <c r="Q70" s="250"/>
      <c r="R70" s="238"/>
      <c r="S70" s="237"/>
      <c r="T70" s="237"/>
      <c r="U70" s="237"/>
      <c r="V70" s="250"/>
      <c r="W70" s="239"/>
      <c r="X70" s="237"/>
      <c r="Y70" s="242"/>
      <c r="Z70" s="251"/>
      <c r="AA70" s="243"/>
      <c r="AB70" s="243"/>
      <c r="AC70" s="243"/>
      <c r="AD70" s="243"/>
      <c r="AE70" s="243"/>
      <c r="AF70" s="243"/>
      <c r="AG70" s="243"/>
      <c r="AH70" s="243"/>
      <c r="AI70" s="243"/>
      <c r="AJ70" s="251"/>
    </row>
    <row r="71" spans="1:36" ht="15" thickTop="1" thickBot="1" x14ac:dyDescent="0.35">
      <c r="A71" s="234"/>
      <c r="B71" s="234" t="s">
        <v>1062</v>
      </c>
      <c r="D71" s="234" t="s">
        <v>549</v>
      </c>
      <c r="E71" s="235"/>
      <c r="F71" s="235" t="str">
        <f t="shared" si="4"/>
        <v>-</v>
      </c>
      <c r="G71" s="235" t="str">
        <f t="shared" si="5"/>
        <v>-</v>
      </c>
      <c r="H71" s="235"/>
      <c r="I71" s="236"/>
      <c r="J71" s="236"/>
      <c r="K71" s="241" t="str">
        <f ca="1">IF(Table1192[[#This Row],[VALID]],Table1192[[#This Row],[VALID]]-TODAY(),"-")</f>
        <v>-</v>
      </c>
      <c r="L71" s="244"/>
      <c r="M71" s="238"/>
      <c r="N71" s="237"/>
      <c r="O71" s="237"/>
      <c r="P71" s="237"/>
      <c r="Q71" s="250"/>
      <c r="R71" s="238"/>
      <c r="S71" s="237"/>
      <c r="T71" s="237"/>
      <c r="U71" s="237"/>
      <c r="V71" s="250"/>
      <c r="W71" s="239"/>
      <c r="X71" s="237"/>
      <c r="Y71" s="242"/>
      <c r="Z71" s="251"/>
      <c r="AA71" s="243"/>
      <c r="AB71" s="243"/>
      <c r="AC71" s="243"/>
      <c r="AD71" s="243"/>
      <c r="AE71" s="243"/>
      <c r="AF71" s="243"/>
      <c r="AG71" s="243"/>
      <c r="AH71" s="243"/>
      <c r="AI71" s="243"/>
      <c r="AJ71" s="251"/>
    </row>
    <row r="72" spans="1:36" ht="15" thickTop="1" thickBot="1" x14ac:dyDescent="0.35">
      <c r="A72" s="234"/>
      <c r="B72" s="234" t="s">
        <v>1062</v>
      </c>
      <c r="D72" s="234" t="s">
        <v>550</v>
      </c>
      <c r="E72" s="235"/>
      <c r="F72" s="235" t="str">
        <f t="shared" si="4"/>
        <v>-</v>
      </c>
      <c r="G72" s="235" t="str">
        <f t="shared" si="5"/>
        <v>-</v>
      </c>
      <c r="H72" s="235"/>
      <c r="I72" s="236"/>
      <c r="J72" s="236"/>
      <c r="K72" s="241" t="str">
        <f ca="1">IF(Table1192[[#This Row],[VALID]],Table1192[[#This Row],[VALID]]-TODAY(),"-")</f>
        <v>-</v>
      </c>
      <c r="L72" s="244"/>
      <c r="M72" s="238"/>
      <c r="N72" s="237"/>
      <c r="O72" s="237"/>
      <c r="P72" s="237"/>
      <c r="Q72" s="250"/>
      <c r="R72" s="238"/>
      <c r="S72" s="237"/>
      <c r="T72" s="237"/>
      <c r="U72" s="237"/>
      <c r="V72" s="250"/>
      <c r="W72" s="239"/>
      <c r="X72" s="237"/>
      <c r="Y72" s="242"/>
      <c r="Z72" s="251"/>
      <c r="AA72" s="243"/>
      <c r="AB72" s="243"/>
      <c r="AC72" s="243"/>
      <c r="AD72" s="243"/>
      <c r="AE72" s="243"/>
      <c r="AF72" s="243"/>
      <c r="AG72" s="243"/>
      <c r="AH72" s="243"/>
      <c r="AI72" s="243"/>
      <c r="AJ72" s="251"/>
    </row>
    <row r="73" spans="1:36" ht="15" thickTop="1" thickBot="1" x14ac:dyDescent="0.35">
      <c r="A73" s="234"/>
      <c r="B73" s="234" t="s">
        <v>1062</v>
      </c>
      <c r="D73" s="234" t="s">
        <v>1173</v>
      </c>
      <c r="E73" s="235"/>
      <c r="F73" s="235" t="str">
        <f t="shared" si="4"/>
        <v>-</v>
      </c>
      <c r="G73" s="235" t="str">
        <f t="shared" si="5"/>
        <v>-</v>
      </c>
      <c r="H73" s="235"/>
      <c r="I73" s="236"/>
      <c r="J73" s="236"/>
      <c r="K73" s="241" t="str">
        <f ca="1">IF(Table1192[[#This Row],[VALID]],Table1192[[#This Row],[VALID]]-TODAY(),"-")</f>
        <v>-</v>
      </c>
      <c r="L73" s="244"/>
      <c r="M73" s="238"/>
      <c r="N73" s="237"/>
      <c r="O73" s="237"/>
      <c r="P73" s="237"/>
      <c r="Q73" s="250"/>
      <c r="R73" s="238"/>
      <c r="S73" s="237"/>
      <c r="T73" s="237"/>
      <c r="U73" s="237"/>
      <c r="V73" s="250"/>
      <c r="W73" s="239"/>
      <c r="X73" s="237"/>
      <c r="Y73" s="242"/>
      <c r="Z73" s="251"/>
      <c r="AA73" s="243"/>
      <c r="AB73" s="243"/>
      <c r="AC73" s="243"/>
      <c r="AD73" s="243"/>
      <c r="AE73" s="243"/>
      <c r="AF73" s="243"/>
      <c r="AG73" s="243"/>
      <c r="AH73" s="243"/>
      <c r="AI73" s="243"/>
      <c r="AJ73" s="251"/>
    </row>
    <row r="74" spans="1:36" ht="15" thickTop="1" thickBot="1" x14ac:dyDescent="0.35">
      <c r="A74" s="234"/>
      <c r="B74" s="234" t="s">
        <v>1062</v>
      </c>
      <c r="D74" s="234" t="s">
        <v>574</v>
      </c>
      <c r="E74" s="235"/>
      <c r="F74" s="235" t="str">
        <f t="shared" si="4"/>
        <v>-</v>
      </c>
      <c r="G74" s="235" t="str">
        <f t="shared" si="5"/>
        <v>-</v>
      </c>
      <c r="H74" s="235"/>
      <c r="I74" s="236"/>
      <c r="J74" s="236"/>
      <c r="K74" s="241" t="str">
        <f ca="1">IF(Table1192[[#This Row],[VALID]],Table1192[[#This Row],[VALID]]-TODAY(),"-")</f>
        <v>-</v>
      </c>
      <c r="L74" s="244"/>
      <c r="M74" s="238"/>
      <c r="N74" s="237"/>
      <c r="O74" s="237"/>
      <c r="P74" s="237"/>
      <c r="Q74" s="250"/>
      <c r="R74" s="238"/>
      <c r="S74" s="237"/>
      <c r="T74" s="237"/>
      <c r="U74" s="237"/>
      <c r="V74" s="250"/>
      <c r="W74" s="239"/>
      <c r="X74" s="237"/>
      <c r="Y74" s="242"/>
      <c r="Z74" s="251"/>
      <c r="AA74" s="243"/>
      <c r="AB74" s="243"/>
      <c r="AC74" s="243"/>
      <c r="AD74" s="243"/>
      <c r="AE74" s="243"/>
      <c r="AF74" s="243"/>
      <c r="AG74" s="243"/>
      <c r="AH74" s="243"/>
      <c r="AI74" s="243"/>
      <c r="AJ74" s="251"/>
    </row>
    <row r="75" spans="1:36" ht="15" thickTop="1" thickBot="1" x14ac:dyDescent="0.35">
      <c r="A75" s="234"/>
      <c r="B75" s="234" t="s">
        <v>1062</v>
      </c>
      <c r="D75" s="234" t="s">
        <v>1174</v>
      </c>
      <c r="E75" s="235"/>
      <c r="F75" s="235" t="str">
        <f t="shared" si="4"/>
        <v>-</v>
      </c>
      <c r="G75" s="235" t="str">
        <f t="shared" si="5"/>
        <v>-</v>
      </c>
      <c r="H75" s="235"/>
      <c r="I75" s="236"/>
      <c r="J75" s="236"/>
      <c r="K75" s="241" t="str">
        <f ca="1">IF(Table1192[[#This Row],[VALID]],Table1192[[#This Row],[VALID]]-TODAY(),"-")</f>
        <v>-</v>
      </c>
      <c r="L75" s="244"/>
      <c r="M75" s="238"/>
      <c r="N75" s="237"/>
      <c r="O75" s="237"/>
      <c r="P75" s="237"/>
      <c r="Q75" s="250"/>
      <c r="R75" s="238"/>
      <c r="S75" s="237"/>
      <c r="T75" s="237"/>
      <c r="U75" s="237"/>
      <c r="V75" s="250"/>
      <c r="W75" s="239"/>
      <c r="X75" s="237"/>
      <c r="Y75" s="242"/>
      <c r="Z75" s="251"/>
      <c r="AA75" s="243"/>
      <c r="AB75" s="243"/>
      <c r="AC75" s="243"/>
      <c r="AD75" s="243"/>
      <c r="AE75" s="243"/>
      <c r="AF75" s="243"/>
      <c r="AG75" s="243"/>
      <c r="AH75" s="243"/>
      <c r="AI75" s="243"/>
      <c r="AJ75" s="251"/>
    </row>
    <row r="76" spans="1:36" ht="15" thickTop="1" thickBot="1" x14ac:dyDescent="0.35">
      <c r="A76" s="234"/>
      <c r="B76" s="234" t="s">
        <v>1062</v>
      </c>
      <c r="D76" s="234" t="s">
        <v>616</v>
      </c>
      <c r="E76" s="235"/>
      <c r="F76" s="235" t="str">
        <f t="shared" si="4"/>
        <v>-</v>
      </c>
      <c r="G76" s="235" t="str">
        <f t="shared" si="5"/>
        <v>-</v>
      </c>
      <c r="H76" s="235"/>
      <c r="I76" s="236"/>
      <c r="J76" s="236"/>
      <c r="K76" s="241" t="str">
        <f ca="1">IF(Table1192[[#This Row],[VALID]],Table1192[[#This Row],[VALID]]-TODAY(),"-")</f>
        <v>-</v>
      </c>
      <c r="L76" s="244"/>
      <c r="M76" s="238"/>
      <c r="N76" s="237"/>
      <c r="O76" s="237"/>
      <c r="P76" s="237"/>
      <c r="Q76" s="250"/>
      <c r="R76" s="238"/>
      <c r="S76" s="237"/>
      <c r="T76" s="237"/>
      <c r="U76" s="237"/>
      <c r="V76" s="250"/>
      <c r="W76" s="239"/>
      <c r="X76" s="237"/>
      <c r="Y76" s="242"/>
      <c r="Z76" s="251"/>
      <c r="AA76" s="243"/>
      <c r="AB76" s="243"/>
      <c r="AC76" s="243"/>
      <c r="AD76" s="243"/>
      <c r="AE76" s="243"/>
      <c r="AF76" s="243"/>
      <c r="AG76" s="243"/>
      <c r="AH76" s="243"/>
      <c r="AI76" s="243"/>
      <c r="AJ76" s="251"/>
    </row>
    <row r="77" spans="1:36" ht="15" thickTop="1" thickBot="1" x14ac:dyDescent="0.35">
      <c r="A77" s="234"/>
      <c r="B77" s="234" t="s">
        <v>1062</v>
      </c>
      <c r="D77" s="234" t="s">
        <v>617</v>
      </c>
      <c r="E77" s="235"/>
      <c r="F77" s="235" t="str">
        <f t="shared" si="4"/>
        <v>-</v>
      </c>
      <c r="G77" s="235" t="str">
        <f t="shared" si="5"/>
        <v>-</v>
      </c>
      <c r="H77" s="235"/>
      <c r="I77" s="236"/>
      <c r="J77" s="236"/>
      <c r="K77" s="241" t="str">
        <f ca="1">IF(Table1192[[#This Row],[VALID]],Table1192[[#This Row],[VALID]]-TODAY(),"-")</f>
        <v>-</v>
      </c>
      <c r="L77" s="244"/>
      <c r="M77" s="238"/>
      <c r="N77" s="237"/>
      <c r="O77" s="237"/>
      <c r="P77" s="237"/>
      <c r="Q77" s="250"/>
      <c r="R77" s="238"/>
      <c r="S77" s="237"/>
      <c r="T77" s="237"/>
      <c r="U77" s="237"/>
      <c r="V77" s="250"/>
      <c r="W77" s="239"/>
      <c r="X77" s="237"/>
      <c r="Y77" s="242"/>
      <c r="Z77" s="251"/>
      <c r="AA77" s="243"/>
      <c r="AB77" s="243"/>
      <c r="AC77" s="243"/>
      <c r="AD77" s="243"/>
      <c r="AE77" s="243"/>
      <c r="AF77" s="243"/>
      <c r="AG77" s="243"/>
      <c r="AH77" s="243"/>
      <c r="AI77" s="243"/>
      <c r="AJ77" s="251"/>
    </row>
    <row r="78" spans="1:36" ht="15" thickTop="1" thickBot="1" x14ac:dyDescent="0.35">
      <c r="A78" s="234"/>
      <c r="B78" s="234" t="s">
        <v>1062</v>
      </c>
      <c r="D78" s="234" t="s">
        <v>1175</v>
      </c>
      <c r="E78" s="235"/>
      <c r="F78" s="235" t="str">
        <f t="shared" si="4"/>
        <v>-</v>
      </c>
      <c r="G78" s="235" t="str">
        <f t="shared" si="5"/>
        <v>-</v>
      </c>
      <c r="H78" s="235"/>
      <c r="I78" s="236"/>
      <c r="J78" s="236"/>
      <c r="K78" s="241" t="str">
        <f ca="1">IF(Table1192[[#This Row],[VALID]],Table1192[[#This Row],[VALID]]-TODAY(),"-")</f>
        <v>-</v>
      </c>
      <c r="L78" s="244"/>
      <c r="M78" s="238"/>
      <c r="N78" s="237"/>
      <c r="O78" s="237"/>
      <c r="P78" s="237"/>
      <c r="Q78" s="250"/>
      <c r="R78" s="238"/>
      <c r="S78" s="237"/>
      <c r="T78" s="237"/>
      <c r="U78" s="237"/>
      <c r="V78" s="250"/>
      <c r="W78" s="239"/>
      <c r="X78" s="237"/>
      <c r="Y78" s="242"/>
      <c r="Z78" s="251"/>
      <c r="AA78" s="243"/>
      <c r="AB78" s="243"/>
      <c r="AC78" s="243"/>
      <c r="AD78" s="243"/>
      <c r="AE78" s="243"/>
      <c r="AF78" s="243"/>
      <c r="AG78" s="243"/>
      <c r="AH78" s="243"/>
      <c r="AI78" s="243"/>
      <c r="AJ78" s="251"/>
    </row>
    <row r="79" spans="1:36" ht="15" thickTop="1" thickBot="1" x14ac:dyDescent="0.35">
      <c r="A79" s="234"/>
      <c r="B79" s="234" t="s">
        <v>1062</v>
      </c>
      <c r="D79" s="234" t="s">
        <v>619</v>
      </c>
      <c r="E79" s="235"/>
      <c r="F79" s="235" t="str">
        <f t="shared" si="4"/>
        <v>-</v>
      </c>
      <c r="G79" s="235" t="str">
        <f t="shared" si="5"/>
        <v>-</v>
      </c>
      <c r="H79" s="235"/>
      <c r="I79" s="236"/>
      <c r="J79" s="236"/>
      <c r="K79" s="241" t="str">
        <f ca="1">IF(Table1192[[#This Row],[VALID]],Table1192[[#This Row],[VALID]]-TODAY(),"-")</f>
        <v>-</v>
      </c>
      <c r="L79" s="244"/>
      <c r="M79" s="238"/>
      <c r="N79" s="237"/>
      <c r="O79" s="237"/>
      <c r="P79" s="237"/>
      <c r="Q79" s="250"/>
      <c r="R79" s="238"/>
      <c r="S79" s="237"/>
      <c r="T79" s="237"/>
      <c r="U79" s="237"/>
      <c r="V79" s="250"/>
      <c r="W79" s="239"/>
      <c r="X79" s="237"/>
      <c r="Y79" s="242"/>
      <c r="Z79" s="251"/>
      <c r="AA79" s="243"/>
      <c r="AB79" s="243"/>
      <c r="AC79" s="243"/>
      <c r="AD79" s="243"/>
      <c r="AE79" s="243"/>
      <c r="AF79" s="243"/>
      <c r="AG79" s="243"/>
      <c r="AH79" s="243"/>
      <c r="AI79" s="243"/>
      <c r="AJ79" s="251"/>
    </row>
    <row r="80" spans="1:36" ht="15" thickTop="1" thickBot="1" x14ac:dyDescent="0.35">
      <c r="A80" s="234"/>
      <c r="B80" s="234" t="s">
        <v>1062</v>
      </c>
      <c r="D80" s="234" t="s">
        <v>627</v>
      </c>
      <c r="E80" s="235"/>
      <c r="F80" s="235" t="str">
        <f t="shared" si="4"/>
        <v>-</v>
      </c>
      <c r="G80" s="235" t="str">
        <f t="shared" si="5"/>
        <v>-</v>
      </c>
      <c r="H80" s="235"/>
      <c r="I80" s="236"/>
      <c r="J80" s="236"/>
      <c r="K80" s="241" t="str">
        <f ca="1">IF(Table1192[[#This Row],[VALID]],Table1192[[#This Row],[VALID]]-TODAY(),"-")</f>
        <v>-</v>
      </c>
      <c r="L80" s="244"/>
      <c r="M80" s="238"/>
      <c r="N80" s="237"/>
      <c r="O80" s="237"/>
      <c r="P80" s="237"/>
      <c r="Q80" s="250"/>
      <c r="R80" s="238"/>
      <c r="S80" s="237"/>
      <c r="T80" s="237"/>
      <c r="U80" s="237"/>
      <c r="V80" s="250"/>
      <c r="W80" s="239"/>
      <c r="X80" s="237"/>
      <c r="Y80" s="242"/>
      <c r="Z80" s="251"/>
      <c r="AA80" s="243"/>
      <c r="AB80" s="243"/>
      <c r="AC80" s="243"/>
      <c r="AD80" s="243"/>
      <c r="AE80" s="243"/>
      <c r="AF80" s="243"/>
      <c r="AG80" s="243"/>
      <c r="AH80" s="243"/>
      <c r="AI80" s="243"/>
      <c r="AJ80" s="251"/>
    </row>
    <row r="81" spans="1:16370" ht="15" thickTop="1" thickBot="1" x14ac:dyDescent="0.35">
      <c r="A81" s="234"/>
      <c r="B81" s="234" t="s">
        <v>1062</v>
      </c>
      <c r="D81" s="234" t="s">
        <v>1176</v>
      </c>
      <c r="E81" s="235"/>
      <c r="F81" s="235" t="str">
        <f t="shared" si="4"/>
        <v>-</v>
      </c>
      <c r="G81" s="235" t="str">
        <f t="shared" si="5"/>
        <v>-</v>
      </c>
      <c r="H81" s="235"/>
      <c r="I81" s="236"/>
      <c r="J81" s="236"/>
      <c r="K81" s="241" t="str">
        <f ca="1">IF(Table1192[[#This Row],[VALID]],Table1192[[#This Row],[VALID]]-TODAY(),"-")</f>
        <v>-</v>
      </c>
      <c r="L81" s="244"/>
      <c r="M81" s="238"/>
      <c r="N81" s="237"/>
      <c r="O81" s="237"/>
      <c r="P81" s="237"/>
      <c r="Q81" s="250"/>
      <c r="R81" s="238"/>
      <c r="S81" s="237"/>
      <c r="T81" s="237"/>
      <c r="U81" s="237"/>
      <c r="V81" s="250"/>
      <c r="W81" s="239"/>
      <c r="X81" s="237"/>
      <c r="Y81" s="242"/>
      <c r="Z81" s="251"/>
      <c r="AA81" s="243"/>
      <c r="AB81" s="243"/>
      <c r="AC81" s="243"/>
      <c r="AD81" s="243"/>
      <c r="AE81" s="243"/>
      <c r="AF81" s="243"/>
      <c r="AG81" s="243"/>
      <c r="AH81" s="243"/>
      <c r="AI81" s="243"/>
      <c r="AJ81" s="251"/>
    </row>
    <row r="82" spans="1:16370" ht="15" thickTop="1" thickBot="1" x14ac:dyDescent="0.35">
      <c r="A82" s="234"/>
      <c r="B82" s="234" t="s">
        <v>1062</v>
      </c>
      <c r="D82" s="234" t="s">
        <v>666</v>
      </c>
      <c r="E82" s="235"/>
      <c r="F82" s="235" t="str">
        <f t="shared" si="4"/>
        <v>-</v>
      </c>
      <c r="G82" s="235" t="str">
        <f t="shared" si="5"/>
        <v>-</v>
      </c>
      <c r="H82" s="235"/>
      <c r="I82" s="236"/>
      <c r="J82" s="236"/>
      <c r="K82" s="241" t="str">
        <f ca="1">IF(Table1192[[#This Row],[VALID]],Table1192[[#This Row],[VALID]]-TODAY(),"-")</f>
        <v>-</v>
      </c>
      <c r="L82" s="244"/>
      <c r="M82" s="238"/>
      <c r="N82" s="237"/>
      <c r="O82" s="237"/>
      <c r="P82" s="237"/>
      <c r="Q82" s="250"/>
      <c r="R82" s="238"/>
      <c r="S82" s="237"/>
      <c r="T82" s="237"/>
      <c r="U82" s="237"/>
      <c r="V82" s="250"/>
      <c r="W82" s="239"/>
      <c r="X82" s="237"/>
      <c r="Y82" s="242"/>
      <c r="Z82" s="251"/>
      <c r="AA82" s="243"/>
      <c r="AB82" s="243"/>
      <c r="AC82" s="243"/>
      <c r="AD82" s="243"/>
      <c r="AE82" s="243"/>
      <c r="AF82" s="243"/>
      <c r="AG82" s="243"/>
      <c r="AH82" s="243"/>
      <c r="AI82" s="243"/>
      <c r="AJ82" s="251"/>
    </row>
    <row r="83" spans="1:16370" ht="15" thickTop="1" thickBot="1" x14ac:dyDescent="0.35">
      <c r="A83" s="234"/>
      <c r="B83" s="234" t="s">
        <v>1062</v>
      </c>
      <c r="D83" s="234" t="s">
        <v>667</v>
      </c>
      <c r="E83" s="235"/>
      <c r="F83" s="235" t="str">
        <f t="shared" si="4"/>
        <v>-</v>
      </c>
      <c r="G83" s="235" t="str">
        <f t="shared" si="5"/>
        <v>-</v>
      </c>
      <c r="H83" s="235"/>
      <c r="I83" s="236"/>
      <c r="J83" s="236"/>
      <c r="K83" s="241" t="str">
        <f ca="1">IF(Table1192[[#This Row],[VALID]],Table1192[[#This Row],[VALID]]-TODAY(),"-")</f>
        <v>-</v>
      </c>
      <c r="L83" s="244"/>
      <c r="M83" s="238"/>
      <c r="N83" s="237"/>
      <c r="O83" s="237"/>
      <c r="P83" s="237"/>
      <c r="Q83" s="250"/>
      <c r="R83" s="238"/>
      <c r="S83" s="237"/>
      <c r="T83" s="237"/>
      <c r="U83" s="237"/>
      <c r="V83" s="250"/>
      <c r="W83" s="239"/>
      <c r="X83" s="237"/>
      <c r="Y83" s="242"/>
      <c r="Z83" s="251"/>
      <c r="AA83" s="243"/>
      <c r="AB83" s="243"/>
      <c r="AC83" s="243"/>
      <c r="AD83" s="243"/>
      <c r="AE83" s="243"/>
      <c r="AF83" s="243"/>
      <c r="AG83" s="243"/>
      <c r="AH83" s="243"/>
      <c r="AI83" s="243"/>
      <c r="AJ83" s="251"/>
      <c r="AK83" s="248" t="str">
        <f>UPPER(AI84)</f>
        <v/>
      </c>
      <c r="AL83" s="248" t="str">
        <f t="shared" ref="AL83:CP83" si="6">UPPER(AJ83)</f>
        <v/>
      </c>
      <c r="AM83" s="248" t="str">
        <f t="shared" si="6"/>
        <v/>
      </c>
      <c r="AN83" s="248" t="str">
        <f t="shared" si="6"/>
        <v/>
      </c>
      <c r="AO83" s="248" t="str">
        <f t="shared" si="6"/>
        <v/>
      </c>
      <c r="AP83" s="248" t="str">
        <f t="shared" si="6"/>
        <v/>
      </c>
      <c r="AQ83" s="248" t="str">
        <f t="shared" si="6"/>
        <v/>
      </c>
      <c r="AR83" s="248" t="str">
        <f t="shared" si="6"/>
        <v/>
      </c>
      <c r="AS83" s="248" t="str">
        <f t="shared" si="6"/>
        <v/>
      </c>
      <c r="AT83" s="248" t="str">
        <f t="shared" si="6"/>
        <v/>
      </c>
      <c r="AU83" s="248" t="str">
        <f t="shared" si="6"/>
        <v/>
      </c>
      <c r="AV83" s="248" t="str">
        <f t="shared" si="6"/>
        <v/>
      </c>
      <c r="AW83" s="248" t="str">
        <f t="shared" si="6"/>
        <v/>
      </c>
      <c r="AX83" s="248" t="str">
        <f t="shared" si="6"/>
        <v/>
      </c>
      <c r="AY83" s="248" t="str">
        <f t="shared" si="6"/>
        <v/>
      </c>
      <c r="AZ83" s="248" t="str">
        <f t="shared" si="6"/>
        <v/>
      </c>
      <c r="BA83" s="248" t="str">
        <f t="shared" si="6"/>
        <v/>
      </c>
      <c r="BB83" s="248" t="str">
        <f t="shared" si="6"/>
        <v/>
      </c>
      <c r="BC83" s="248" t="str">
        <f t="shared" si="6"/>
        <v/>
      </c>
      <c r="BD83" s="248" t="str">
        <f t="shared" si="6"/>
        <v/>
      </c>
      <c r="BE83" s="248" t="str">
        <f t="shared" si="6"/>
        <v/>
      </c>
      <c r="BF83" s="248" t="str">
        <f t="shared" si="6"/>
        <v/>
      </c>
      <c r="BG83" s="248" t="str">
        <f t="shared" si="6"/>
        <v/>
      </c>
      <c r="BH83" s="248" t="str">
        <f t="shared" si="6"/>
        <v/>
      </c>
      <c r="BI83" s="248" t="str">
        <f t="shared" si="6"/>
        <v/>
      </c>
      <c r="BJ83" s="248" t="str">
        <f t="shared" si="6"/>
        <v/>
      </c>
      <c r="BK83" s="248" t="str">
        <f t="shared" si="6"/>
        <v/>
      </c>
      <c r="BL83" s="248" t="str">
        <f t="shared" si="6"/>
        <v/>
      </c>
      <c r="BM83" s="248" t="str">
        <f t="shared" si="6"/>
        <v/>
      </c>
      <c r="BN83" s="248" t="str">
        <f t="shared" si="6"/>
        <v/>
      </c>
      <c r="BO83" s="248" t="str">
        <f t="shared" si="6"/>
        <v/>
      </c>
      <c r="BP83" s="248" t="str">
        <f t="shared" si="6"/>
        <v/>
      </c>
      <c r="BQ83" s="248" t="str">
        <f t="shared" si="6"/>
        <v/>
      </c>
      <c r="BR83" s="248" t="str">
        <f t="shared" si="6"/>
        <v/>
      </c>
      <c r="BS83" s="248" t="str">
        <f t="shared" si="6"/>
        <v/>
      </c>
      <c r="BT83" s="248" t="str">
        <f t="shared" si="6"/>
        <v/>
      </c>
      <c r="BU83" s="248" t="str">
        <f t="shared" si="6"/>
        <v/>
      </c>
      <c r="BV83" s="248" t="str">
        <f t="shared" si="6"/>
        <v/>
      </c>
      <c r="BW83" s="248" t="str">
        <f t="shared" si="6"/>
        <v/>
      </c>
      <c r="BX83" s="248" t="str">
        <f t="shared" si="6"/>
        <v/>
      </c>
      <c r="BY83" s="248" t="str">
        <f t="shared" si="6"/>
        <v/>
      </c>
      <c r="BZ83" s="248" t="str">
        <f t="shared" si="6"/>
        <v/>
      </c>
      <c r="CA83" s="248" t="str">
        <f t="shared" si="6"/>
        <v/>
      </c>
      <c r="CB83" s="248" t="str">
        <f t="shared" si="6"/>
        <v/>
      </c>
      <c r="CC83" s="248" t="str">
        <f t="shared" si="6"/>
        <v/>
      </c>
      <c r="CD83" s="248" t="str">
        <f t="shared" si="6"/>
        <v/>
      </c>
      <c r="CE83" s="248" t="str">
        <f t="shared" si="6"/>
        <v/>
      </c>
      <c r="CF83" s="248" t="str">
        <f t="shared" si="6"/>
        <v/>
      </c>
      <c r="CG83" s="248" t="str">
        <f t="shared" si="6"/>
        <v/>
      </c>
      <c r="CH83" s="248" t="str">
        <f t="shared" si="6"/>
        <v/>
      </c>
      <c r="CI83" s="248" t="str">
        <f t="shared" si="6"/>
        <v/>
      </c>
      <c r="CJ83" s="248" t="str">
        <f t="shared" si="6"/>
        <v/>
      </c>
      <c r="CK83" s="248" t="str">
        <f t="shared" si="6"/>
        <v/>
      </c>
      <c r="CL83" s="248" t="str">
        <f t="shared" si="6"/>
        <v/>
      </c>
      <c r="CM83" s="248" t="str">
        <f t="shared" si="6"/>
        <v/>
      </c>
      <c r="CN83" s="248" t="str">
        <f t="shared" si="6"/>
        <v/>
      </c>
      <c r="CO83" s="248" t="str">
        <f t="shared" si="6"/>
        <v/>
      </c>
      <c r="CP83" s="248" t="str">
        <f t="shared" si="6"/>
        <v/>
      </c>
      <c r="CQ83" s="248" t="str">
        <f t="shared" ref="CQ83:FB83" si="7">UPPER(CO83)</f>
        <v/>
      </c>
      <c r="CR83" s="248" t="str">
        <f t="shared" si="7"/>
        <v/>
      </c>
      <c r="CS83" s="248" t="str">
        <f t="shared" si="7"/>
        <v/>
      </c>
      <c r="CT83" s="248" t="str">
        <f t="shared" si="7"/>
        <v/>
      </c>
      <c r="CU83" s="248" t="str">
        <f t="shared" si="7"/>
        <v/>
      </c>
      <c r="CV83" s="248" t="str">
        <f t="shared" si="7"/>
        <v/>
      </c>
      <c r="CW83" s="248" t="str">
        <f t="shared" si="7"/>
        <v/>
      </c>
      <c r="CX83" s="248" t="str">
        <f t="shared" si="7"/>
        <v/>
      </c>
      <c r="CY83" s="248" t="str">
        <f t="shared" si="7"/>
        <v/>
      </c>
      <c r="CZ83" s="248" t="str">
        <f t="shared" si="7"/>
        <v/>
      </c>
      <c r="DA83" s="248" t="str">
        <f t="shared" si="7"/>
        <v/>
      </c>
      <c r="DB83" s="248" t="str">
        <f t="shared" si="7"/>
        <v/>
      </c>
      <c r="DC83" s="248" t="str">
        <f t="shared" si="7"/>
        <v/>
      </c>
      <c r="DD83" s="248" t="str">
        <f t="shared" si="7"/>
        <v/>
      </c>
      <c r="DE83" s="248" t="str">
        <f t="shared" si="7"/>
        <v/>
      </c>
      <c r="DF83" s="248" t="str">
        <f t="shared" si="7"/>
        <v/>
      </c>
      <c r="DG83" s="248" t="str">
        <f t="shared" si="7"/>
        <v/>
      </c>
      <c r="DH83" s="248" t="str">
        <f t="shared" si="7"/>
        <v/>
      </c>
      <c r="DI83" s="248" t="str">
        <f t="shared" si="7"/>
        <v/>
      </c>
      <c r="DJ83" s="248" t="str">
        <f t="shared" si="7"/>
        <v/>
      </c>
      <c r="DK83" s="248" t="str">
        <f t="shared" si="7"/>
        <v/>
      </c>
      <c r="DL83" s="248" t="str">
        <f t="shared" si="7"/>
        <v/>
      </c>
      <c r="DM83" s="248" t="str">
        <f t="shared" si="7"/>
        <v/>
      </c>
      <c r="DN83" s="248" t="str">
        <f t="shared" si="7"/>
        <v/>
      </c>
      <c r="DO83" s="248" t="str">
        <f t="shared" si="7"/>
        <v/>
      </c>
      <c r="DP83" s="248" t="str">
        <f t="shared" si="7"/>
        <v/>
      </c>
      <c r="DQ83" s="248" t="str">
        <f t="shared" si="7"/>
        <v/>
      </c>
      <c r="DR83" s="248" t="str">
        <f t="shared" si="7"/>
        <v/>
      </c>
      <c r="DS83" s="248" t="str">
        <f t="shared" si="7"/>
        <v/>
      </c>
      <c r="DT83" s="248" t="str">
        <f t="shared" si="7"/>
        <v/>
      </c>
      <c r="DU83" s="248" t="str">
        <f t="shared" si="7"/>
        <v/>
      </c>
      <c r="DV83" s="248" t="str">
        <f t="shared" si="7"/>
        <v/>
      </c>
      <c r="DW83" s="248" t="str">
        <f t="shared" si="7"/>
        <v/>
      </c>
      <c r="DX83" s="248" t="str">
        <f t="shared" si="7"/>
        <v/>
      </c>
      <c r="DY83" s="248" t="str">
        <f t="shared" si="7"/>
        <v/>
      </c>
      <c r="DZ83" s="248" t="str">
        <f t="shared" si="7"/>
        <v/>
      </c>
      <c r="EA83" s="248" t="str">
        <f t="shared" si="7"/>
        <v/>
      </c>
      <c r="EB83" s="248" t="str">
        <f t="shared" si="7"/>
        <v/>
      </c>
      <c r="EC83" s="248" t="str">
        <f t="shared" si="7"/>
        <v/>
      </c>
      <c r="ED83" s="248" t="str">
        <f t="shared" si="7"/>
        <v/>
      </c>
      <c r="EE83" s="248" t="str">
        <f t="shared" si="7"/>
        <v/>
      </c>
      <c r="EF83" s="248" t="str">
        <f t="shared" si="7"/>
        <v/>
      </c>
      <c r="EG83" s="248" t="str">
        <f t="shared" si="7"/>
        <v/>
      </c>
      <c r="EH83" s="248" t="str">
        <f t="shared" si="7"/>
        <v/>
      </c>
      <c r="EI83" s="248" t="str">
        <f t="shared" si="7"/>
        <v/>
      </c>
      <c r="EJ83" s="248" t="str">
        <f t="shared" si="7"/>
        <v/>
      </c>
      <c r="EK83" s="248" t="str">
        <f t="shared" si="7"/>
        <v/>
      </c>
      <c r="EL83" s="248" t="str">
        <f t="shared" si="7"/>
        <v/>
      </c>
      <c r="EM83" s="248" t="str">
        <f t="shared" si="7"/>
        <v/>
      </c>
      <c r="EN83" s="248" t="str">
        <f t="shared" si="7"/>
        <v/>
      </c>
      <c r="EO83" s="248" t="str">
        <f t="shared" si="7"/>
        <v/>
      </c>
      <c r="EP83" s="248" t="str">
        <f t="shared" si="7"/>
        <v/>
      </c>
      <c r="EQ83" s="248" t="str">
        <f t="shared" si="7"/>
        <v/>
      </c>
      <c r="ER83" s="248" t="str">
        <f t="shared" si="7"/>
        <v/>
      </c>
      <c r="ES83" s="248" t="str">
        <f t="shared" si="7"/>
        <v/>
      </c>
      <c r="ET83" s="248" t="str">
        <f t="shared" si="7"/>
        <v/>
      </c>
      <c r="EU83" s="248" t="str">
        <f t="shared" si="7"/>
        <v/>
      </c>
      <c r="EV83" s="248" t="str">
        <f t="shared" si="7"/>
        <v/>
      </c>
      <c r="EW83" s="248" t="str">
        <f t="shared" si="7"/>
        <v/>
      </c>
      <c r="EX83" s="248" t="str">
        <f t="shared" si="7"/>
        <v/>
      </c>
      <c r="EY83" s="248" t="str">
        <f t="shared" si="7"/>
        <v/>
      </c>
      <c r="EZ83" s="248" t="str">
        <f t="shared" si="7"/>
        <v/>
      </c>
      <c r="FA83" s="248" t="str">
        <f t="shared" si="7"/>
        <v/>
      </c>
      <c r="FB83" s="248" t="str">
        <f t="shared" si="7"/>
        <v/>
      </c>
      <c r="FC83" s="248" t="str">
        <f t="shared" ref="FC83:HN83" si="8">UPPER(FA83)</f>
        <v/>
      </c>
      <c r="FD83" s="248" t="str">
        <f t="shared" si="8"/>
        <v/>
      </c>
      <c r="FE83" s="248" t="str">
        <f t="shared" si="8"/>
        <v/>
      </c>
      <c r="FF83" s="248" t="str">
        <f t="shared" si="8"/>
        <v/>
      </c>
      <c r="FG83" s="248" t="str">
        <f t="shared" si="8"/>
        <v/>
      </c>
      <c r="FH83" s="248" t="str">
        <f t="shared" si="8"/>
        <v/>
      </c>
      <c r="FI83" s="248" t="str">
        <f t="shared" si="8"/>
        <v/>
      </c>
      <c r="FJ83" s="248" t="str">
        <f t="shared" si="8"/>
        <v/>
      </c>
      <c r="FK83" s="248" t="str">
        <f t="shared" si="8"/>
        <v/>
      </c>
      <c r="FL83" s="248" t="str">
        <f t="shared" si="8"/>
        <v/>
      </c>
      <c r="FM83" s="248" t="str">
        <f t="shared" si="8"/>
        <v/>
      </c>
      <c r="FN83" s="248" t="str">
        <f t="shared" si="8"/>
        <v/>
      </c>
      <c r="FO83" s="248" t="str">
        <f t="shared" si="8"/>
        <v/>
      </c>
      <c r="FP83" s="248" t="str">
        <f t="shared" si="8"/>
        <v/>
      </c>
      <c r="FQ83" s="248" t="str">
        <f t="shared" si="8"/>
        <v/>
      </c>
      <c r="FR83" s="248" t="str">
        <f t="shared" si="8"/>
        <v/>
      </c>
      <c r="FS83" s="248" t="str">
        <f t="shared" si="8"/>
        <v/>
      </c>
      <c r="FT83" s="248" t="str">
        <f t="shared" si="8"/>
        <v/>
      </c>
      <c r="FU83" s="248" t="str">
        <f t="shared" si="8"/>
        <v/>
      </c>
      <c r="FV83" s="248" t="str">
        <f t="shared" si="8"/>
        <v/>
      </c>
      <c r="FW83" s="248" t="str">
        <f t="shared" si="8"/>
        <v/>
      </c>
      <c r="FX83" s="248" t="str">
        <f t="shared" si="8"/>
        <v/>
      </c>
      <c r="FY83" s="248" t="str">
        <f t="shared" si="8"/>
        <v/>
      </c>
      <c r="FZ83" s="248" t="str">
        <f t="shared" si="8"/>
        <v/>
      </c>
      <c r="GA83" s="248" t="str">
        <f t="shared" si="8"/>
        <v/>
      </c>
      <c r="GB83" s="248" t="str">
        <f t="shared" si="8"/>
        <v/>
      </c>
      <c r="GC83" s="248" t="str">
        <f t="shared" si="8"/>
        <v/>
      </c>
      <c r="GD83" s="248" t="str">
        <f t="shared" si="8"/>
        <v/>
      </c>
      <c r="GE83" s="248" t="str">
        <f t="shared" si="8"/>
        <v/>
      </c>
      <c r="GF83" s="248" t="str">
        <f t="shared" si="8"/>
        <v/>
      </c>
      <c r="GG83" s="248" t="str">
        <f t="shared" si="8"/>
        <v/>
      </c>
      <c r="GH83" s="248" t="str">
        <f t="shared" si="8"/>
        <v/>
      </c>
      <c r="GI83" s="248" t="str">
        <f t="shared" si="8"/>
        <v/>
      </c>
      <c r="GJ83" s="248" t="str">
        <f t="shared" si="8"/>
        <v/>
      </c>
      <c r="GK83" s="248" t="str">
        <f t="shared" si="8"/>
        <v/>
      </c>
      <c r="GL83" s="248" t="str">
        <f t="shared" si="8"/>
        <v/>
      </c>
      <c r="GM83" s="248" t="str">
        <f t="shared" si="8"/>
        <v/>
      </c>
      <c r="GN83" s="248" t="str">
        <f t="shared" si="8"/>
        <v/>
      </c>
      <c r="GO83" s="248" t="str">
        <f t="shared" si="8"/>
        <v/>
      </c>
      <c r="GP83" s="248" t="str">
        <f t="shared" si="8"/>
        <v/>
      </c>
      <c r="GQ83" s="248" t="str">
        <f t="shared" si="8"/>
        <v/>
      </c>
      <c r="GR83" s="248" t="str">
        <f t="shared" si="8"/>
        <v/>
      </c>
      <c r="GS83" s="248" t="str">
        <f t="shared" si="8"/>
        <v/>
      </c>
      <c r="GT83" s="248" t="str">
        <f t="shared" si="8"/>
        <v/>
      </c>
      <c r="GU83" s="248" t="str">
        <f t="shared" si="8"/>
        <v/>
      </c>
      <c r="GV83" s="248" t="str">
        <f t="shared" si="8"/>
        <v/>
      </c>
      <c r="GW83" s="248" t="str">
        <f t="shared" si="8"/>
        <v/>
      </c>
      <c r="GX83" s="248" t="str">
        <f t="shared" si="8"/>
        <v/>
      </c>
      <c r="GY83" s="248" t="str">
        <f t="shared" si="8"/>
        <v/>
      </c>
      <c r="GZ83" s="248" t="str">
        <f t="shared" si="8"/>
        <v/>
      </c>
      <c r="HA83" s="248" t="str">
        <f t="shared" si="8"/>
        <v/>
      </c>
      <c r="HB83" s="248" t="str">
        <f t="shared" si="8"/>
        <v/>
      </c>
      <c r="HC83" s="248" t="str">
        <f t="shared" si="8"/>
        <v/>
      </c>
      <c r="HD83" s="248" t="str">
        <f t="shared" si="8"/>
        <v/>
      </c>
      <c r="HE83" s="248" t="str">
        <f t="shared" si="8"/>
        <v/>
      </c>
      <c r="HF83" s="248" t="str">
        <f t="shared" si="8"/>
        <v/>
      </c>
      <c r="HG83" s="248" t="str">
        <f t="shared" si="8"/>
        <v/>
      </c>
      <c r="HH83" s="248" t="str">
        <f t="shared" si="8"/>
        <v/>
      </c>
      <c r="HI83" s="248" t="str">
        <f t="shared" si="8"/>
        <v/>
      </c>
      <c r="HJ83" s="248" t="str">
        <f t="shared" si="8"/>
        <v/>
      </c>
      <c r="HK83" s="248" t="str">
        <f t="shared" si="8"/>
        <v/>
      </c>
      <c r="HL83" s="248" t="str">
        <f t="shared" si="8"/>
        <v/>
      </c>
      <c r="HM83" s="248" t="str">
        <f t="shared" si="8"/>
        <v/>
      </c>
      <c r="HN83" s="248" t="str">
        <f t="shared" si="8"/>
        <v/>
      </c>
      <c r="HO83" s="248" t="str">
        <f t="shared" ref="HO83:JZ83" si="9">UPPER(HM83)</f>
        <v/>
      </c>
      <c r="HP83" s="248" t="str">
        <f t="shared" si="9"/>
        <v/>
      </c>
      <c r="HQ83" s="248" t="str">
        <f t="shared" si="9"/>
        <v/>
      </c>
      <c r="HR83" s="248" t="str">
        <f t="shared" si="9"/>
        <v/>
      </c>
      <c r="HS83" s="248" t="str">
        <f t="shared" si="9"/>
        <v/>
      </c>
      <c r="HT83" s="248" t="str">
        <f t="shared" si="9"/>
        <v/>
      </c>
      <c r="HU83" s="248" t="str">
        <f t="shared" si="9"/>
        <v/>
      </c>
      <c r="HV83" s="248" t="str">
        <f t="shared" si="9"/>
        <v/>
      </c>
      <c r="HW83" s="248" t="str">
        <f t="shared" si="9"/>
        <v/>
      </c>
      <c r="HX83" s="248" t="str">
        <f t="shared" si="9"/>
        <v/>
      </c>
      <c r="HY83" s="248" t="str">
        <f t="shared" si="9"/>
        <v/>
      </c>
      <c r="HZ83" s="248" t="str">
        <f t="shared" si="9"/>
        <v/>
      </c>
      <c r="IA83" s="248" t="str">
        <f t="shared" si="9"/>
        <v/>
      </c>
      <c r="IB83" s="248" t="str">
        <f t="shared" si="9"/>
        <v/>
      </c>
      <c r="IC83" s="248" t="str">
        <f t="shared" si="9"/>
        <v/>
      </c>
      <c r="ID83" s="248" t="str">
        <f t="shared" si="9"/>
        <v/>
      </c>
      <c r="IE83" s="248" t="str">
        <f t="shared" si="9"/>
        <v/>
      </c>
      <c r="IF83" s="248" t="str">
        <f t="shared" si="9"/>
        <v/>
      </c>
      <c r="IG83" s="248" t="str">
        <f t="shared" si="9"/>
        <v/>
      </c>
      <c r="IH83" s="248" t="str">
        <f t="shared" si="9"/>
        <v/>
      </c>
      <c r="II83" s="248" t="str">
        <f t="shared" si="9"/>
        <v/>
      </c>
      <c r="IJ83" s="248" t="str">
        <f t="shared" si="9"/>
        <v/>
      </c>
      <c r="IK83" s="248" t="str">
        <f t="shared" si="9"/>
        <v/>
      </c>
      <c r="IL83" s="248" t="str">
        <f t="shared" si="9"/>
        <v/>
      </c>
      <c r="IM83" s="248" t="str">
        <f t="shared" si="9"/>
        <v/>
      </c>
      <c r="IN83" s="248" t="str">
        <f t="shared" si="9"/>
        <v/>
      </c>
      <c r="IO83" s="248" t="str">
        <f t="shared" si="9"/>
        <v/>
      </c>
      <c r="IP83" s="248" t="str">
        <f t="shared" si="9"/>
        <v/>
      </c>
      <c r="IQ83" s="248" t="str">
        <f t="shared" si="9"/>
        <v/>
      </c>
      <c r="IR83" s="248" t="str">
        <f t="shared" si="9"/>
        <v/>
      </c>
      <c r="IS83" s="248" t="str">
        <f t="shared" si="9"/>
        <v/>
      </c>
      <c r="IT83" s="248" t="str">
        <f t="shared" si="9"/>
        <v/>
      </c>
      <c r="IU83" s="248" t="str">
        <f t="shared" si="9"/>
        <v/>
      </c>
      <c r="IV83" s="248" t="str">
        <f t="shared" si="9"/>
        <v/>
      </c>
      <c r="IW83" s="248" t="str">
        <f t="shared" si="9"/>
        <v/>
      </c>
      <c r="IX83" s="248" t="str">
        <f t="shared" si="9"/>
        <v/>
      </c>
      <c r="IY83" s="248" t="str">
        <f t="shared" si="9"/>
        <v/>
      </c>
      <c r="IZ83" s="248" t="str">
        <f t="shared" si="9"/>
        <v/>
      </c>
      <c r="JA83" s="248" t="str">
        <f t="shared" si="9"/>
        <v/>
      </c>
      <c r="JB83" s="248" t="str">
        <f t="shared" si="9"/>
        <v/>
      </c>
      <c r="JC83" s="248" t="str">
        <f t="shared" si="9"/>
        <v/>
      </c>
      <c r="JD83" s="248" t="str">
        <f t="shared" si="9"/>
        <v/>
      </c>
      <c r="JE83" s="248" t="str">
        <f t="shared" si="9"/>
        <v/>
      </c>
      <c r="JF83" s="248" t="str">
        <f t="shared" si="9"/>
        <v/>
      </c>
      <c r="JG83" s="248" t="str">
        <f t="shared" si="9"/>
        <v/>
      </c>
      <c r="JH83" s="248" t="str">
        <f t="shared" si="9"/>
        <v/>
      </c>
      <c r="JI83" s="248" t="str">
        <f t="shared" si="9"/>
        <v/>
      </c>
      <c r="JJ83" s="248" t="str">
        <f t="shared" si="9"/>
        <v/>
      </c>
      <c r="JK83" s="248" t="str">
        <f t="shared" si="9"/>
        <v/>
      </c>
      <c r="JL83" s="248" t="str">
        <f t="shared" si="9"/>
        <v/>
      </c>
      <c r="JM83" s="248" t="str">
        <f t="shared" si="9"/>
        <v/>
      </c>
      <c r="JN83" s="248" t="str">
        <f t="shared" si="9"/>
        <v/>
      </c>
      <c r="JO83" s="248" t="str">
        <f t="shared" si="9"/>
        <v/>
      </c>
      <c r="JP83" s="248" t="str">
        <f t="shared" si="9"/>
        <v/>
      </c>
      <c r="JQ83" s="248" t="str">
        <f t="shared" si="9"/>
        <v/>
      </c>
      <c r="JR83" s="248" t="str">
        <f t="shared" si="9"/>
        <v/>
      </c>
      <c r="JS83" s="248" t="str">
        <f t="shared" si="9"/>
        <v/>
      </c>
      <c r="JT83" s="248" t="str">
        <f t="shared" si="9"/>
        <v/>
      </c>
      <c r="JU83" s="248" t="str">
        <f t="shared" si="9"/>
        <v/>
      </c>
      <c r="JV83" s="248" t="str">
        <f t="shared" si="9"/>
        <v/>
      </c>
      <c r="JW83" s="248" t="str">
        <f t="shared" si="9"/>
        <v/>
      </c>
      <c r="JX83" s="248" t="str">
        <f t="shared" si="9"/>
        <v/>
      </c>
      <c r="JY83" s="248" t="str">
        <f t="shared" si="9"/>
        <v/>
      </c>
      <c r="JZ83" s="248" t="str">
        <f t="shared" si="9"/>
        <v/>
      </c>
      <c r="KA83" s="248" t="str">
        <f t="shared" ref="KA83:ML83" si="10">UPPER(JY83)</f>
        <v/>
      </c>
      <c r="KB83" s="248" t="str">
        <f t="shared" si="10"/>
        <v/>
      </c>
      <c r="KC83" s="248" t="str">
        <f t="shared" si="10"/>
        <v/>
      </c>
      <c r="KD83" s="248" t="str">
        <f t="shared" si="10"/>
        <v/>
      </c>
      <c r="KE83" s="248" t="str">
        <f t="shared" si="10"/>
        <v/>
      </c>
      <c r="KF83" s="248" t="str">
        <f t="shared" si="10"/>
        <v/>
      </c>
      <c r="KG83" s="248" t="str">
        <f t="shared" si="10"/>
        <v/>
      </c>
      <c r="KH83" s="248" t="str">
        <f t="shared" si="10"/>
        <v/>
      </c>
      <c r="KI83" s="248" t="str">
        <f t="shared" si="10"/>
        <v/>
      </c>
      <c r="KJ83" s="248" t="str">
        <f t="shared" si="10"/>
        <v/>
      </c>
      <c r="KK83" s="248" t="str">
        <f t="shared" si="10"/>
        <v/>
      </c>
      <c r="KL83" s="248" t="str">
        <f t="shared" si="10"/>
        <v/>
      </c>
      <c r="KM83" s="248" t="str">
        <f t="shared" si="10"/>
        <v/>
      </c>
      <c r="KN83" s="248" t="str">
        <f t="shared" si="10"/>
        <v/>
      </c>
      <c r="KO83" s="248" t="str">
        <f t="shared" si="10"/>
        <v/>
      </c>
      <c r="KP83" s="248" t="str">
        <f t="shared" si="10"/>
        <v/>
      </c>
      <c r="KQ83" s="248" t="str">
        <f t="shared" si="10"/>
        <v/>
      </c>
      <c r="KR83" s="248" t="str">
        <f t="shared" si="10"/>
        <v/>
      </c>
      <c r="KS83" s="248" t="str">
        <f t="shared" si="10"/>
        <v/>
      </c>
      <c r="KT83" s="248" t="str">
        <f t="shared" si="10"/>
        <v/>
      </c>
      <c r="KU83" s="248" t="str">
        <f t="shared" si="10"/>
        <v/>
      </c>
      <c r="KV83" s="248" t="str">
        <f t="shared" si="10"/>
        <v/>
      </c>
      <c r="KW83" s="248" t="str">
        <f t="shared" si="10"/>
        <v/>
      </c>
      <c r="KX83" s="248" t="str">
        <f t="shared" si="10"/>
        <v/>
      </c>
      <c r="KY83" s="248" t="str">
        <f t="shared" si="10"/>
        <v/>
      </c>
      <c r="KZ83" s="248" t="str">
        <f t="shared" si="10"/>
        <v/>
      </c>
      <c r="LA83" s="248" t="str">
        <f t="shared" si="10"/>
        <v/>
      </c>
      <c r="LB83" s="248" t="str">
        <f t="shared" si="10"/>
        <v/>
      </c>
      <c r="LC83" s="248" t="str">
        <f t="shared" si="10"/>
        <v/>
      </c>
      <c r="LD83" s="248" t="str">
        <f t="shared" si="10"/>
        <v/>
      </c>
      <c r="LE83" s="248" t="str">
        <f t="shared" si="10"/>
        <v/>
      </c>
      <c r="LF83" s="248" t="str">
        <f t="shared" si="10"/>
        <v/>
      </c>
      <c r="LG83" s="248" t="str">
        <f t="shared" si="10"/>
        <v/>
      </c>
      <c r="LH83" s="248" t="str">
        <f t="shared" si="10"/>
        <v/>
      </c>
      <c r="LI83" s="248" t="str">
        <f t="shared" si="10"/>
        <v/>
      </c>
      <c r="LJ83" s="248" t="str">
        <f t="shared" si="10"/>
        <v/>
      </c>
      <c r="LK83" s="248" t="str">
        <f t="shared" si="10"/>
        <v/>
      </c>
      <c r="LL83" s="248" t="str">
        <f t="shared" si="10"/>
        <v/>
      </c>
      <c r="LM83" s="248" t="str">
        <f t="shared" si="10"/>
        <v/>
      </c>
      <c r="LN83" s="248" t="str">
        <f t="shared" si="10"/>
        <v/>
      </c>
      <c r="LO83" s="248" t="str">
        <f t="shared" si="10"/>
        <v/>
      </c>
      <c r="LP83" s="248" t="str">
        <f t="shared" si="10"/>
        <v/>
      </c>
      <c r="LQ83" s="248" t="str">
        <f t="shared" si="10"/>
        <v/>
      </c>
      <c r="LR83" s="248" t="str">
        <f t="shared" si="10"/>
        <v/>
      </c>
      <c r="LS83" s="248" t="str">
        <f t="shared" si="10"/>
        <v/>
      </c>
      <c r="LT83" s="248" t="str">
        <f t="shared" si="10"/>
        <v/>
      </c>
      <c r="LU83" s="248" t="str">
        <f t="shared" si="10"/>
        <v/>
      </c>
      <c r="LV83" s="248" t="str">
        <f t="shared" si="10"/>
        <v/>
      </c>
      <c r="LW83" s="248" t="str">
        <f t="shared" si="10"/>
        <v/>
      </c>
      <c r="LX83" s="248" t="str">
        <f t="shared" si="10"/>
        <v/>
      </c>
      <c r="LY83" s="248" t="str">
        <f t="shared" si="10"/>
        <v/>
      </c>
      <c r="LZ83" s="248" t="str">
        <f t="shared" si="10"/>
        <v/>
      </c>
      <c r="MA83" s="248" t="str">
        <f t="shared" si="10"/>
        <v/>
      </c>
      <c r="MB83" s="248" t="str">
        <f t="shared" si="10"/>
        <v/>
      </c>
      <c r="MC83" s="248" t="str">
        <f t="shared" si="10"/>
        <v/>
      </c>
      <c r="MD83" s="248" t="str">
        <f t="shared" si="10"/>
        <v/>
      </c>
      <c r="ME83" s="248" t="str">
        <f t="shared" si="10"/>
        <v/>
      </c>
      <c r="MF83" s="248" t="str">
        <f t="shared" si="10"/>
        <v/>
      </c>
      <c r="MG83" s="248" t="str">
        <f t="shared" si="10"/>
        <v/>
      </c>
      <c r="MH83" s="248" t="str">
        <f t="shared" si="10"/>
        <v/>
      </c>
      <c r="MI83" s="248" t="str">
        <f t="shared" si="10"/>
        <v/>
      </c>
      <c r="MJ83" s="248" t="str">
        <f t="shared" si="10"/>
        <v/>
      </c>
      <c r="MK83" s="248" t="str">
        <f t="shared" si="10"/>
        <v/>
      </c>
      <c r="ML83" s="248" t="str">
        <f t="shared" si="10"/>
        <v/>
      </c>
      <c r="MM83" s="248" t="str">
        <f t="shared" ref="MM83:OX83" si="11">UPPER(MK83)</f>
        <v/>
      </c>
      <c r="MN83" s="248" t="str">
        <f t="shared" si="11"/>
        <v/>
      </c>
      <c r="MO83" s="248" t="str">
        <f t="shared" si="11"/>
        <v/>
      </c>
      <c r="MP83" s="248" t="str">
        <f t="shared" si="11"/>
        <v/>
      </c>
      <c r="MQ83" s="248" t="str">
        <f t="shared" si="11"/>
        <v/>
      </c>
      <c r="MR83" s="248" t="str">
        <f t="shared" si="11"/>
        <v/>
      </c>
      <c r="MS83" s="248" t="str">
        <f t="shared" si="11"/>
        <v/>
      </c>
      <c r="MT83" s="248" t="str">
        <f t="shared" si="11"/>
        <v/>
      </c>
      <c r="MU83" s="248" t="str">
        <f t="shared" si="11"/>
        <v/>
      </c>
      <c r="MV83" s="248" t="str">
        <f t="shared" si="11"/>
        <v/>
      </c>
      <c r="MW83" s="248" t="str">
        <f t="shared" si="11"/>
        <v/>
      </c>
      <c r="MX83" s="248" t="str">
        <f t="shared" si="11"/>
        <v/>
      </c>
      <c r="MY83" s="248" t="str">
        <f t="shared" si="11"/>
        <v/>
      </c>
      <c r="MZ83" s="248" t="str">
        <f t="shared" si="11"/>
        <v/>
      </c>
      <c r="NA83" s="248" t="str">
        <f t="shared" si="11"/>
        <v/>
      </c>
      <c r="NB83" s="248" t="str">
        <f t="shared" si="11"/>
        <v/>
      </c>
      <c r="NC83" s="248" t="str">
        <f t="shared" si="11"/>
        <v/>
      </c>
      <c r="ND83" s="248" t="str">
        <f t="shared" si="11"/>
        <v/>
      </c>
      <c r="NE83" s="248" t="str">
        <f t="shared" si="11"/>
        <v/>
      </c>
      <c r="NF83" s="248" t="str">
        <f t="shared" si="11"/>
        <v/>
      </c>
      <c r="NG83" s="248" t="str">
        <f t="shared" si="11"/>
        <v/>
      </c>
      <c r="NH83" s="248" t="str">
        <f t="shared" si="11"/>
        <v/>
      </c>
      <c r="NI83" s="248" t="str">
        <f t="shared" si="11"/>
        <v/>
      </c>
      <c r="NJ83" s="248" t="str">
        <f t="shared" si="11"/>
        <v/>
      </c>
      <c r="NK83" s="248" t="str">
        <f t="shared" si="11"/>
        <v/>
      </c>
      <c r="NL83" s="248" t="str">
        <f t="shared" si="11"/>
        <v/>
      </c>
      <c r="NM83" s="248" t="str">
        <f t="shared" si="11"/>
        <v/>
      </c>
      <c r="NN83" s="248" t="str">
        <f t="shared" si="11"/>
        <v/>
      </c>
      <c r="NO83" s="248" t="str">
        <f t="shared" si="11"/>
        <v/>
      </c>
      <c r="NP83" s="248" t="str">
        <f t="shared" si="11"/>
        <v/>
      </c>
      <c r="NQ83" s="248" t="str">
        <f t="shared" si="11"/>
        <v/>
      </c>
      <c r="NR83" s="248" t="str">
        <f t="shared" si="11"/>
        <v/>
      </c>
      <c r="NS83" s="248" t="str">
        <f t="shared" si="11"/>
        <v/>
      </c>
      <c r="NT83" s="248" t="str">
        <f t="shared" si="11"/>
        <v/>
      </c>
      <c r="NU83" s="248" t="str">
        <f t="shared" si="11"/>
        <v/>
      </c>
      <c r="NV83" s="248" t="str">
        <f t="shared" si="11"/>
        <v/>
      </c>
      <c r="NW83" s="248" t="str">
        <f t="shared" si="11"/>
        <v/>
      </c>
      <c r="NX83" s="248" t="str">
        <f t="shared" si="11"/>
        <v/>
      </c>
      <c r="NY83" s="248" t="str">
        <f t="shared" si="11"/>
        <v/>
      </c>
      <c r="NZ83" s="248" t="str">
        <f t="shared" si="11"/>
        <v/>
      </c>
      <c r="OA83" s="248" t="str">
        <f t="shared" si="11"/>
        <v/>
      </c>
      <c r="OB83" s="248" t="str">
        <f t="shared" si="11"/>
        <v/>
      </c>
      <c r="OC83" s="248" t="str">
        <f t="shared" si="11"/>
        <v/>
      </c>
      <c r="OD83" s="248" t="str">
        <f t="shared" si="11"/>
        <v/>
      </c>
      <c r="OE83" s="248" t="str">
        <f t="shared" si="11"/>
        <v/>
      </c>
      <c r="OF83" s="248" t="str">
        <f t="shared" si="11"/>
        <v/>
      </c>
      <c r="OG83" s="248" t="str">
        <f t="shared" si="11"/>
        <v/>
      </c>
      <c r="OH83" s="248" t="str">
        <f t="shared" si="11"/>
        <v/>
      </c>
      <c r="OI83" s="248" t="str">
        <f t="shared" si="11"/>
        <v/>
      </c>
      <c r="OJ83" s="248" t="str">
        <f t="shared" si="11"/>
        <v/>
      </c>
      <c r="OK83" s="248" t="str">
        <f t="shared" si="11"/>
        <v/>
      </c>
      <c r="OL83" s="248" t="str">
        <f t="shared" si="11"/>
        <v/>
      </c>
      <c r="OM83" s="248" t="str">
        <f t="shared" si="11"/>
        <v/>
      </c>
      <c r="ON83" s="248" t="str">
        <f t="shared" si="11"/>
        <v/>
      </c>
      <c r="OO83" s="248" t="str">
        <f t="shared" si="11"/>
        <v/>
      </c>
      <c r="OP83" s="248" t="str">
        <f t="shared" si="11"/>
        <v/>
      </c>
      <c r="OQ83" s="248" t="str">
        <f t="shared" si="11"/>
        <v/>
      </c>
      <c r="OR83" s="248" t="str">
        <f t="shared" si="11"/>
        <v/>
      </c>
      <c r="OS83" s="248" t="str">
        <f t="shared" si="11"/>
        <v/>
      </c>
      <c r="OT83" s="248" t="str">
        <f t="shared" si="11"/>
        <v/>
      </c>
      <c r="OU83" s="248" t="str">
        <f t="shared" si="11"/>
        <v/>
      </c>
      <c r="OV83" s="248" t="str">
        <f t="shared" si="11"/>
        <v/>
      </c>
      <c r="OW83" s="248" t="str">
        <f t="shared" si="11"/>
        <v/>
      </c>
      <c r="OX83" s="248" t="str">
        <f t="shared" si="11"/>
        <v/>
      </c>
      <c r="OY83" s="248" t="str">
        <f t="shared" ref="OY83:RJ83" si="12">UPPER(OW83)</f>
        <v/>
      </c>
      <c r="OZ83" s="248" t="str">
        <f t="shared" si="12"/>
        <v/>
      </c>
      <c r="PA83" s="248" t="str">
        <f t="shared" si="12"/>
        <v/>
      </c>
      <c r="PB83" s="248" t="str">
        <f t="shared" si="12"/>
        <v/>
      </c>
      <c r="PC83" s="248" t="str">
        <f t="shared" si="12"/>
        <v/>
      </c>
      <c r="PD83" s="248" t="str">
        <f t="shared" si="12"/>
        <v/>
      </c>
      <c r="PE83" s="248" t="str">
        <f t="shared" si="12"/>
        <v/>
      </c>
      <c r="PF83" s="248" t="str">
        <f t="shared" si="12"/>
        <v/>
      </c>
      <c r="PG83" s="248" t="str">
        <f t="shared" si="12"/>
        <v/>
      </c>
      <c r="PH83" s="248" t="str">
        <f t="shared" si="12"/>
        <v/>
      </c>
      <c r="PI83" s="248" t="str">
        <f t="shared" si="12"/>
        <v/>
      </c>
      <c r="PJ83" s="248" t="str">
        <f t="shared" si="12"/>
        <v/>
      </c>
      <c r="PK83" s="248" t="str">
        <f t="shared" si="12"/>
        <v/>
      </c>
      <c r="PL83" s="248" t="str">
        <f t="shared" si="12"/>
        <v/>
      </c>
      <c r="PM83" s="248" t="str">
        <f t="shared" si="12"/>
        <v/>
      </c>
      <c r="PN83" s="248" t="str">
        <f t="shared" si="12"/>
        <v/>
      </c>
      <c r="PO83" s="248" t="str">
        <f t="shared" si="12"/>
        <v/>
      </c>
      <c r="PP83" s="248" t="str">
        <f t="shared" si="12"/>
        <v/>
      </c>
      <c r="PQ83" s="248" t="str">
        <f t="shared" si="12"/>
        <v/>
      </c>
      <c r="PR83" s="248" t="str">
        <f t="shared" si="12"/>
        <v/>
      </c>
      <c r="PS83" s="248" t="str">
        <f t="shared" si="12"/>
        <v/>
      </c>
      <c r="PT83" s="248" t="str">
        <f t="shared" si="12"/>
        <v/>
      </c>
      <c r="PU83" s="248" t="str">
        <f t="shared" si="12"/>
        <v/>
      </c>
      <c r="PV83" s="248" t="str">
        <f t="shared" si="12"/>
        <v/>
      </c>
      <c r="PW83" s="248" t="str">
        <f t="shared" si="12"/>
        <v/>
      </c>
      <c r="PX83" s="248" t="str">
        <f t="shared" si="12"/>
        <v/>
      </c>
      <c r="PY83" s="248" t="str">
        <f t="shared" si="12"/>
        <v/>
      </c>
      <c r="PZ83" s="248" t="str">
        <f t="shared" si="12"/>
        <v/>
      </c>
      <c r="QA83" s="248" t="str">
        <f t="shared" si="12"/>
        <v/>
      </c>
      <c r="QB83" s="248" t="str">
        <f t="shared" si="12"/>
        <v/>
      </c>
      <c r="QC83" s="248" t="str">
        <f t="shared" si="12"/>
        <v/>
      </c>
      <c r="QD83" s="248" t="str">
        <f t="shared" si="12"/>
        <v/>
      </c>
      <c r="QE83" s="248" t="str">
        <f t="shared" si="12"/>
        <v/>
      </c>
      <c r="QF83" s="248" t="str">
        <f t="shared" si="12"/>
        <v/>
      </c>
      <c r="QG83" s="248" t="str">
        <f t="shared" si="12"/>
        <v/>
      </c>
      <c r="QH83" s="248" t="str">
        <f t="shared" si="12"/>
        <v/>
      </c>
      <c r="QI83" s="248" t="str">
        <f t="shared" si="12"/>
        <v/>
      </c>
      <c r="QJ83" s="248" t="str">
        <f t="shared" si="12"/>
        <v/>
      </c>
      <c r="QK83" s="248" t="str">
        <f t="shared" si="12"/>
        <v/>
      </c>
      <c r="QL83" s="248" t="str">
        <f t="shared" si="12"/>
        <v/>
      </c>
      <c r="QM83" s="248" t="str">
        <f t="shared" si="12"/>
        <v/>
      </c>
      <c r="QN83" s="248" t="str">
        <f t="shared" si="12"/>
        <v/>
      </c>
      <c r="QO83" s="248" t="str">
        <f t="shared" si="12"/>
        <v/>
      </c>
      <c r="QP83" s="248" t="str">
        <f t="shared" si="12"/>
        <v/>
      </c>
      <c r="QQ83" s="248" t="str">
        <f t="shared" si="12"/>
        <v/>
      </c>
      <c r="QR83" s="248" t="str">
        <f t="shared" si="12"/>
        <v/>
      </c>
      <c r="QS83" s="248" t="str">
        <f t="shared" si="12"/>
        <v/>
      </c>
      <c r="QT83" s="248" t="str">
        <f t="shared" si="12"/>
        <v/>
      </c>
      <c r="QU83" s="248" t="str">
        <f t="shared" si="12"/>
        <v/>
      </c>
      <c r="QV83" s="248" t="str">
        <f t="shared" si="12"/>
        <v/>
      </c>
      <c r="QW83" s="248" t="str">
        <f t="shared" si="12"/>
        <v/>
      </c>
      <c r="QX83" s="248" t="str">
        <f t="shared" si="12"/>
        <v/>
      </c>
      <c r="QY83" s="248" t="str">
        <f t="shared" si="12"/>
        <v/>
      </c>
      <c r="QZ83" s="248" t="str">
        <f t="shared" si="12"/>
        <v/>
      </c>
      <c r="RA83" s="248" t="str">
        <f t="shared" si="12"/>
        <v/>
      </c>
      <c r="RB83" s="248" t="str">
        <f t="shared" si="12"/>
        <v/>
      </c>
      <c r="RC83" s="248" t="str">
        <f t="shared" si="12"/>
        <v/>
      </c>
      <c r="RD83" s="248" t="str">
        <f t="shared" si="12"/>
        <v/>
      </c>
      <c r="RE83" s="248" t="str">
        <f t="shared" si="12"/>
        <v/>
      </c>
      <c r="RF83" s="248" t="str">
        <f t="shared" si="12"/>
        <v/>
      </c>
      <c r="RG83" s="248" t="str">
        <f t="shared" si="12"/>
        <v/>
      </c>
      <c r="RH83" s="248" t="str">
        <f t="shared" si="12"/>
        <v/>
      </c>
      <c r="RI83" s="248" t="str">
        <f t="shared" si="12"/>
        <v/>
      </c>
      <c r="RJ83" s="248" t="str">
        <f t="shared" si="12"/>
        <v/>
      </c>
      <c r="RK83" s="248" t="str">
        <f t="shared" ref="RK83:TV83" si="13">UPPER(RI83)</f>
        <v/>
      </c>
      <c r="RL83" s="248" t="str">
        <f t="shared" si="13"/>
        <v/>
      </c>
      <c r="RM83" s="248" t="str">
        <f t="shared" si="13"/>
        <v/>
      </c>
      <c r="RN83" s="248" t="str">
        <f t="shared" si="13"/>
        <v/>
      </c>
      <c r="RO83" s="248" t="str">
        <f t="shared" si="13"/>
        <v/>
      </c>
      <c r="RP83" s="248" t="str">
        <f t="shared" si="13"/>
        <v/>
      </c>
      <c r="RQ83" s="248" t="str">
        <f t="shared" si="13"/>
        <v/>
      </c>
      <c r="RR83" s="248" t="str">
        <f t="shared" si="13"/>
        <v/>
      </c>
      <c r="RS83" s="248" t="str">
        <f t="shared" si="13"/>
        <v/>
      </c>
      <c r="RT83" s="248" t="str">
        <f t="shared" si="13"/>
        <v/>
      </c>
      <c r="RU83" s="248" t="str">
        <f t="shared" si="13"/>
        <v/>
      </c>
      <c r="RV83" s="248" t="str">
        <f t="shared" si="13"/>
        <v/>
      </c>
      <c r="RW83" s="248" t="str">
        <f t="shared" si="13"/>
        <v/>
      </c>
      <c r="RX83" s="248" t="str">
        <f t="shared" si="13"/>
        <v/>
      </c>
      <c r="RY83" s="248" t="str">
        <f t="shared" si="13"/>
        <v/>
      </c>
      <c r="RZ83" s="248" t="str">
        <f t="shared" si="13"/>
        <v/>
      </c>
      <c r="SA83" s="248" t="str">
        <f t="shared" si="13"/>
        <v/>
      </c>
      <c r="SB83" s="248" t="str">
        <f t="shared" si="13"/>
        <v/>
      </c>
      <c r="SC83" s="248" t="str">
        <f t="shared" si="13"/>
        <v/>
      </c>
      <c r="SD83" s="248" t="str">
        <f t="shared" si="13"/>
        <v/>
      </c>
      <c r="SE83" s="248" t="str">
        <f t="shared" si="13"/>
        <v/>
      </c>
      <c r="SF83" s="248" t="str">
        <f t="shared" si="13"/>
        <v/>
      </c>
      <c r="SG83" s="248" t="str">
        <f t="shared" si="13"/>
        <v/>
      </c>
      <c r="SH83" s="248" t="str">
        <f t="shared" si="13"/>
        <v/>
      </c>
      <c r="SI83" s="248" t="str">
        <f t="shared" si="13"/>
        <v/>
      </c>
      <c r="SJ83" s="248" t="str">
        <f t="shared" si="13"/>
        <v/>
      </c>
      <c r="SK83" s="248" t="str">
        <f t="shared" si="13"/>
        <v/>
      </c>
      <c r="SL83" s="248" t="str">
        <f t="shared" si="13"/>
        <v/>
      </c>
      <c r="SM83" s="248" t="str">
        <f t="shared" si="13"/>
        <v/>
      </c>
      <c r="SN83" s="248" t="str">
        <f t="shared" si="13"/>
        <v/>
      </c>
      <c r="SO83" s="248" t="str">
        <f t="shared" si="13"/>
        <v/>
      </c>
      <c r="SP83" s="248" t="str">
        <f t="shared" si="13"/>
        <v/>
      </c>
      <c r="SQ83" s="248" t="str">
        <f t="shared" si="13"/>
        <v/>
      </c>
      <c r="SR83" s="248" t="str">
        <f t="shared" si="13"/>
        <v/>
      </c>
      <c r="SS83" s="248" t="str">
        <f t="shared" si="13"/>
        <v/>
      </c>
      <c r="ST83" s="248" t="str">
        <f t="shared" si="13"/>
        <v/>
      </c>
      <c r="SU83" s="248" t="str">
        <f t="shared" si="13"/>
        <v/>
      </c>
      <c r="SV83" s="248" t="str">
        <f t="shared" si="13"/>
        <v/>
      </c>
      <c r="SW83" s="248" t="str">
        <f t="shared" si="13"/>
        <v/>
      </c>
      <c r="SX83" s="248" t="str">
        <f t="shared" si="13"/>
        <v/>
      </c>
      <c r="SY83" s="248" t="str">
        <f t="shared" si="13"/>
        <v/>
      </c>
      <c r="SZ83" s="248" t="str">
        <f t="shared" si="13"/>
        <v/>
      </c>
      <c r="TA83" s="248" t="str">
        <f t="shared" si="13"/>
        <v/>
      </c>
      <c r="TB83" s="248" t="str">
        <f t="shared" si="13"/>
        <v/>
      </c>
      <c r="TC83" s="248" t="str">
        <f t="shared" si="13"/>
        <v/>
      </c>
      <c r="TD83" s="248" t="str">
        <f t="shared" si="13"/>
        <v/>
      </c>
      <c r="TE83" s="248" t="str">
        <f t="shared" si="13"/>
        <v/>
      </c>
      <c r="TF83" s="248" t="str">
        <f t="shared" si="13"/>
        <v/>
      </c>
      <c r="TG83" s="248" t="str">
        <f t="shared" si="13"/>
        <v/>
      </c>
      <c r="TH83" s="248" t="str">
        <f t="shared" si="13"/>
        <v/>
      </c>
      <c r="TI83" s="248" t="str">
        <f t="shared" si="13"/>
        <v/>
      </c>
      <c r="TJ83" s="248" t="str">
        <f t="shared" si="13"/>
        <v/>
      </c>
      <c r="TK83" s="248" t="str">
        <f t="shared" si="13"/>
        <v/>
      </c>
      <c r="TL83" s="248" t="str">
        <f t="shared" si="13"/>
        <v/>
      </c>
      <c r="TM83" s="248" t="str">
        <f t="shared" si="13"/>
        <v/>
      </c>
      <c r="TN83" s="248" t="str">
        <f t="shared" si="13"/>
        <v/>
      </c>
      <c r="TO83" s="248" t="str">
        <f t="shared" si="13"/>
        <v/>
      </c>
      <c r="TP83" s="248" t="str">
        <f t="shared" si="13"/>
        <v/>
      </c>
      <c r="TQ83" s="248" t="str">
        <f t="shared" si="13"/>
        <v/>
      </c>
      <c r="TR83" s="248" t="str">
        <f t="shared" si="13"/>
        <v/>
      </c>
      <c r="TS83" s="248" t="str">
        <f t="shared" si="13"/>
        <v/>
      </c>
      <c r="TT83" s="248" t="str">
        <f t="shared" si="13"/>
        <v/>
      </c>
      <c r="TU83" s="248" t="str">
        <f t="shared" si="13"/>
        <v/>
      </c>
      <c r="TV83" s="248" t="str">
        <f t="shared" si="13"/>
        <v/>
      </c>
      <c r="TW83" s="248" t="str">
        <f t="shared" ref="TW83:WH83" si="14">UPPER(TU83)</f>
        <v/>
      </c>
      <c r="TX83" s="248" t="str">
        <f t="shared" si="14"/>
        <v/>
      </c>
      <c r="TY83" s="248" t="str">
        <f t="shared" si="14"/>
        <v/>
      </c>
      <c r="TZ83" s="248" t="str">
        <f t="shared" si="14"/>
        <v/>
      </c>
      <c r="UA83" s="248" t="str">
        <f t="shared" si="14"/>
        <v/>
      </c>
      <c r="UB83" s="248" t="str">
        <f t="shared" si="14"/>
        <v/>
      </c>
      <c r="UC83" s="248" t="str">
        <f t="shared" si="14"/>
        <v/>
      </c>
      <c r="UD83" s="248" t="str">
        <f t="shared" si="14"/>
        <v/>
      </c>
      <c r="UE83" s="248" t="str">
        <f t="shared" si="14"/>
        <v/>
      </c>
      <c r="UF83" s="248" t="str">
        <f t="shared" si="14"/>
        <v/>
      </c>
      <c r="UG83" s="248" t="str">
        <f t="shared" si="14"/>
        <v/>
      </c>
      <c r="UH83" s="248" t="str">
        <f t="shared" si="14"/>
        <v/>
      </c>
      <c r="UI83" s="248" t="str">
        <f t="shared" si="14"/>
        <v/>
      </c>
      <c r="UJ83" s="248" t="str">
        <f t="shared" si="14"/>
        <v/>
      </c>
      <c r="UK83" s="248" t="str">
        <f t="shared" si="14"/>
        <v/>
      </c>
      <c r="UL83" s="248" t="str">
        <f t="shared" si="14"/>
        <v/>
      </c>
      <c r="UM83" s="248" t="str">
        <f t="shared" si="14"/>
        <v/>
      </c>
      <c r="UN83" s="248" t="str">
        <f t="shared" si="14"/>
        <v/>
      </c>
      <c r="UO83" s="248" t="str">
        <f t="shared" si="14"/>
        <v/>
      </c>
      <c r="UP83" s="248" t="str">
        <f t="shared" si="14"/>
        <v/>
      </c>
      <c r="UQ83" s="248" t="str">
        <f t="shared" si="14"/>
        <v/>
      </c>
      <c r="UR83" s="248" t="str">
        <f t="shared" si="14"/>
        <v/>
      </c>
      <c r="US83" s="248" t="str">
        <f t="shared" si="14"/>
        <v/>
      </c>
      <c r="UT83" s="248" t="str">
        <f t="shared" si="14"/>
        <v/>
      </c>
      <c r="UU83" s="248" t="str">
        <f t="shared" si="14"/>
        <v/>
      </c>
      <c r="UV83" s="248" t="str">
        <f t="shared" si="14"/>
        <v/>
      </c>
      <c r="UW83" s="248" t="str">
        <f t="shared" si="14"/>
        <v/>
      </c>
      <c r="UX83" s="248" t="str">
        <f t="shared" si="14"/>
        <v/>
      </c>
      <c r="UY83" s="248" t="str">
        <f t="shared" si="14"/>
        <v/>
      </c>
      <c r="UZ83" s="248" t="str">
        <f t="shared" si="14"/>
        <v/>
      </c>
      <c r="VA83" s="248" t="str">
        <f t="shared" si="14"/>
        <v/>
      </c>
      <c r="VB83" s="248" t="str">
        <f t="shared" si="14"/>
        <v/>
      </c>
      <c r="VC83" s="248" t="str">
        <f t="shared" si="14"/>
        <v/>
      </c>
      <c r="VD83" s="248" t="str">
        <f t="shared" si="14"/>
        <v/>
      </c>
      <c r="VE83" s="248" t="str">
        <f t="shared" si="14"/>
        <v/>
      </c>
      <c r="VF83" s="248" t="str">
        <f t="shared" si="14"/>
        <v/>
      </c>
      <c r="VG83" s="248" t="str">
        <f t="shared" si="14"/>
        <v/>
      </c>
      <c r="VH83" s="248" t="str">
        <f t="shared" si="14"/>
        <v/>
      </c>
      <c r="VI83" s="248" t="str">
        <f t="shared" si="14"/>
        <v/>
      </c>
      <c r="VJ83" s="248" t="str">
        <f t="shared" si="14"/>
        <v/>
      </c>
      <c r="VK83" s="248" t="str">
        <f t="shared" si="14"/>
        <v/>
      </c>
      <c r="VL83" s="248" t="str">
        <f t="shared" si="14"/>
        <v/>
      </c>
      <c r="VM83" s="248" t="str">
        <f t="shared" si="14"/>
        <v/>
      </c>
      <c r="VN83" s="248" t="str">
        <f t="shared" si="14"/>
        <v/>
      </c>
      <c r="VO83" s="248" t="str">
        <f t="shared" si="14"/>
        <v/>
      </c>
      <c r="VP83" s="248" t="str">
        <f t="shared" si="14"/>
        <v/>
      </c>
      <c r="VQ83" s="248" t="str">
        <f t="shared" si="14"/>
        <v/>
      </c>
      <c r="VR83" s="248" t="str">
        <f t="shared" si="14"/>
        <v/>
      </c>
      <c r="VS83" s="248" t="str">
        <f t="shared" si="14"/>
        <v/>
      </c>
      <c r="VT83" s="248" t="str">
        <f t="shared" si="14"/>
        <v/>
      </c>
      <c r="VU83" s="248" t="str">
        <f t="shared" si="14"/>
        <v/>
      </c>
      <c r="VV83" s="248" t="str">
        <f t="shared" si="14"/>
        <v/>
      </c>
      <c r="VW83" s="248" t="str">
        <f t="shared" si="14"/>
        <v/>
      </c>
      <c r="VX83" s="248" t="str">
        <f t="shared" si="14"/>
        <v/>
      </c>
      <c r="VY83" s="248" t="str">
        <f t="shared" si="14"/>
        <v/>
      </c>
      <c r="VZ83" s="248" t="str">
        <f t="shared" si="14"/>
        <v/>
      </c>
      <c r="WA83" s="248" t="str">
        <f t="shared" si="14"/>
        <v/>
      </c>
      <c r="WB83" s="248" t="str">
        <f t="shared" si="14"/>
        <v/>
      </c>
      <c r="WC83" s="248" t="str">
        <f t="shared" si="14"/>
        <v/>
      </c>
      <c r="WD83" s="248" t="str">
        <f t="shared" si="14"/>
        <v/>
      </c>
      <c r="WE83" s="248" t="str">
        <f t="shared" si="14"/>
        <v/>
      </c>
      <c r="WF83" s="248" t="str">
        <f t="shared" si="14"/>
        <v/>
      </c>
      <c r="WG83" s="248" t="str">
        <f t="shared" si="14"/>
        <v/>
      </c>
      <c r="WH83" s="248" t="str">
        <f t="shared" si="14"/>
        <v/>
      </c>
      <c r="WI83" s="248" t="str">
        <f t="shared" ref="WI83:YT83" si="15">UPPER(WG83)</f>
        <v/>
      </c>
      <c r="WJ83" s="248" t="str">
        <f t="shared" si="15"/>
        <v/>
      </c>
      <c r="WK83" s="248" t="str">
        <f t="shared" si="15"/>
        <v/>
      </c>
      <c r="WL83" s="248" t="str">
        <f t="shared" si="15"/>
        <v/>
      </c>
      <c r="WM83" s="248" t="str">
        <f t="shared" si="15"/>
        <v/>
      </c>
      <c r="WN83" s="248" t="str">
        <f t="shared" si="15"/>
        <v/>
      </c>
      <c r="WO83" s="248" t="str">
        <f t="shared" si="15"/>
        <v/>
      </c>
      <c r="WP83" s="248" t="str">
        <f t="shared" si="15"/>
        <v/>
      </c>
      <c r="WQ83" s="248" t="str">
        <f t="shared" si="15"/>
        <v/>
      </c>
      <c r="WR83" s="248" t="str">
        <f t="shared" si="15"/>
        <v/>
      </c>
      <c r="WS83" s="248" t="str">
        <f t="shared" si="15"/>
        <v/>
      </c>
      <c r="WT83" s="248" t="str">
        <f t="shared" si="15"/>
        <v/>
      </c>
      <c r="WU83" s="248" t="str">
        <f t="shared" si="15"/>
        <v/>
      </c>
      <c r="WV83" s="248" t="str">
        <f t="shared" si="15"/>
        <v/>
      </c>
      <c r="WW83" s="248" t="str">
        <f t="shared" si="15"/>
        <v/>
      </c>
      <c r="WX83" s="248" t="str">
        <f t="shared" si="15"/>
        <v/>
      </c>
      <c r="WY83" s="248" t="str">
        <f t="shared" si="15"/>
        <v/>
      </c>
      <c r="WZ83" s="248" t="str">
        <f t="shared" si="15"/>
        <v/>
      </c>
      <c r="XA83" s="248" t="str">
        <f t="shared" si="15"/>
        <v/>
      </c>
      <c r="XB83" s="248" t="str">
        <f t="shared" si="15"/>
        <v/>
      </c>
      <c r="XC83" s="248" t="str">
        <f t="shared" si="15"/>
        <v/>
      </c>
      <c r="XD83" s="248" t="str">
        <f t="shared" si="15"/>
        <v/>
      </c>
      <c r="XE83" s="248" t="str">
        <f t="shared" si="15"/>
        <v/>
      </c>
      <c r="XF83" s="248" t="str">
        <f t="shared" si="15"/>
        <v/>
      </c>
      <c r="XG83" s="248" t="str">
        <f t="shared" si="15"/>
        <v/>
      </c>
      <c r="XH83" s="248" t="str">
        <f t="shared" si="15"/>
        <v/>
      </c>
      <c r="XI83" s="248" t="str">
        <f t="shared" si="15"/>
        <v/>
      </c>
      <c r="XJ83" s="248" t="str">
        <f t="shared" si="15"/>
        <v/>
      </c>
      <c r="XK83" s="248" t="str">
        <f t="shared" si="15"/>
        <v/>
      </c>
      <c r="XL83" s="248" t="str">
        <f t="shared" si="15"/>
        <v/>
      </c>
      <c r="XM83" s="248" t="str">
        <f t="shared" si="15"/>
        <v/>
      </c>
      <c r="XN83" s="248" t="str">
        <f t="shared" si="15"/>
        <v/>
      </c>
      <c r="XO83" s="248" t="str">
        <f t="shared" si="15"/>
        <v/>
      </c>
      <c r="XP83" s="248" t="str">
        <f t="shared" si="15"/>
        <v/>
      </c>
      <c r="XQ83" s="248" t="str">
        <f t="shared" si="15"/>
        <v/>
      </c>
      <c r="XR83" s="248" t="str">
        <f t="shared" si="15"/>
        <v/>
      </c>
      <c r="XS83" s="248" t="str">
        <f t="shared" si="15"/>
        <v/>
      </c>
      <c r="XT83" s="248" t="str">
        <f t="shared" si="15"/>
        <v/>
      </c>
      <c r="XU83" s="248" t="str">
        <f t="shared" si="15"/>
        <v/>
      </c>
      <c r="XV83" s="248" t="str">
        <f t="shared" si="15"/>
        <v/>
      </c>
      <c r="XW83" s="248" t="str">
        <f t="shared" si="15"/>
        <v/>
      </c>
      <c r="XX83" s="248" t="str">
        <f t="shared" si="15"/>
        <v/>
      </c>
      <c r="XY83" s="248" t="str">
        <f t="shared" si="15"/>
        <v/>
      </c>
      <c r="XZ83" s="248" t="str">
        <f t="shared" si="15"/>
        <v/>
      </c>
      <c r="YA83" s="248" t="str">
        <f t="shared" si="15"/>
        <v/>
      </c>
      <c r="YB83" s="248" t="str">
        <f t="shared" si="15"/>
        <v/>
      </c>
      <c r="YC83" s="248" t="str">
        <f t="shared" si="15"/>
        <v/>
      </c>
      <c r="YD83" s="248" t="str">
        <f t="shared" si="15"/>
        <v/>
      </c>
      <c r="YE83" s="248" t="str">
        <f t="shared" si="15"/>
        <v/>
      </c>
      <c r="YF83" s="248" t="str">
        <f t="shared" si="15"/>
        <v/>
      </c>
      <c r="YG83" s="248" t="str">
        <f t="shared" si="15"/>
        <v/>
      </c>
      <c r="YH83" s="248" t="str">
        <f t="shared" si="15"/>
        <v/>
      </c>
      <c r="YI83" s="248" t="str">
        <f t="shared" si="15"/>
        <v/>
      </c>
      <c r="YJ83" s="248" t="str">
        <f t="shared" si="15"/>
        <v/>
      </c>
      <c r="YK83" s="248" t="str">
        <f t="shared" si="15"/>
        <v/>
      </c>
      <c r="YL83" s="248" t="str">
        <f t="shared" si="15"/>
        <v/>
      </c>
      <c r="YM83" s="248" t="str">
        <f t="shared" si="15"/>
        <v/>
      </c>
      <c r="YN83" s="248" t="str">
        <f t="shared" si="15"/>
        <v/>
      </c>
      <c r="YO83" s="248" t="str">
        <f t="shared" si="15"/>
        <v/>
      </c>
      <c r="YP83" s="248" t="str">
        <f t="shared" si="15"/>
        <v/>
      </c>
      <c r="YQ83" s="248" t="str">
        <f t="shared" si="15"/>
        <v/>
      </c>
      <c r="YR83" s="248" t="str">
        <f t="shared" si="15"/>
        <v/>
      </c>
      <c r="YS83" s="248" t="str">
        <f t="shared" si="15"/>
        <v/>
      </c>
      <c r="YT83" s="248" t="str">
        <f t="shared" si="15"/>
        <v/>
      </c>
      <c r="YU83" s="248" t="str">
        <f t="shared" ref="YU83:ABF83" si="16">UPPER(YS83)</f>
        <v/>
      </c>
      <c r="YV83" s="248" t="str">
        <f t="shared" si="16"/>
        <v/>
      </c>
      <c r="YW83" s="248" t="str">
        <f t="shared" si="16"/>
        <v/>
      </c>
      <c r="YX83" s="248" t="str">
        <f t="shared" si="16"/>
        <v/>
      </c>
      <c r="YY83" s="248" t="str">
        <f t="shared" si="16"/>
        <v/>
      </c>
      <c r="YZ83" s="248" t="str">
        <f t="shared" si="16"/>
        <v/>
      </c>
      <c r="ZA83" s="248" t="str">
        <f t="shared" si="16"/>
        <v/>
      </c>
      <c r="ZB83" s="248" t="str">
        <f t="shared" si="16"/>
        <v/>
      </c>
      <c r="ZC83" s="248" t="str">
        <f t="shared" si="16"/>
        <v/>
      </c>
      <c r="ZD83" s="248" t="str">
        <f t="shared" si="16"/>
        <v/>
      </c>
      <c r="ZE83" s="248" t="str">
        <f t="shared" si="16"/>
        <v/>
      </c>
      <c r="ZF83" s="248" t="str">
        <f t="shared" si="16"/>
        <v/>
      </c>
      <c r="ZG83" s="248" t="str">
        <f t="shared" si="16"/>
        <v/>
      </c>
      <c r="ZH83" s="248" t="str">
        <f t="shared" si="16"/>
        <v/>
      </c>
      <c r="ZI83" s="248" t="str">
        <f t="shared" si="16"/>
        <v/>
      </c>
      <c r="ZJ83" s="248" t="str">
        <f t="shared" si="16"/>
        <v/>
      </c>
      <c r="ZK83" s="248" t="str">
        <f t="shared" si="16"/>
        <v/>
      </c>
      <c r="ZL83" s="248" t="str">
        <f t="shared" si="16"/>
        <v/>
      </c>
      <c r="ZM83" s="248" t="str">
        <f t="shared" si="16"/>
        <v/>
      </c>
      <c r="ZN83" s="248" t="str">
        <f t="shared" si="16"/>
        <v/>
      </c>
      <c r="ZO83" s="248" t="str">
        <f t="shared" si="16"/>
        <v/>
      </c>
      <c r="ZP83" s="248" t="str">
        <f t="shared" si="16"/>
        <v/>
      </c>
      <c r="ZQ83" s="248" t="str">
        <f t="shared" si="16"/>
        <v/>
      </c>
      <c r="ZR83" s="248" t="str">
        <f t="shared" si="16"/>
        <v/>
      </c>
      <c r="ZS83" s="248" t="str">
        <f t="shared" si="16"/>
        <v/>
      </c>
      <c r="ZT83" s="248" t="str">
        <f t="shared" si="16"/>
        <v/>
      </c>
      <c r="ZU83" s="248" t="str">
        <f t="shared" si="16"/>
        <v/>
      </c>
      <c r="ZV83" s="248" t="str">
        <f t="shared" si="16"/>
        <v/>
      </c>
      <c r="ZW83" s="248" t="str">
        <f t="shared" si="16"/>
        <v/>
      </c>
      <c r="ZX83" s="248" t="str">
        <f t="shared" si="16"/>
        <v/>
      </c>
      <c r="ZY83" s="248" t="str">
        <f t="shared" si="16"/>
        <v/>
      </c>
      <c r="ZZ83" s="248" t="str">
        <f t="shared" si="16"/>
        <v/>
      </c>
      <c r="AAA83" s="248" t="str">
        <f t="shared" si="16"/>
        <v/>
      </c>
      <c r="AAB83" s="248" t="str">
        <f t="shared" si="16"/>
        <v/>
      </c>
      <c r="AAC83" s="248" t="str">
        <f t="shared" si="16"/>
        <v/>
      </c>
      <c r="AAD83" s="248" t="str">
        <f t="shared" si="16"/>
        <v/>
      </c>
      <c r="AAE83" s="248" t="str">
        <f t="shared" si="16"/>
        <v/>
      </c>
      <c r="AAF83" s="248" t="str">
        <f t="shared" si="16"/>
        <v/>
      </c>
      <c r="AAG83" s="248" t="str">
        <f t="shared" si="16"/>
        <v/>
      </c>
      <c r="AAH83" s="248" t="str">
        <f t="shared" si="16"/>
        <v/>
      </c>
      <c r="AAI83" s="248" t="str">
        <f t="shared" si="16"/>
        <v/>
      </c>
      <c r="AAJ83" s="248" t="str">
        <f t="shared" si="16"/>
        <v/>
      </c>
      <c r="AAK83" s="248" t="str">
        <f t="shared" si="16"/>
        <v/>
      </c>
      <c r="AAL83" s="248" t="str">
        <f t="shared" si="16"/>
        <v/>
      </c>
      <c r="AAM83" s="248" t="str">
        <f t="shared" si="16"/>
        <v/>
      </c>
      <c r="AAN83" s="248" t="str">
        <f t="shared" si="16"/>
        <v/>
      </c>
      <c r="AAO83" s="248" t="str">
        <f t="shared" si="16"/>
        <v/>
      </c>
      <c r="AAP83" s="248" t="str">
        <f t="shared" si="16"/>
        <v/>
      </c>
      <c r="AAQ83" s="248" t="str">
        <f t="shared" si="16"/>
        <v/>
      </c>
      <c r="AAR83" s="248" t="str">
        <f t="shared" si="16"/>
        <v/>
      </c>
      <c r="AAS83" s="248" t="str">
        <f t="shared" si="16"/>
        <v/>
      </c>
      <c r="AAT83" s="248" t="str">
        <f t="shared" si="16"/>
        <v/>
      </c>
      <c r="AAU83" s="248" t="str">
        <f t="shared" si="16"/>
        <v/>
      </c>
      <c r="AAV83" s="248" t="str">
        <f t="shared" si="16"/>
        <v/>
      </c>
      <c r="AAW83" s="248" t="str">
        <f t="shared" si="16"/>
        <v/>
      </c>
      <c r="AAX83" s="248" t="str">
        <f t="shared" si="16"/>
        <v/>
      </c>
      <c r="AAY83" s="248" t="str">
        <f t="shared" si="16"/>
        <v/>
      </c>
      <c r="AAZ83" s="248" t="str">
        <f t="shared" si="16"/>
        <v/>
      </c>
      <c r="ABA83" s="248" t="str">
        <f t="shared" si="16"/>
        <v/>
      </c>
      <c r="ABB83" s="248" t="str">
        <f t="shared" si="16"/>
        <v/>
      </c>
      <c r="ABC83" s="248" t="str">
        <f t="shared" si="16"/>
        <v/>
      </c>
      <c r="ABD83" s="248" t="str">
        <f t="shared" si="16"/>
        <v/>
      </c>
      <c r="ABE83" s="248" t="str">
        <f t="shared" si="16"/>
        <v/>
      </c>
      <c r="ABF83" s="248" t="str">
        <f t="shared" si="16"/>
        <v/>
      </c>
      <c r="ABG83" s="248" t="str">
        <f t="shared" ref="ABG83:ADR83" si="17">UPPER(ABE83)</f>
        <v/>
      </c>
      <c r="ABH83" s="248" t="str">
        <f t="shared" si="17"/>
        <v/>
      </c>
      <c r="ABI83" s="248" t="str">
        <f t="shared" si="17"/>
        <v/>
      </c>
      <c r="ABJ83" s="248" t="str">
        <f t="shared" si="17"/>
        <v/>
      </c>
      <c r="ABK83" s="248" t="str">
        <f t="shared" si="17"/>
        <v/>
      </c>
      <c r="ABL83" s="248" t="str">
        <f t="shared" si="17"/>
        <v/>
      </c>
      <c r="ABM83" s="248" t="str">
        <f t="shared" si="17"/>
        <v/>
      </c>
      <c r="ABN83" s="248" t="str">
        <f t="shared" si="17"/>
        <v/>
      </c>
      <c r="ABO83" s="248" t="str">
        <f t="shared" si="17"/>
        <v/>
      </c>
      <c r="ABP83" s="248" t="str">
        <f t="shared" si="17"/>
        <v/>
      </c>
      <c r="ABQ83" s="248" t="str">
        <f t="shared" si="17"/>
        <v/>
      </c>
      <c r="ABR83" s="248" t="str">
        <f t="shared" si="17"/>
        <v/>
      </c>
      <c r="ABS83" s="248" t="str">
        <f t="shared" si="17"/>
        <v/>
      </c>
      <c r="ABT83" s="248" t="str">
        <f t="shared" si="17"/>
        <v/>
      </c>
      <c r="ABU83" s="248" t="str">
        <f t="shared" si="17"/>
        <v/>
      </c>
      <c r="ABV83" s="248" t="str">
        <f t="shared" si="17"/>
        <v/>
      </c>
      <c r="ABW83" s="248" t="str">
        <f t="shared" si="17"/>
        <v/>
      </c>
      <c r="ABX83" s="248" t="str">
        <f t="shared" si="17"/>
        <v/>
      </c>
      <c r="ABY83" s="248" t="str">
        <f t="shared" si="17"/>
        <v/>
      </c>
      <c r="ABZ83" s="248" t="str">
        <f t="shared" si="17"/>
        <v/>
      </c>
      <c r="ACA83" s="248" t="str">
        <f t="shared" si="17"/>
        <v/>
      </c>
      <c r="ACB83" s="248" t="str">
        <f t="shared" si="17"/>
        <v/>
      </c>
      <c r="ACC83" s="248" t="str">
        <f t="shared" si="17"/>
        <v/>
      </c>
      <c r="ACD83" s="248" t="str">
        <f t="shared" si="17"/>
        <v/>
      </c>
      <c r="ACE83" s="248" t="str">
        <f t="shared" si="17"/>
        <v/>
      </c>
      <c r="ACF83" s="248" t="str">
        <f t="shared" si="17"/>
        <v/>
      </c>
      <c r="ACG83" s="248" t="str">
        <f t="shared" si="17"/>
        <v/>
      </c>
      <c r="ACH83" s="248" t="str">
        <f t="shared" si="17"/>
        <v/>
      </c>
      <c r="ACI83" s="248" t="str">
        <f t="shared" si="17"/>
        <v/>
      </c>
      <c r="ACJ83" s="248" t="str">
        <f t="shared" si="17"/>
        <v/>
      </c>
      <c r="ACK83" s="248" t="str">
        <f t="shared" si="17"/>
        <v/>
      </c>
      <c r="ACL83" s="248" t="str">
        <f t="shared" si="17"/>
        <v/>
      </c>
      <c r="ACM83" s="248" t="str">
        <f t="shared" si="17"/>
        <v/>
      </c>
      <c r="ACN83" s="248" t="str">
        <f t="shared" si="17"/>
        <v/>
      </c>
      <c r="ACO83" s="248" t="str">
        <f t="shared" si="17"/>
        <v/>
      </c>
      <c r="ACP83" s="248" t="str">
        <f t="shared" si="17"/>
        <v/>
      </c>
      <c r="ACQ83" s="248" t="str">
        <f t="shared" si="17"/>
        <v/>
      </c>
      <c r="ACR83" s="248" t="str">
        <f t="shared" si="17"/>
        <v/>
      </c>
      <c r="ACS83" s="248" t="str">
        <f t="shared" si="17"/>
        <v/>
      </c>
      <c r="ACT83" s="248" t="str">
        <f t="shared" si="17"/>
        <v/>
      </c>
      <c r="ACU83" s="248" t="str">
        <f t="shared" si="17"/>
        <v/>
      </c>
      <c r="ACV83" s="248" t="str">
        <f t="shared" si="17"/>
        <v/>
      </c>
      <c r="ACW83" s="248" t="str">
        <f t="shared" si="17"/>
        <v/>
      </c>
      <c r="ACX83" s="248" t="str">
        <f t="shared" si="17"/>
        <v/>
      </c>
      <c r="ACY83" s="248" t="str">
        <f t="shared" si="17"/>
        <v/>
      </c>
      <c r="ACZ83" s="248" t="str">
        <f t="shared" si="17"/>
        <v/>
      </c>
      <c r="ADA83" s="248" t="str">
        <f t="shared" si="17"/>
        <v/>
      </c>
      <c r="ADB83" s="248" t="str">
        <f t="shared" si="17"/>
        <v/>
      </c>
      <c r="ADC83" s="248" t="str">
        <f t="shared" si="17"/>
        <v/>
      </c>
      <c r="ADD83" s="248" t="str">
        <f t="shared" si="17"/>
        <v/>
      </c>
      <c r="ADE83" s="248" t="str">
        <f t="shared" si="17"/>
        <v/>
      </c>
      <c r="ADF83" s="248" t="str">
        <f t="shared" si="17"/>
        <v/>
      </c>
      <c r="ADG83" s="248" t="str">
        <f t="shared" si="17"/>
        <v/>
      </c>
      <c r="ADH83" s="248" t="str">
        <f t="shared" si="17"/>
        <v/>
      </c>
      <c r="ADI83" s="248" t="str">
        <f t="shared" si="17"/>
        <v/>
      </c>
      <c r="ADJ83" s="248" t="str">
        <f t="shared" si="17"/>
        <v/>
      </c>
      <c r="ADK83" s="248" t="str">
        <f t="shared" si="17"/>
        <v/>
      </c>
      <c r="ADL83" s="248" t="str">
        <f t="shared" si="17"/>
        <v/>
      </c>
      <c r="ADM83" s="248" t="str">
        <f t="shared" si="17"/>
        <v/>
      </c>
      <c r="ADN83" s="248" t="str">
        <f t="shared" si="17"/>
        <v/>
      </c>
      <c r="ADO83" s="248" t="str">
        <f t="shared" si="17"/>
        <v/>
      </c>
      <c r="ADP83" s="248" t="str">
        <f t="shared" si="17"/>
        <v/>
      </c>
      <c r="ADQ83" s="248" t="str">
        <f t="shared" si="17"/>
        <v/>
      </c>
      <c r="ADR83" s="248" t="str">
        <f t="shared" si="17"/>
        <v/>
      </c>
      <c r="ADS83" s="248" t="str">
        <f t="shared" ref="ADS83:AGD83" si="18">UPPER(ADQ83)</f>
        <v/>
      </c>
      <c r="ADT83" s="248" t="str">
        <f t="shared" si="18"/>
        <v/>
      </c>
      <c r="ADU83" s="248" t="str">
        <f t="shared" si="18"/>
        <v/>
      </c>
      <c r="ADV83" s="248" t="str">
        <f t="shared" si="18"/>
        <v/>
      </c>
      <c r="ADW83" s="248" t="str">
        <f t="shared" si="18"/>
        <v/>
      </c>
      <c r="ADX83" s="248" t="str">
        <f t="shared" si="18"/>
        <v/>
      </c>
      <c r="ADY83" s="248" t="str">
        <f t="shared" si="18"/>
        <v/>
      </c>
      <c r="ADZ83" s="248" t="str">
        <f t="shared" si="18"/>
        <v/>
      </c>
      <c r="AEA83" s="248" t="str">
        <f t="shared" si="18"/>
        <v/>
      </c>
      <c r="AEB83" s="248" t="str">
        <f t="shared" si="18"/>
        <v/>
      </c>
      <c r="AEC83" s="248" t="str">
        <f t="shared" si="18"/>
        <v/>
      </c>
      <c r="AED83" s="248" t="str">
        <f t="shared" si="18"/>
        <v/>
      </c>
      <c r="AEE83" s="248" t="str">
        <f t="shared" si="18"/>
        <v/>
      </c>
      <c r="AEF83" s="248" t="str">
        <f t="shared" si="18"/>
        <v/>
      </c>
      <c r="AEG83" s="248" t="str">
        <f t="shared" si="18"/>
        <v/>
      </c>
      <c r="AEH83" s="248" t="str">
        <f t="shared" si="18"/>
        <v/>
      </c>
      <c r="AEI83" s="248" t="str">
        <f t="shared" si="18"/>
        <v/>
      </c>
      <c r="AEJ83" s="248" t="str">
        <f t="shared" si="18"/>
        <v/>
      </c>
      <c r="AEK83" s="248" t="str">
        <f t="shared" si="18"/>
        <v/>
      </c>
      <c r="AEL83" s="248" t="str">
        <f t="shared" si="18"/>
        <v/>
      </c>
      <c r="AEM83" s="248" t="str">
        <f t="shared" si="18"/>
        <v/>
      </c>
      <c r="AEN83" s="248" t="str">
        <f t="shared" si="18"/>
        <v/>
      </c>
      <c r="AEO83" s="248" t="str">
        <f t="shared" si="18"/>
        <v/>
      </c>
      <c r="AEP83" s="248" t="str">
        <f t="shared" si="18"/>
        <v/>
      </c>
      <c r="AEQ83" s="248" t="str">
        <f t="shared" si="18"/>
        <v/>
      </c>
      <c r="AER83" s="248" t="str">
        <f t="shared" si="18"/>
        <v/>
      </c>
      <c r="AES83" s="248" t="str">
        <f t="shared" si="18"/>
        <v/>
      </c>
      <c r="AET83" s="248" t="str">
        <f t="shared" si="18"/>
        <v/>
      </c>
      <c r="AEU83" s="248" t="str">
        <f t="shared" si="18"/>
        <v/>
      </c>
      <c r="AEV83" s="248" t="str">
        <f t="shared" si="18"/>
        <v/>
      </c>
      <c r="AEW83" s="248" t="str">
        <f t="shared" si="18"/>
        <v/>
      </c>
      <c r="AEX83" s="248" t="str">
        <f t="shared" si="18"/>
        <v/>
      </c>
      <c r="AEY83" s="248" t="str">
        <f t="shared" si="18"/>
        <v/>
      </c>
      <c r="AEZ83" s="248" t="str">
        <f t="shared" si="18"/>
        <v/>
      </c>
      <c r="AFA83" s="248" t="str">
        <f t="shared" si="18"/>
        <v/>
      </c>
      <c r="AFB83" s="248" t="str">
        <f t="shared" si="18"/>
        <v/>
      </c>
      <c r="AFC83" s="248" t="str">
        <f t="shared" si="18"/>
        <v/>
      </c>
      <c r="AFD83" s="248" t="str">
        <f t="shared" si="18"/>
        <v/>
      </c>
      <c r="AFE83" s="248" t="str">
        <f t="shared" si="18"/>
        <v/>
      </c>
      <c r="AFF83" s="248" t="str">
        <f t="shared" si="18"/>
        <v/>
      </c>
      <c r="AFG83" s="248" t="str">
        <f t="shared" si="18"/>
        <v/>
      </c>
      <c r="AFH83" s="248" t="str">
        <f t="shared" si="18"/>
        <v/>
      </c>
      <c r="AFI83" s="248" t="str">
        <f t="shared" si="18"/>
        <v/>
      </c>
      <c r="AFJ83" s="248" t="str">
        <f t="shared" si="18"/>
        <v/>
      </c>
      <c r="AFK83" s="248" t="str">
        <f t="shared" si="18"/>
        <v/>
      </c>
      <c r="AFL83" s="248" t="str">
        <f t="shared" si="18"/>
        <v/>
      </c>
      <c r="AFM83" s="248" t="str">
        <f t="shared" si="18"/>
        <v/>
      </c>
      <c r="AFN83" s="248" t="str">
        <f t="shared" si="18"/>
        <v/>
      </c>
      <c r="AFO83" s="248" t="str">
        <f t="shared" si="18"/>
        <v/>
      </c>
      <c r="AFP83" s="248" t="str">
        <f t="shared" si="18"/>
        <v/>
      </c>
      <c r="AFQ83" s="248" t="str">
        <f t="shared" si="18"/>
        <v/>
      </c>
      <c r="AFR83" s="248" t="str">
        <f t="shared" si="18"/>
        <v/>
      </c>
      <c r="AFS83" s="248" t="str">
        <f t="shared" si="18"/>
        <v/>
      </c>
      <c r="AFT83" s="248" t="str">
        <f t="shared" si="18"/>
        <v/>
      </c>
      <c r="AFU83" s="248" t="str">
        <f t="shared" si="18"/>
        <v/>
      </c>
      <c r="AFV83" s="248" t="str">
        <f t="shared" si="18"/>
        <v/>
      </c>
      <c r="AFW83" s="248" t="str">
        <f t="shared" si="18"/>
        <v/>
      </c>
      <c r="AFX83" s="248" t="str">
        <f t="shared" si="18"/>
        <v/>
      </c>
      <c r="AFY83" s="248" t="str">
        <f t="shared" si="18"/>
        <v/>
      </c>
      <c r="AFZ83" s="248" t="str">
        <f t="shared" si="18"/>
        <v/>
      </c>
      <c r="AGA83" s="248" t="str">
        <f t="shared" si="18"/>
        <v/>
      </c>
      <c r="AGB83" s="248" t="str">
        <f t="shared" si="18"/>
        <v/>
      </c>
      <c r="AGC83" s="248" t="str">
        <f t="shared" si="18"/>
        <v/>
      </c>
      <c r="AGD83" s="248" t="str">
        <f t="shared" si="18"/>
        <v/>
      </c>
      <c r="AGE83" s="248" t="str">
        <f t="shared" ref="AGE83:AIP83" si="19">UPPER(AGC83)</f>
        <v/>
      </c>
      <c r="AGF83" s="248" t="str">
        <f t="shared" si="19"/>
        <v/>
      </c>
      <c r="AGG83" s="248" t="str">
        <f t="shared" si="19"/>
        <v/>
      </c>
      <c r="AGH83" s="248" t="str">
        <f t="shared" si="19"/>
        <v/>
      </c>
      <c r="AGI83" s="248" t="str">
        <f t="shared" si="19"/>
        <v/>
      </c>
      <c r="AGJ83" s="248" t="str">
        <f t="shared" si="19"/>
        <v/>
      </c>
      <c r="AGK83" s="248" t="str">
        <f t="shared" si="19"/>
        <v/>
      </c>
      <c r="AGL83" s="248" t="str">
        <f t="shared" si="19"/>
        <v/>
      </c>
      <c r="AGM83" s="248" t="str">
        <f t="shared" si="19"/>
        <v/>
      </c>
      <c r="AGN83" s="248" t="str">
        <f t="shared" si="19"/>
        <v/>
      </c>
      <c r="AGO83" s="248" t="str">
        <f t="shared" si="19"/>
        <v/>
      </c>
      <c r="AGP83" s="248" t="str">
        <f t="shared" si="19"/>
        <v/>
      </c>
      <c r="AGQ83" s="248" t="str">
        <f t="shared" si="19"/>
        <v/>
      </c>
      <c r="AGR83" s="248" t="str">
        <f t="shared" si="19"/>
        <v/>
      </c>
      <c r="AGS83" s="248" t="str">
        <f t="shared" si="19"/>
        <v/>
      </c>
      <c r="AGT83" s="248" t="str">
        <f t="shared" si="19"/>
        <v/>
      </c>
      <c r="AGU83" s="248" t="str">
        <f t="shared" si="19"/>
        <v/>
      </c>
      <c r="AGV83" s="248" t="str">
        <f t="shared" si="19"/>
        <v/>
      </c>
      <c r="AGW83" s="248" t="str">
        <f t="shared" si="19"/>
        <v/>
      </c>
      <c r="AGX83" s="248" t="str">
        <f t="shared" si="19"/>
        <v/>
      </c>
      <c r="AGY83" s="248" t="str">
        <f t="shared" si="19"/>
        <v/>
      </c>
      <c r="AGZ83" s="248" t="str">
        <f t="shared" si="19"/>
        <v/>
      </c>
      <c r="AHA83" s="248" t="str">
        <f t="shared" si="19"/>
        <v/>
      </c>
      <c r="AHB83" s="248" t="str">
        <f t="shared" si="19"/>
        <v/>
      </c>
      <c r="AHC83" s="248" t="str">
        <f t="shared" si="19"/>
        <v/>
      </c>
      <c r="AHD83" s="248" t="str">
        <f t="shared" si="19"/>
        <v/>
      </c>
      <c r="AHE83" s="248" t="str">
        <f t="shared" si="19"/>
        <v/>
      </c>
      <c r="AHF83" s="248" t="str">
        <f t="shared" si="19"/>
        <v/>
      </c>
      <c r="AHG83" s="248" t="str">
        <f t="shared" si="19"/>
        <v/>
      </c>
      <c r="AHH83" s="248" t="str">
        <f t="shared" si="19"/>
        <v/>
      </c>
      <c r="AHI83" s="248" t="str">
        <f t="shared" si="19"/>
        <v/>
      </c>
      <c r="AHJ83" s="248" t="str">
        <f t="shared" si="19"/>
        <v/>
      </c>
      <c r="AHK83" s="248" t="str">
        <f t="shared" si="19"/>
        <v/>
      </c>
      <c r="AHL83" s="248" t="str">
        <f t="shared" si="19"/>
        <v/>
      </c>
      <c r="AHM83" s="248" t="str">
        <f t="shared" si="19"/>
        <v/>
      </c>
      <c r="AHN83" s="248" t="str">
        <f t="shared" si="19"/>
        <v/>
      </c>
      <c r="AHO83" s="248" t="str">
        <f t="shared" si="19"/>
        <v/>
      </c>
      <c r="AHP83" s="248" t="str">
        <f t="shared" si="19"/>
        <v/>
      </c>
      <c r="AHQ83" s="248" t="str">
        <f t="shared" si="19"/>
        <v/>
      </c>
      <c r="AHR83" s="248" t="str">
        <f t="shared" si="19"/>
        <v/>
      </c>
      <c r="AHS83" s="248" t="str">
        <f t="shared" si="19"/>
        <v/>
      </c>
      <c r="AHT83" s="248" t="str">
        <f t="shared" si="19"/>
        <v/>
      </c>
      <c r="AHU83" s="248" t="str">
        <f t="shared" si="19"/>
        <v/>
      </c>
      <c r="AHV83" s="248" t="str">
        <f t="shared" si="19"/>
        <v/>
      </c>
      <c r="AHW83" s="248" t="str">
        <f t="shared" si="19"/>
        <v/>
      </c>
      <c r="AHX83" s="248" t="str">
        <f t="shared" si="19"/>
        <v/>
      </c>
      <c r="AHY83" s="248" t="str">
        <f t="shared" si="19"/>
        <v/>
      </c>
      <c r="AHZ83" s="248" t="str">
        <f t="shared" si="19"/>
        <v/>
      </c>
      <c r="AIA83" s="248" t="str">
        <f t="shared" si="19"/>
        <v/>
      </c>
      <c r="AIB83" s="248" t="str">
        <f t="shared" si="19"/>
        <v/>
      </c>
      <c r="AIC83" s="248" t="str">
        <f t="shared" si="19"/>
        <v/>
      </c>
      <c r="AID83" s="248" t="str">
        <f t="shared" si="19"/>
        <v/>
      </c>
      <c r="AIE83" s="248" t="str">
        <f t="shared" si="19"/>
        <v/>
      </c>
      <c r="AIF83" s="248" t="str">
        <f t="shared" si="19"/>
        <v/>
      </c>
      <c r="AIG83" s="248" t="str">
        <f t="shared" si="19"/>
        <v/>
      </c>
      <c r="AIH83" s="248" t="str">
        <f t="shared" si="19"/>
        <v/>
      </c>
      <c r="AII83" s="248" t="str">
        <f t="shared" si="19"/>
        <v/>
      </c>
      <c r="AIJ83" s="248" t="str">
        <f t="shared" si="19"/>
        <v/>
      </c>
      <c r="AIK83" s="248" t="str">
        <f t="shared" si="19"/>
        <v/>
      </c>
      <c r="AIL83" s="248" t="str">
        <f t="shared" si="19"/>
        <v/>
      </c>
      <c r="AIM83" s="248" t="str">
        <f t="shared" si="19"/>
        <v/>
      </c>
      <c r="AIN83" s="248" t="str">
        <f t="shared" si="19"/>
        <v/>
      </c>
      <c r="AIO83" s="248" t="str">
        <f t="shared" si="19"/>
        <v/>
      </c>
      <c r="AIP83" s="248" t="str">
        <f t="shared" si="19"/>
        <v/>
      </c>
      <c r="AIQ83" s="248" t="str">
        <f t="shared" ref="AIQ83:ALB83" si="20">UPPER(AIO83)</f>
        <v/>
      </c>
      <c r="AIR83" s="248" t="str">
        <f t="shared" si="20"/>
        <v/>
      </c>
      <c r="AIS83" s="248" t="str">
        <f t="shared" si="20"/>
        <v/>
      </c>
      <c r="AIT83" s="248" t="str">
        <f t="shared" si="20"/>
        <v/>
      </c>
      <c r="AIU83" s="248" t="str">
        <f t="shared" si="20"/>
        <v/>
      </c>
      <c r="AIV83" s="248" t="str">
        <f t="shared" si="20"/>
        <v/>
      </c>
      <c r="AIW83" s="248" t="str">
        <f t="shared" si="20"/>
        <v/>
      </c>
      <c r="AIX83" s="248" t="str">
        <f t="shared" si="20"/>
        <v/>
      </c>
      <c r="AIY83" s="248" t="str">
        <f t="shared" si="20"/>
        <v/>
      </c>
      <c r="AIZ83" s="248" t="str">
        <f t="shared" si="20"/>
        <v/>
      </c>
      <c r="AJA83" s="248" t="str">
        <f t="shared" si="20"/>
        <v/>
      </c>
      <c r="AJB83" s="248" t="str">
        <f t="shared" si="20"/>
        <v/>
      </c>
      <c r="AJC83" s="248" t="str">
        <f t="shared" si="20"/>
        <v/>
      </c>
      <c r="AJD83" s="248" t="str">
        <f t="shared" si="20"/>
        <v/>
      </c>
      <c r="AJE83" s="248" t="str">
        <f t="shared" si="20"/>
        <v/>
      </c>
      <c r="AJF83" s="248" t="str">
        <f t="shared" si="20"/>
        <v/>
      </c>
      <c r="AJG83" s="248" t="str">
        <f t="shared" si="20"/>
        <v/>
      </c>
      <c r="AJH83" s="248" t="str">
        <f t="shared" si="20"/>
        <v/>
      </c>
      <c r="AJI83" s="248" t="str">
        <f t="shared" si="20"/>
        <v/>
      </c>
      <c r="AJJ83" s="248" t="str">
        <f t="shared" si="20"/>
        <v/>
      </c>
      <c r="AJK83" s="248" t="str">
        <f t="shared" si="20"/>
        <v/>
      </c>
      <c r="AJL83" s="248" t="str">
        <f t="shared" si="20"/>
        <v/>
      </c>
      <c r="AJM83" s="248" t="str">
        <f t="shared" si="20"/>
        <v/>
      </c>
      <c r="AJN83" s="248" t="str">
        <f t="shared" si="20"/>
        <v/>
      </c>
      <c r="AJO83" s="248" t="str">
        <f t="shared" si="20"/>
        <v/>
      </c>
      <c r="AJP83" s="248" t="str">
        <f t="shared" si="20"/>
        <v/>
      </c>
      <c r="AJQ83" s="248" t="str">
        <f t="shared" si="20"/>
        <v/>
      </c>
      <c r="AJR83" s="248" t="str">
        <f t="shared" si="20"/>
        <v/>
      </c>
      <c r="AJS83" s="248" t="str">
        <f t="shared" si="20"/>
        <v/>
      </c>
      <c r="AJT83" s="248" t="str">
        <f t="shared" si="20"/>
        <v/>
      </c>
      <c r="AJU83" s="248" t="str">
        <f t="shared" si="20"/>
        <v/>
      </c>
      <c r="AJV83" s="248" t="str">
        <f t="shared" si="20"/>
        <v/>
      </c>
      <c r="AJW83" s="248" t="str">
        <f t="shared" si="20"/>
        <v/>
      </c>
      <c r="AJX83" s="248" t="str">
        <f t="shared" si="20"/>
        <v/>
      </c>
      <c r="AJY83" s="248" t="str">
        <f t="shared" si="20"/>
        <v/>
      </c>
      <c r="AJZ83" s="248" t="str">
        <f t="shared" si="20"/>
        <v/>
      </c>
      <c r="AKA83" s="248" t="str">
        <f t="shared" si="20"/>
        <v/>
      </c>
      <c r="AKB83" s="248" t="str">
        <f t="shared" si="20"/>
        <v/>
      </c>
      <c r="AKC83" s="248" t="str">
        <f t="shared" si="20"/>
        <v/>
      </c>
      <c r="AKD83" s="248" t="str">
        <f t="shared" si="20"/>
        <v/>
      </c>
      <c r="AKE83" s="248" t="str">
        <f t="shared" si="20"/>
        <v/>
      </c>
      <c r="AKF83" s="248" t="str">
        <f t="shared" si="20"/>
        <v/>
      </c>
      <c r="AKG83" s="248" t="str">
        <f t="shared" si="20"/>
        <v/>
      </c>
      <c r="AKH83" s="248" t="str">
        <f t="shared" si="20"/>
        <v/>
      </c>
      <c r="AKI83" s="248" t="str">
        <f t="shared" si="20"/>
        <v/>
      </c>
      <c r="AKJ83" s="248" t="str">
        <f t="shared" si="20"/>
        <v/>
      </c>
      <c r="AKK83" s="248" t="str">
        <f t="shared" si="20"/>
        <v/>
      </c>
      <c r="AKL83" s="248" t="str">
        <f t="shared" si="20"/>
        <v/>
      </c>
      <c r="AKM83" s="248" t="str">
        <f t="shared" si="20"/>
        <v/>
      </c>
      <c r="AKN83" s="248" t="str">
        <f t="shared" si="20"/>
        <v/>
      </c>
      <c r="AKO83" s="248" t="str">
        <f t="shared" si="20"/>
        <v/>
      </c>
      <c r="AKP83" s="248" t="str">
        <f t="shared" si="20"/>
        <v/>
      </c>
      <c r="AKQ83" s="248" t="str">
        <f t="shared" si="20"/>
        <v/>
      </c>
      <c r="AKR83" s="248" t="str">
        <f t="shared" si="20"/>
        <v/>
      </c>
      <c r="AKS83" s="248" t="str">
        <f t="shared" si="20"/>
        <v/>
      </c>
      <c r="AKT83" s="248" t="str">
        <f t="shared" si="20"/>
        <v/>
      </c>
      <c r="AKU83" s="248" t="str">
        <f t="shared" si="20"/>
        <v/>
      </c>
      <c r="AKV83" s="248" t="str">
        <f t="shared" si="20"/>
        <v/>
      </c>
      <c r="AKW83" s="248" t="str">
        <f t="shared" si="20"/>
        <v/>
      </c>
      <c r="AKX83" s="248" t="str">
        <f t="shared" si="20"/>
        <v/>
      </c>
      <c r="AKY83" s="248" t="str">
        <f t="shared" si="20"/>
        <v/>
      </c>
      <c r="AKZ83" s="248" t="str">
        <f t="shared" si="20"/>
        <v/>
      </c>
      <c r="ALA83" s="248" t="str">
        <f t="shared" si="20"/>
        <v/>
      </c>
      <c r="ALB83" s="248" t="str">
        <f t="shared" si="20"/>
        <v/>
      </c>
      <c r="ALC83" s="248" t="str">
        <f t="shared" ref="ALC83:ANN83" si="21">UPPER(ALA83)</f>
        <v/>
      </c>
      <c r="ALD83" s="248" t="str">
        <f t="shared" si="21"/>
        <v/>
      </c>
      <c r="ALE83" s="248" t="str">
        <f t="shared" si="21"/>
        <v/>
      </c>
      <c r="ALF83" s="248" t="str">
        <f t="shared" si="21"/>
        <v/>
      </c>
      <c r="ALG83" s="248" t="str">
        <f t="shared" si="21"/>
        <v/>
      </c>
      <c r="ALH83" s="248" t="str">
        <f t="shared" si="21"/>
        <v/>
      </c>
      <c r="ALI83" s="248" t="str">
        <f t="shared" si="21"/>
        <v/>
      </c>
      <c r="ALJ83" s="248" t="str">
        <f t="shared" si="21"/>
        <v/>
      </c>
      <c r="ALK83" s="248" t="str">
        <f t="shared" si="21"/>
        <v/>
      </c>
      <c r="ALL83" s="248" t="str">
        <f t="shared" si="21"/>
        <v/>
      </c>
      <c r="ALM83" s="248" t="str">
        <f t="shared" si="21"/>
        <v/>
      </c>
      <c r="ALN83" s="248" t="str">
        <f t="shared" si="21"/>
        <v/>
      </c>
      <c r="ALO83" s="248" t="str">
        <f t="shared" si="21"/>
        <v/>
      </c>
      <c r="ALP83" s="248" t="str">
        <f t="shared" si="21"/>
        <v/>
      </c>
      <c r="ALQ83" s="248" t="str">
        <f t="shared" si="21"/>
        <v/>
      </c>
      <c r="ALR83" s="248" t="str">
        <f t="shared" si="21"/>
        <v/>
      </c>
      <c r="ALS83" s="248" t="str">
        <f t="shared" si="21"/>
        <v/>
      </c>
      <c r="ALT83" s="248" t="str">
        <f t="shared" si="21"/>
        <v/>
      </c>
      <c r="ALU83" s="248" t="str">
        <f t="shared" si="21"/>
        <v/>
      </c>
      <c r="ALV83" s="248" t="str">
        <f t="shared" si="21"/>
        <v/>
      </c>
      <c r="ALW83" s="248" t="str">
        <f t="shared" si="21"/>
        <v/>
      </c>
      <c r="ALX83" s="248" t="str">
        <f t="shared" si="21"/>
        <v/>
      </c>
      <c r="ALY83" s="248" t="str">
        <f t="shared" si="21"/>
        <v/>
      </c>
      <c r="ALZ83" s="248" t="str">
        <f t="shared" si="21"/>
        <v/>
      </c>
      <c r="AMA83" s="248" t="str">
        <f t="shared" si="21"/>
        <v/>
      </c>
      <c r="AMB83" s="248" t="str">
        <f t="shared" si="21"/>
        <v/>
      </c>
      <c r="AMC83" s="248" t="str">
        <f t="shared" si="21"/>
        <v/>
      </c>
      <c r="AMD83" s="248" t="str">
        <f t="shared" si="21"/>
        <v/>
      </c>
      <c r="AME83" s="248" t="str">
        <f t="shared" si="21"/>
        <v/>
      </c>
      <c r="AMF83" s="248" t="str">
        <f t="shared" si="21"/>
        <v/>
      </c>
      <c r="AMG83" s="248" t="str">
        <f t="shared" si="21"/>
        <v/>
      </c>
      <c r="AMH83" s="248" t="str">
        <f t="shared" si="21"/>
        <v/>
      </c>
      <c r="AMI83" s="248" t="str">
        <f t="shared" si="21"/>
        <v/>
      </c>
      <c r="AMJ83" s="248" t="str">
        <f t="shared" si="21"/>
        <v/>
      </c>
      <c r="AMK83" s="248" t="str">
        <f t="shared" si="21"/>
        <v/>
      </c>
      <c r="AML83" s="248" t="str">
        <f t="shared" si="21"/>
        <v/>
      </c>
      <c r="AMM83" s="248" t="str">
        <f t="shared" si="21"/>
        <v/>
      </c>
      <c r="AMN83" s="248" t="str">
        <f t="shared" si="21"/>
        <v/>
      </c>
      <c r="AMO83" s="248" t="str">
        <f t="shared" si="21"/>
        <v/>
      </c>
      <c r="AMP83" s="248" t="str">
        <f t="shared" si="21"/>
        <v/>
      </c>
      <c r="AMQ83" s="248" t="str">
        <f t="shared" si="21"/>
        <v/>
      </c>
      <c r="AMR83" s="248" t="str">
        <f t="shared" si="21"/>
        <v/>
      </c>
      <c r="AMS83" s="248" t="str">
        <f t="shared" si="21"/>
        <v/>
      </c>
      <c r="AMT83" s="248" t="str">
        <f t="shared" si="21"/>
        <v/>
      </c>
      <c r="AMU83" s="248" t="str">
        <f t="shared" si="21"/>
        <v/>
      </c>
      <c r="AMV83" s="248" t="str">
        <f t="shared" si="21"/>
        <v/>
      </c>
      <c r="AMW83" s="248" t="str">
        <f t="shared" si="21"/>
        <v/>
      </c>
      <c r="AMX83" s="248" t="str">
        <f t="shared" si="21"/>
        <v/>
      </c>
      <c r="AMY83" s="248" t="str">
        <f t="shared" si="21"/>
        <v/>
      </c>
      <c r="AMZ83" s="248" t="str">
        <f t="shared" si="21"/>
        <v/>
      </c>
      <c r="ANA83" s="248" t="str">
        <f t="shared" si="21"/>
        <v/>
      </c>
      <c r="ANB83" s="248" t="str">
        <f t="shared" si="21"/>
        <v/>
      </c>
      <c r="ANC83" s="248" t="str">
        <f t="shared" si="21"/>
        <v/>
      </c>
      <c r="AND83" s="248" t="str">
        <f t="shared" si="21"/>
        <v/>
      </c>
      <c r="ANE83" s="248" t="str">
        <f t="shared" si="21"/>
        <v/>
      </c>
      <c r="ANF83" s="248" t="str">
        <f t="shared" si="21"/>
        <v/>
      </c>
      <c r="ANG83" s="248" t="str">
        <f t="shared" si="21"/>
        <v/>
      </c>
      <c r="ANH83" s="248" t="str">
        <f t="shared" si="21"/>
        <v/>
      </c>
      <c r="ANI83" s="248" t="str">
        <f t="shared" si="21"/>
        <v/>
      </c>
      <c r="ANJ83" s="248" t="str">
        <f t="shared" si="21"/>
        <v/>
      </c>
      <c r="ANK83" s="248" t="str">
        <f t="shared" si="21"/>
        <v/>
      </c>
      <c r="ANL83" s="248" t="str">
        <f t="shared" si="21"/>
        <v/>
      </c>
      <c r="ANM83" s="248" t="str">
        <f t="shared" si="21"/>
        <v/>
      </c>
      <c r="ANN83" s="248" t="str">
        <f t="shared" si="21"/>
        <v/>
      </c>
      <c r="ANO83" s="248" t="str">
        <f t="shared" ref="ANO83:APZ83" si="22">UPPER(ANM83)</f>
        <v/>
      </c>
      <c r="ANP83" s="248" t="str">
        <f t="shared" si="22"/>
        <v/>
      </c>
      <c r="ANQ83" s="248" t="str">
        <f t="shared" si="22"/>
        <v/>
      </c>
      <c r="ANR83" s="248" t="str">
        <f t="shared" si="22"/>
        <v/>
      </c>
      <c r="ANS83" s="248" t="str">
        <f t="shared" si="22"/>
        <v/>
      </c>
      <c r="ANT83" s="248" t="str">
        <f t="shared" si="22"/>
        <v/>
      </c>
      <c r="ANU83" s="248" t="str">
        <f t="shared" si="22"/>
        <v/>
      </c>
      <c r="ANV83" s="248" t="str">
        <f t="shared" si="22"/>
        <v/>
      </c>
      <c r="ANW83" s="248" t="str">
        <f t="shared" si="22"/>
        <v/>
      </c>
      <c r="ANX83" s="248" t="str">
        <f t="shared" si="22"/>
        <v/>
      </c>
      <c r="ANY83" s="248" t="str">
        <f t="shared" si="22"/>
        <v/>
      </c>
      <c r="ANZ83" s="248" t="str">
        <f t="shared" si="22"/>
        <v/>
      </c>
      <c r="AOA83" s="248" t="str">
        <f t="shared" si="22"/>
        <v/>
      </c>
      <c r="AOB83" s="248" t="str">
        <f t="shared" si="22"/>
        <v/>
      </c>
      <c r="AOC83" s="248" t="str">
        <f t="shared" si="22"/>
        <v/>
      </c>
      <c r="AOD83" s="248" t="str">
        <f t="shared" si="22"/>
        <v/>
      </c>
      <c r="AOE83" s="248" t="str">
        <f t="shared" si="22"/>
        <v/>
      </c>
      <c r="AOF83" s="248" t="str">
        <f t="shared" si="22"/>
        <v/>
      </c>
      <c r="AOG83" s="248" t="str">
        <f t="shared" si="22"/>
        <v/>
      </c>
      <c r="AOH83" s="248" t="str">
        <f t="shared" si="22"/>
        <v/>
      </c>
      <c r="AOI83" s="248" t="str">
        <f t="shared" si="22"/>
        <v/>
      </c>
      <c r="AOJ83" s="248" t="str">
        <f t="shared" si="22"/>
        <v/>
      </c>
      <c r="AOK83" s="248" t="str">
        <f t="shared" si="22"/>
        <v/>
      </c>
      <c r="AOL83" s="248" t="str">
        <f t="shared" si="22"/>
        <v/>
      </c>
      <c r="AOM83" s="248" t="str">
        <f t="shared" si="22"/>
        <v/>
      </c>
      <c r="AON83" s="248" t="str">
        <f t="shared" si="22"/>
        <v/>
      </c>
      <c r="AOO83" s="248" t="str">
        <f t="shared" si="22"/>
        <v/>
      </c>
      <c r="AOP83" s="248" t="str">
        <f t="shared" si="22"/>
        <v/>
      </c>
      <c r="AOQ83" s="248" t="str">
        <f t="shared" si="22"/>
        <v/>
      </c>
      <c r="AOR83" s="248" t="str">
        <f t="shared" si="22"/>
        <v/>
      </c>
      <c r="AOS83" s="248" t="str">
        <f t="shared" si="22"/>
        <v/>
      </c>
      <c r="AOT83" s="248" t="str">
        <f t="shared" si="22"/>
        <v/>
      </c>
      <c r="AOU83" s="248" t="str">
        <f t="shared" si="22"/>
        <v/>
      </c>
      <c r="AOV83" s="248" t="str">
        <f t="shared" si="22"/>
        <v/>
      </c>
      <c r="AOW83" s="248" t="str">
        <f t="shared" si="22"/>
        <v/>
      </c>
      <c r="AOX83" s="248" t="str">
        <f t="shared" si="22"/>
        <v/>
      </c>
      <c r="AOY83" s="248" t="str">
        <f t="shared" si="22"/>
        <v/>
      </c>
      <c r="AOZ83" s="248" t="str">
        <f t="shared" si="22"/>
        <v/>
      </c>
      <c r="APA83" s="248" t="str">
        <f t="shared" si="22"/>
        <v/>
      </c>
      <c r="APB83" s="248" t="str">
        <f t="shared" si="22"/>
        <v/>
      </c>
      <c r="APC83" s="248" t="str">
        <f t="shared" si="22"/>
        <v/>
      </c>
      <c r="APD83" s="248" t="str">
        <f t="shared" si="22"/>
        <v/>
      </c>
      <c r="APE83" s="248" t="str">
        <f t="shared" si="22"/>
        <v/>
      </c>
      <c r="APF83" s="248" t="str">
        <f t="shared" si="22"/>
        <v/>
      </c>
      <c r="APG83" s="248" t="str">
        <f t="shared" si="22"/>
        <v/>
      </c>
      <c r="APH83" s="248" t="str">
        <f t="shared" si="22"/>
        <v/>
      </c>
      <c r="API83" s="248" t="str">
        <f t="shared" si="22"/>
        <v/>
      </c>
      <c r="APJ83" s="248" t="str">
        <f t="shared" si="22"/>
        <v/>
      </c>
      <c r="APK83" s="248" t="str">
        <f t="shared" si="22"/>
        <v/>
      </c>
      <c r="APL83" s="248" t="str">
        <f t="shared" si="22"/>
        <v/>
      </c>
      <c r="APM83" s="248" t="str">
        <f t="shared" si="22"/>
        <v/>
      </c>
      <c r="APN83" s="248" t="str">
        <f t="shared" si="22"/>
        <v/>
      </c>
      <c r="APO83" s="248" t="str">
        <f t="shared" si="22"/>
        <v/>
      </c>
      <c r="APP83" s="248" t="str">
        <f t="shared" si="22"/>
        <v/>
      </c>
      <c r="APQ83" s="248" t="str">
        <f t="shared" si="22"/>
        <v/>
      </c>
      <c r="APR83" s="248" t="str">
        <f t="shared" si="22"/>
        <v/>
      </c>
      <c r="APS83" s="248" t="str">
        <f t="shared" si="22"/>
        <v/>
      </c>
      <c r="APT83" s="248" t="str">
        <f t="shared" si="22"/>
        <v/>
      </c>
      <c r="APU83" s="248" t="str">
        <f t="shared" si="22"/>
        <v/>
      </c>
      <c r="APV83" s="248" t="str">
        <f t="shared" si="22"/>
        <v/>
      </c>
      <c r="APW83" s="248" t="str">
        <f t="shared" si="22"/>
        <v/>
      </c>
      <c r="APX83" s="248" t="str">
        <f t="shared" si="22"/>
        <v/>
      </c>
      <c r="APY83" s="248" t="str">
        <f t="shared" si="22"/>
        <v/>
      </c>
      <c r="APZ83" s="248" t="str">
        <f t="shared" si="22"/>
        <v/>
      </c>
      <c r="AQA83" s="248" t="str">
        <f t="shared" ref="AQA83:ASL83" si="23">UPPER(APY83)</f>
        <v/>
      </c>
      <c r="AQB83" s="248" t="str">
        <f t="shared" si="23"/>
        <v/>
      </c>
      <c r="AQC83" s="248" t="str">
        <f t="shared" si="23"/>
        <v/>
      </c>
      <c r="AQD83" s="248" t="str">
        <f t="shared" si="23"/>
        <v/>
      </c>
      <c r="AQE83" s="248" t="str">
        <f t="shared" si="23"/>
        <v/>
      </c>
      <c r="AQF83" s="248" t="str">
        <f t="shared" si="23"/>
        <v/>
      </c>
      <c r="AQG83" s="248" t="str">
        <f t="shared" si="23"/>
        <v/>
      </c>
      <c r="AQH83" s="248" t="str">
        <f t="shared" si="23"/>
        <v/>
      </c>
      <c r="AQI83" s="248" t="str">
        <f t="shared" si="23"/>
        <v/>
      </c>
      <c r="AQJ83" s="248" t="str">
        <f t="shared" si="23"/>
        <v/>
      </c>
      <c r="AQK83" s="248" t="str">
        <f t="shared" si="23"/>
        <v/>
      </c>
      <c r="AQL83" s="248" t="str">
        <f t="shared" si="23"/>
        <v/>
      </c>
      <c r="AQM83" s="248" t="str">
        <f t="shared" si="23"/>
        <v/>
      </c>
      <c r="AQN83" s="248" t="str">
        <f t="shared" si="23"/>
        <v/>
      </c>
      <c r="AQO83" s="248" t="str">
        <f t="shared" si="23"/>
        <v/>
      </c>
      <c r="AQP83" s="248" t="str">
        <f t="shared" si="23"/>
        <v/>
      </c>
      <c r="AQQ83" s="248" t="str">
        <f t="shared" si="23"/>
        <v/>
      </c>
      <c r="AQR83" s="248" t="str">
        <f t="shared" si="23"/>
        <v/>
      </c>
      <c r="AQS83" s="248" t="str">
        <f t="shared" si="23"/>
        <v/>
      </c>
      <c r="AQT83" s="248" t="str">
        <f t="shared" si="23"/>
        <v/>
      </c>
      <c r="AQU83" s="248" t="str">
        <f t="shared" si="23"/>
        <v/>
      </c>
      <c r="AQV83" s="248" t="str">
        <f t="shared" si="23"/>
        <v/>
      </c>
      <c r="AQW83" s="248" t="str">
        <f t="shared" si="23"/>
        <v/>
      </c>
      <c r="AQX83" s="248" t="str">
        <f t="shared" si="23"/>
        <v/>
      </c>
      <c r="AQY83" s="248" t="str">
        <f t="shared" si="23"/>
        <v/>
      </c>
      <c r="AQZ83" s="248" t="str">
        <f t="shared" si="23"/>
        <v/>
      </c>
      <c r="ARA83" s="248" t="str">
        <f t="shared" si="23"/>
        <v/>
      </c>
      <c r="ARB83" s="248" t="str">
        <f t="shared" si="23"/>
        <v/>
      </c>
      <c r="ARC83" s="248" t="str">
        <f t="shared" si="23"/>
        <v/>
      </c>
      <c r="ARD83" s="248" t="str">
        <f t="shared" si="23"/>
        <v/>
      </c>
      <c r="ARE83" s="248" t="str">
        <f t="shared" si="23"/>
        <v/>
      </c>
      <c r="ARF83" s="248" t="str">
        <f t="shared" si="23"/>
        <v/>
      </c>
      <c r="ARG83" s="248" t="str">
        <f t="shared" si="23"/>
        <v/>
      </c>
      <c r="ARH83" s="248" t="str">
        <f t="shared" si="23"/>
        <v/>
      </c>
      <c r="ARI83" s="248" t="str">
        <f t="shared" si="23"/>
        <v/>
      </c>
      <c r="ARJ83" s="248" t="str">
        <f t="shared" si="23"/>
        <v/>
      </c>
      <c r="ARK83" s="248" t="str">
        <f t="shared" si="23"/>
        <v/>
      </c>
      <c r="ARL83" s="248" t="str">
        <f t="shared" si="23"/>
        <v/>
      </c>
      <c r="ARM83" s="248" t="str">
        <f t="shared" si="23"/>
        <v/>
      </c>
      <c r="ARN83" s="248" t="str">
        <f t="shared" si="23"/>
        <v/>
      </c>
      <c r="ARO83" s="248" t="str">
        <f t="shared" si="23"/>
        <v/>
      </c>
      <c r="ARP83" s="248" t="str">
        <f t="shared" si="23"/>
        <v/>
      </c>
      <c r="ARQ83" s="248" t="str">
        <f t="shared" si="23"/>
        <v/>
      </c>
      <c r="ARR83" s="248" t="str">
        <f t="shared" si="23"/>
        <v/>
      </c>
      <c r="ARS83" s="248" t="str">
        <f t="shared" si="23"/>
        <v/>
      </c>
      <c r="ART83" s="248" t="str">
        <f t="shared" si="23"/>
        <v/>
      </c>
      <c r="ARU83" s="248" t="str">
        <f t="shared" si="23"/>
        <v/>
      </c>
      <c r="ARV83" s="248" t="str">
        <f t="shared" si="23"/>
        <v/>
      </c>
      <c r="ARW83" s="248" t="str">
        <f t="shared" si="23"/>
        <v/>
      </c>
      <c r="ARX83" s="248" t="str">
        <f t="shared" si="23"/>
        <v/>
      </c>
      <c r="ARY83" s="248" t="str">
        <f t="shared" si="23"/>
        <v/>
      </c>
      <c r="ARZ83" s="248" t="str">
        <f t="shared" si="23"/>
        <v/>
      </c>
      <c r="ASA83" s="248" t="str">
        <f t="shared" si="23"/>
        <v/>
      </c>
      <c r="ASB83" s="248" t="str">
        <f t="shared" si="23"/>
        <v/>
      </c>
      <c r="ASC83" s="248" t="str">
        <f t="shared" si="23"/>
        <v/>
      </c>
      <c r="ASD83" s="248" t="str">
        <f t="shared" si="23"/>
        <v/>
      </c>
      <c r="ASE83" s="248" t="str">
        <f t="shared" si="23"/>
        <v/>
      </c>
      <c r="ASF83" s="248" t="str">
        <f t="shared" si="23"/>
        <v/>
      </c>
      <c r="ASG83" s="248" t="str">
        <f t="shared" si="23"/>
        <v/>
      </c>
      <c r="ASH83" s="248" t="str">
        <f t="shared" si="23"/>
        <v/>
      </c>
      <c r="ASI83" s="248" t="str">
        <f t="shared" si="23"/>
        <v/>
      </c>
      <c r="ASJ83" s="248" t="str">
        <f t="shared" si="23"/>
        <v/>
      </c>
      <c r="ASK83" s="248" t="str">
        <f t="shared" si="23"/>
        <v/>
      </c>
      <c r="ASL83" s="248" t="str">
        <f t="shared" si="23"/>
        <v/>
      </c>
      <c r="ASM83" s="248" t="str">
        <f t="shared" ref="ASM83:AUX83" si="24">UPPER(ASK83)</f>
        <v/>
      </c>
      <c r="ASN83" s="248" t="str">
        <f t="shared" si="24"/>
        <v/>
      </c>
      <c r="ASO83" s="248" t="str">
        <f t="shared" si="24"/>
        <v/>
      </c>
      <c r="ASP83" s="248" t="str">
        <f t="shared" si="24"/>
        <v/>
      </c>
      <c r="ASQ83" s="248" t="str">
        <f t="shared" si="24"/>
        <v/>
      </c>
      <c r="ASR83" s="248" t="str">
        <f t="shared" si="24"/>
        <v/>
      </c>
      <c r="ASS83" s="248" t="str">
        <f t="shared" si="24"/>
        <v/>
      </c>
      <c r="AST83" s="248" t="str">
        <f t="shared" si="24"/>
        <v/>
      </c>
      <c r="ASU83" s="248" t="str">
        <f t="shared" si="24"/>
        <v/>
      </c>
      <c r="ASV83" s="248" t="str">
        <f t="shared" si="24"/>
        <v/>
      </c>
      <c r="ASW83" s="248" t="str">
        <f t="shared" si="24"/>
        <v/>
      </c>
      <c r="ASX83" s="248" t="str">
        <f t="shared" si="24"/>
        <v/>
      </c>
      <c r="ASY83" s="248" t="str">
        <f t="shared" si="24"/>
        <v/>
      </c>
      <c r="ASZ83" s="248" t="str">
        <f t="shared" si="24"/>
        <v/>
      </c>
      <c r="ATA83" s="248" t="str">
        <f t="shared" si="24"/>
        <v/>
      </c>
      <c r="ATB83" s="248" t="str">
        <f t="shared" si="24"/>
        <v/>
      </c>
      <c r="ATC83" s="248" t="str">
        <f t="shared" si="24"/>
        <v/>
      </c>
      <c r="ATD83" s="248" t="str">
        <f t="shared" si="24"/>
        <v/>
      </c>
      <c r="ATE83" s="248" t="str">
        <f t="shared" si="24"/>
        <v/>
      </c>
      <c r="ATF83" s="248" t="str">
        <f t="shared" si="24"/>
        <v/>
      </c>
      <c r="ATG83" s="248" t="str">
        <f t="shared" si="24"/>
        <v/>
      </c>
      <c r="ATH83" s="248" t="str">
        <f t="shared" si="24"/>
        <v/>
      </c>
      <c r="ATI83" s="248" t="str">
        <f t="shared" si="24"/>
        <v/>
      </c>
      <c r="ATJ83" s="248" t="str">
        <f t="shared" si="24"/>
        <v/>
      </c>
      <c r="ATK83" s="248" t="str">
        <f t="shared" si="24"/>
        <v/>
      </c>
      <c r="ATL83" s="248" t="str">
        <f t="shared" si="24"/>
        <v/>
      </c>
      <c r="ATM83" s="248" t="str">
        <f t="shared" si="24"/>
        <v/>
      </c>
      <c r="ATN83" s="248" t="str">
        <f t="shared" si="24"/>
        <v/>
      </c>
      <c r="ATO83" s="248" t="str">
        <f t="shared" si="24"/>
        <v/>
      </c>
      <c r="ATP83" s="248" t="str">
        <f t="shared" si="24"/>
        <v/>
      </c>
      <c r="ATQ83" s="248" t="str">
        <f t="shared" si="24"/>
        <v/>
      </c>
      <c r="ATR83" s="248" t="str">
        <f t="shared" si="24"/>
        <v/>
      </c>
      <c r="ATS83" s="248" t="str">
        <f t="shared" si="24"/>
        <v/>
      </c>
      <c r="ATT83" s="248" t="str">
        <f t="shared" si="24"/>
        <v/>
      </c>
      <c r="ATU83" s="248" t="str">
        <f t="shared" si="24"/>
        <v/>
      </c>
      <c r="ATV83" s="248" t="str">
        <f t="shared" si="24"/>
        <v/>
      </c>
      <c r="ATW83" s="248" t="str">
        <f t="shared" si="24"/>
        <v/>
      </c>
      <c r="ATX83" s="248" t="str">
        <f t="shared" si="24"/>
        <v/>
      </c>
      <c r="ATY83" s="248" t="str">
        <f t="shared" si="24"/>
        <v/>
      </c>
      <c r="ATZ83" s="248" t="str">
        <f t="shared" si="24"/>
        <v/>
      </c>
      <c r="AUA83" s="248" t="str">
        <f t="shared" si="24"/>
        <v/>
      </c>
      <c r="AUB83" s="248" t="str">
        <f t="shared" si="24"/>
        <v/>
      </c>
      <c r="AUC83" s="248" t="str">
        <f t="shared" si="24"/>
        <v/>
      </c>
      <c r="AUD83" s="248" t="str">
        <f t="shared" si="24"/>
        <v/>
      </c>
      <c r="AUE83" s="248" t="str">
        <f t="shared" si="24"/>
        <v/>
      </c>
      <c r="AUF83" s="248" t="str">
        <f t="shared" si="24"/>
        <v/>
      </c>
      <c r="AUG83" s="248" t="str">
        <f t="shared" si="24"/>
        <v/>
      </c>
      <c r="AUH83" s="248" t="str">
        <f t="shared" si="24"/>
        <v/>
      </c>
      <c r="AUI83" s="248" t="str">
        <f t="shared" si="24"/>
        <v/>
      </c>
      <c r="AUJ83" s="248" t="str">
        <f t="shared" si="24"/>
        <v/>
      </c>
      <c r="AUK83" s="248" t="str">
        <f t="shared" si="24"/>
        <v/>
      </c>
      <c r="AUL83" s="248" t="str">
        <f t="shared" si="24"/>
        <v/>
      </c>
      <c r="AUM83" s="248" t="str">
        <f t="shared" si="24"/>
        <v/>
      </c>
      <c r="AUN83" s="248" t="str">
        <f t="shared" si="24"/>
        <v/>
      </c>
      <c r="AUO83" s="248" t="str">
        <f t="shared" si="24"/>
        <v/>
      </c>
      <c r="AUP83" s="248" t="str">
        <f t="shared" si="24"/>
        <v/>
      </c>
      <c r="AUQ83" s="248" t="str">
        <f t="shared" si="24"/>
        <v/>
      </c>
      <c r="AUR83" s="248" t="str">
        <f t="shared" si="24"/>
        <v/>
      </c>
      <c r="AUS83" s="248" t="str">
        <f t="shared" si="24"/>
        <v/>
      </c>
      <c r="AUT83" s="248" t="str">
        <f t="shared" si="24"/>
        <v/>
      </c>
      <c r="AUU83" s="248" t="str">
        <f t="shared" si="24"/>
        <v/>
      </c>
      <c r="AUV83" s="248" t="str">
        <f t="shared" si="24"/>
        <v/>
      </c>
      <c r="AUW83" s="248" t="str">
        <f t="shared" si="24"/>
        <v/>
      </c>
      <c r="AUX83" s="248" t="str">
        <f t="shared" si="24"/>
        <v/>
      </c>
      <c r="AUY83" s="248" t="str">
        <f t="shared" ref="AUY83:AXJ83" si="25">UPPER(AUW83)</f>
        <v/>
      </c>
      <c r="AUZ83" s="248" t="str">
        <f t="shared" si="25"/>
        <v/>
      </c>
      <c r="AVA83" s="248" t="str">
        <f t="shared" si="25"/>
        <v/>
      </c>
      <c r="AVB83" s="248" t="str">
        <f t="shared" si="25"/>
        <v/>
      </c>
      <c r="AVC83" s="248" t="str">
        <f t="shared" si="25"/>
        <v/>
      </c>
      <c r="AVD83" s="248" t="str">
        <f t="shared" si="25"/>
        <v/>
      </c>
      <c r="AVE83" s="248" t="str">
        <f t="shared" si="25"/>
        <v/>
      </c>
      <c r="AVF83" s="248" t="str">
        <f t="shared" si="25"/>
        <v/>
      </c>
      <c r="AVG83" s="248" t="str">
        <f t="shared" si="25"/>
        <v/>
      </c>
      <c r="AVH83" s="248" t="str">
        <f t="shared" si="25"/>
        <v/>
      </c>
      <c r="AVI83" s="248" t="str">
        <f t="shared" si="25"/>
        <v/>
      </c>
      <c r="AVJ83" s="248" t="str">
        <f t="shared" si="25"/>
        <v/>
      </c>
      <c r="AVK83" s="248" t="str">
        <f t="shared" si="25"/>
        <v/>
      </c>
      <c r="AVL83" s="248" t="str">
        <f t="shared" si="25"/>
        <v/>
      </c>
      <c r="AVM83" s="248" t="str">
        <f t="shared" si="25"/>
        <v/>
      </c>
      <c r="AVN83" s="248" t="str">
        <f t="shared" si="25"/>
        <v/>
      </c>
      <c r="AVO83" s="248" t="str">
        <f t="shared" si="25"/>
        <v/>
      </c>
      <c r="AVP83" s="248" t="str">
        <f t="shared" si="25"/>
        <v/>
      </c>
      <c r="AVQ83" s="248" t="str">
        <f t="shared" si="25"/>
        <v/>
      </c>
      <c r="AVR83" s="248" t="str">
        <f t="shared" si="25"/>
        <v/>
      </c>
      <c r="AVS83" s="248" t="str">
        <f t="shared" si="25"/>
        <v/>
      </c>
      <c r="AVT83" s="248" t="str">
        <f t="shared" si="25"/>
        <v/>
      </c>
      <c r="AVU83" s="248" t="str">
        <f t="shared" si="25"/>
        <v/>
      </c>
      <c r="AVV83" s="248" t="str">
        <f t="shared" si="25"/>
        <v/>
      </c>
      <c r="AVW83" s="248" t="str">
        <f t="shared" si="25"/>
        <v/>
      </c>
      <c r="AVX83" s="248" t="str">
        <f t="shared" si="25"/>
        <v/>
      </c>
      <c r="AVY83" s="248" t="str">
        <f t="shared" si="25"/>
        <v/>
      </c>
      <c r="AVZ83" s="248" t="str">
        <f t="shared" si="25"/>
        <v/>
      </c>
      <c r="AWA83" s="248" t="str">
        <f t="shared" si="25"/>
        <v/>
      </c>
      <c r="AWB83" s="248" t="str">
        <f t="shared" si="25"/>
        <v/>
      </c>
      <c r="AWC83" s="248" t="str">
        <f t="shared" si="25"/>
        <v/>
      </c>
      <c r="AWD83" s="248" t="str">
        <f t="shared" si="25"/>
        <v/>
      </c>
      <c r="AWE83" s="248" t="str">
        <f t="shared" si="25"/>
        <v/>
      </c>
      <c r="AWF83" s="248" t="str">
        <f t="shared" si="25"/>
        <v/>
      </c>
      <c r="AWG83" s="248" t="str">
        <f t="shared" si="25"/>
        <v/>
      </c>
      <c r="AWH83" s="248" t="str">
        <f t="shared" si="25"/>
        <v/>
      </c>
      <c r="AWI83" s="248" t="str">
        <f t="shared" si="25"/>
        <v/>
      </c>
      <c r="AWJ83" s="248" t="str">
        <f t="shared" si="25"/>
        <v/>
      </c>
      <c r="AWK83" s="248" t="str">
        <f t="shared" si="25"/>
        <v/>
      </c>
      <c r="AWL83" s="248" t="str">
        <f t="shared" si="25"/>
        <v/>
      </c>
      <c r="AWM83" s="248" t="str">
        <f t="shared" si="25"/>
        <v/>
      </c>
      <c r="AWN83" s="248" t="str">
        <f t="shared" si="25"/>
        <v/>
      </c>
      <c r="AWO83" s="248" t="str">
        <f t="shared" si="25"/>
        <v/>
      </c>
      <c r="AWP83" s="248" t="str">
        <f t="shared" si="25"/>
        <v/>
      </c>
      <c r="AWQ83" s="248" t="str">
        <f t="shared" si="25"/>
        <v/>
      </c>
      <c r="AWR83" s="248" t="str">
        <f t="shared" si="25"/>
        <v/>
      </c>
      <c r="AWS83" s="248" t="str">
        <f t="shared" si="25"/>
        <v/>
      </c>
      <c r="AWT83" s="248" t="str">
        <f t="shared" si="25"/>
        <v/>
      </c>
      <c r="AWU83" s="248" t="str">
        <f t="shared" si="25"/>
        <v/>
      </c>
      <c r="AWV83" s="248" t="str">
        <f t="shared" si="25"/>
        <v/>
      </c>
      <c r="AWW83" s="248" t="str">
        <f t="shared" si="25"/>
        <v/>
      </c>
      <c r="AWX83" s="248" t="str">
        <f t="shared" si="25"/>
        <v/>
      </c>
      <c r="AWY83" s="248" t="str">
        <f t="shared" si="25"/>
        <v/>
      </c>
      <c r="AWZ83" s="248" t="str">
        <f t="shared" si="25"/>
        <v/>
      </c>
      <c r="AXA83" s="248" t="str">
        <f t="shared" si="25"/>
        <v/>
      </c>
      <c r="AXB83" s="248" t="str">
        <f t="shared" si="25"/>
        <v/>
      </c>
      <c r="AXC83" s="248" t="str">
        <f t="shared" si="25"/>
        <v/>
      </c>
      <c r="AXD83" s="248" t="str">
        <f t="shared" si="25"/>
        <v/>
      </c>
      <c r="AXE83" s="248" t="str">
        <f t="shared" si="25"/>
        <v/>
      </c>
      <c r="AXF83" s="248" t="str">
        <f t="shared" si="25"/>
        <v/>
      </c>
      <c r="AXG83" s="248" t="str">
        <f t="shared" si="25"/>
        <v/>
      </c>
      <c r="AXH83" s="248" t="str">
        <f t="shared" si="25"/>
        <v/>
      </c>
      <c r="AXI83" s="248" t="str">
        <f t="shared" si="25"/>
        <v/>
      </c>
      <c r="AXJ83" s="248" t="str">
        <f t="shared" si="25"/>
        <v/>
      </c>
      <c r="AXK83" s="248" t="str">
        <f t="shared" ref="AXK83:AZV83" si="26">UPPER(AXI83)</f>
        <v/>
      </c>
      <c r="AXL83" s="248" t="str">
        <f t="shared" si="26"/>
        <v/>
      </c>
      <c r="AXM83" s="248" t="str">
        <f t="shared" si="26"/>
        <v/>
      </c>
      <c r="AXN83" s="248" t="str">
        <f t="shared" si="26"/>
        <v/>
      </c>
      <c r="AXO83" s="248" t="str">
        <f t="shared" si="26"/>
        <v/>
      </c>
      <c r="AXP83" s="248" t="str">
        <f t="shared" si="26"/>
        <v/>
      </c>
      <c r="AXQ83" s="248" t="str">
        <f t="shared" si="26"/>
        <v/>
      </c>
      <c r="AXR83" s="248" t="str">
        <f t="shared" si="26"/>
        <v/>
      </c>
      <c r="AXS83" s="248" t="str">
        <f t="shared" si="26"/>
        <v/>
      </c>
      <c r="AXT83" s="248" t="str">
        <f t="shared" si="26"/>
        <v/>
      </c>
      <c r="AXU83" s="248" t="str">
        <f t="shared" si="26"/>
        <v/>
      </c>
      <c r="AXV83" s="248" t="str">
        <f t="shared" si="26"/>
        <v/>
      </c>
      <c r="AXW83" s="248" t="str">
        <f t="shared" si="26"/>
        <v/>
      </c>
      <c r="AXX83" s="248" t="str">
        <f t="shared" si="26"/>
        <v/>
      </c>
      <c r="AXY83" s="248" t="str">
        <f t="shared" si="26"/>
        <v/>
      </c>
      <c r="AXZ83" s="248" t="str">
        <f t="shared" si="26"/>
        <v/>
      </c>
      <c r="AYA83" s="248" t="str">
        <f t="shared" si="26"/>
        <v/>
      </c>
      <c r="AYB83" s="248" t="str">
        <f t="shared" si="26"/>
        <v/>
      </c>
      <c r="AYC83" s="248" t="str">
        <f t="shared" si="26"/>
        <v/>
      </c>
      <c r="AYD83" s="248" t="str">
        <f t="shared" si="26"/>
        <v/>
      </c>
      <c r="AYE83" s="248" t="str">
        <f t="shared" si="26"/>
        <v/>
      </c>
      <c r="AYF83" s="248" t="str">
        <f t="shared" si="26"/>
        <v/>
      </c>
      <c r="AYG83" s="248" t="str">
        <f t="shared" si="26"/>
        <v/>
      </c>
      <c r="AYH83" s="248" t="str">
        <f t="shared" si="26"/>
        <v/>
      </c>
      <c r="AYI83" s="248" t="str">
        <f t="shared" si="26"/>
        <v/>
      </c>
      <c r="AYJ83" s="248" t="str">
        <f t="shared" si="26"/>
        <v/>
      </c>
      <c r="AYK83" s="248" t="str">
        <f t="shared" si="26"/>
        <v/>
      </c>
      <c r="AYL83" s="248" t="str">
        <f t="shared" si="26"/>
        <v/>
      </c>
      <c r="AYM83" s="248" t="str">
        <f t="shared" si="26"/>
        <v/>
      </c>
      <c r="AYN83" s="248" t="str">
        <f t="shared" si="26"/>
        <v/>
      </c>
      <c r="AYO83" s="248" t="str">
        <f t="shared" si="26"/>
        <v/>
      </c>
      <c r="AYP83" s="248" t="str">
        <f t="shared" si="26"/>
        <v/>
      </c>
      <c r="AYQ83" s="248" t="str">
        <f t="shared" si="26"/>
        <v/>
      </c>
      <c r="AYR83" s="248" t="str">
        <f t="shared" si="26"/>
        <v/>
      </c>
      <c r="AYS83" s="248" t="str">
        <f t="shared" si="26"/>
        <v/>
      </c>
      <c r="AYT83" s="248" t="str">
        <f t="shared" si="26"/>
        <v/>
      </c>
      <c r="AYU83" s="248" t="str">
        <f t="shared" si="26"/>
        <v/>
      </c>
      <c r="AYV83" s="248" t="str">
        <f t="shared" si="26"/>
        <v/>
      </c>
      <c r="AYW83" s="248" t="str">
        <f t="shared" si="26"/>
        <v/>
      </c>
      <c r="AYX83" s="248" t="str">
        <f t="shared" si="26"/>
        <v/>
      </c>
      <c r="AYY83" s="248" t="str">
        <f t="shared" si="26"/>
        <v/>
      </c>
      <c r="AYZ83" s="248" t="str">
        <f t="shared" si="26"/>
        <v/>
      </c>
      <c r="AZA83" s="248" t="str">
        <f t="shared" si="26"/>
        <v/>
      </c>
      <c r="AZB83" s="248" t="str">
        <f t="shared" si="26"/>
        <v/>
      </c>
      <c r="AZC83" s="248" t="str">
        <f t="shared" si="26"/>
        <v/>
      </c>
      <c r="AZD83" s="248" t="str">
        <f t="shared" si="26"/>
        <v/>
      </c>
      <c r="AZE83" s="248" t="str">
        <f t="shared" si="26"/>
        <v/>
      </c>
      <c r="AZF83" s="248" t="str">
        <f t="shared" si="26"/>
        <v/>
      </c>
      <c r="AZG83" s="248" t="str">
        <f t="shared" si="26"/>
        <v/>
      </c>
      <c r="AZH83" s="248" t="str">
        <f t="shared" si="26"/>
        <v/>
      </c>
      <c r="AZI83" s="248" t="str">
        <f t="shared" si="26"/>
        <v/>
      </c>
      <c r="AZJ83" s="248" t="str">
        <f t="shared" si="26"/>
        <v/>
      </c>
      <c r="AZK83" s="248" t="str">
        <f t="shared" si="26"/>
        <v/>
      </c>
      <c r="AZL83" s="248" t="str">
        <f t="shared" si="26"/>
        <v/>
      </c>
      <c r="AZM83" s="248" t="str">
        <f t="shared" si="26"/>
        <v/>
      </c>
      <c r="AZN83" s="248" t="str">
        <f t="shared" si="26"/>
        <v/>
      </c>
      <c r="AZO83" s="248" t="str">
        <f t="shared" si="26"/>
        <v/>
      </c>
      <c r="AZP83" s="248" t="str">
        <f t="shared" si="26"/>
        <v/>
      </c>
      <c r="AZQ83" s="248" t="str">
        <f t="shared" si="26"/>
        <v/>
      </c>
      <c r="AZR83" s="248" t="str">
        <f t="shared" si="26"/>
        <v/>
      </c>
      <c r="AZS83" s="248" t="str">
        <f t="shared" si="26"/>
        <v/>
      </c>
      <c r="AZT83" s="248" t="str">
        <f t="shared" si="26"/>
        <v/>
      </c>
      <c r="AZU83" s="248" t="str">
        <f t="shared" si="26"/>
        <v/>
      </c>
      <c r="AZV83" s="248" t="str">
        <f t="shared" si="26"/>
        <v/>
      </c>
      <c r="AZW83" s="248" t="str">
        <f t="shared" ref="AZW83:BCH83" si="27">UPPER(AZU83)</f>
        <v/>
      </c>
      <c r="AZX83" s="248" t="str">
        <f t="shared" si="27"/>
        <v/>
      </c>
      <c r="AZY83" s="248" t="str">
        <f t="shared" si="27"/>
        <v/>
      </c>
      <c r="AZZ83" s="248" t="str">
        <f t="shared" si="27"/>
        <v/>
      </c>
      <c r="BAA83" s="248" t="str">
        <f t="shared" si="27"/>
        <v/>
      </c>
      <c r="BAB83" s="248" t="str">
        <f t="shared" si="27"/>
        <v/>
      </c>
      <c r="BAC83" s="248" t="str">
        <f t="shared" si="27"/>
        <v/>
      </c>
      <c r="BAD83" s="248" t="str">
        <f t="shared" si="27"/>
        <v/>
      </c>
      <c r="BAE83" s="248" t="str">
        <f t="shared" si="27"/>
        <v/>
      </c>
      <c r="BAF83" s="248" t="str">
        <f t="shared" si="27"/>
        <v/>
      </c>
      <c r="BAG83" s="248" t="str">
        <f t="shared" si="27"/>
        <v/>
      </c>
      <c r="BAH83" s="248" t="str">
        <f t="shared" si="27"/>
        <v/>
      </c>
      <c r="BAI83" s="248" t="str">
        <f t="shared" si="27"/>
        <v/>
      </c>
      <c r="BAJ83" s="248" t="str">
        <f t="shared" si="27"/>
        <v/>
      </c>
      <c r="BAK83" s="248" t="str">
        <f t="shared" si="27"/>
        <v/>
      </c>
      <c r="BAL83" s="248" t="str">
        <f t="shared" si="27"/>
        <v/>
      </c>
      <c r="BAM83" s="248" t="str">
        <f t="shared" si="27"/>
        <v/>
      </c>
      <c r="BAN83" s="248" t="str">
        <f t="shared" si="27"/>
        <v/>
      </c>
      <c r="BAO83" s="248" t="str">
        <f t="shared" si="27"/>
        <v/>
      </c>
      <c r="BAP83" s="248" t="str">
        <f t="shared" si="27"/>
        <v/>
      </c>
      <c r="BAQ83" s="248" t="str">
        <f t="shared" si="27"/>
        <v/>
      </c>
      <c r="BAR83" s="248" t="str">
        <f t="shared" si="27"/>
        <v/>
      </c>
      <c r="BAS83" s="248" t="str">
        <f t="shared" si="27"/>
        <v/>
      </c>
      <c r="BAT83" s="248" t="str">
        <f t="shared" si="27"/>
        <v/>
      </c>
      <c r="BAU83" s="248" t="str">
        <f t="shared" si="27"/>
        <v/>
      </c>
      <c r="BAV83" s="248" t="str">
        <f t="shared" si="27"/>
        <v/>
      </c>
      <c r="BAW83" s="248" t="str">
        <f t="shared" si="27"/>
        <v/>
      </c>
      <c r="BAX83" s="248" t="str">
        <f t="shared" si="27"/>
        <v/>
      </c>
      <c r="BAY83" s="248" t="str">
        <f t="shared" si="27"/>
        <v/>
      </c>
      <c r="BAZ83" s="248" t="str">
        <f t="shared" si="27"/>
        <v/>
      </c>
      <c r="BBA83" s="248" t="str">
        <f t="shared" si="27"/>
        <v/>
      </c>
      <c r="BBB83" s="248" t="str">
        <f t="shared" si="27"/>
        <v/>
      </c>
      <c r="BBC83" s="248" t="str">
        <f t="shared" si="27"/>
        <v/>
      </c>
      <c r="BBD83" s="248" t="str">
        <f t="shared" si="27"/>
        <v/>
      </c>
      <c r="BBE83" s="248" t="str">
        <f t="shared" si="27"/>
        <v/>
      </c>
      <c r="BBF83" s="248" t="str">
        <f t="shared" si="27"/>
        <v/>
      </c>
      <c r="BBG83" s="248" t="str">
        <f t="shared" si="27"/>
        <v/>
      </c>
      <c r="BBH83" s="248" t="str">
        <f t="shared" si="27"/>
        <v/>
      </c>
      <c r="BBI83" s="248" t="str">
        <f t="shared" si="27"/>
        <v/>
      </c>
      <c r="BBJ83" s="248" t="str">
        <f t="shared" si="27"/>
        <v/>
      </c>
      <c r="BBK83" s="248" t="str">
        <f t="shared" si="27"/>
        <v/>
      </c>
      <c r="BBL83" s="248" t="str">
        <f t="shared" si="27"/>
        <v/>
      </c>
      <c r="BBM83" s="248" t="str">
        <f t="shared" si="27"/>
        <v/>
      </c>
      <c r="BBN83" s="248" t="str">
        <f t="shared" si="27"/>
        <v/>
      </c>
      <c r="BBO83" s="248" t="str">
        <f t="shared" si="27"/>
        <v/>
      </c>
      <c r="BBP83" s="248" t="str">
        <f t="shared" si="27"/>
        <v/>
      </c>
      <c r="BBQ83" s="248" t="str">
        <f t="shared" si="27"/>
        <v/>
      </c>
      <c r="BBR83" s="248" t="str">
        <f t="shared" si="27"/>
        <v/>
      </c>
      <c r="BBS83" s="248" t="str">
        <f t="shared" si="27"/>
        <v/>
      </c>
      <c r="BBT83" s="248" t="str">
        <f t="shared" si="27"/>
        <v/>
      </c>
      <c r="BBU83" s="248" t="str">
        <f t="shared" si="27"/>
        <v/>
      </c>
      <c r="BBV83" s="248" t="str">
        <f t="shared" si="27"/>
        <v/>
      </c>
      <c r="BBW83" s="248" t="str">
        <f t="shared" si="27"/>
        <v/>
      </c>
      <c r="BBX83" s="248" t="str">
        <f t="shared" si="27"/>
        <v/>
      </c>
      <c r="BBY83" s="248" t="str">
        <f t="shared" si="27"/>
        <v/>
      </c>
      <c r="BBZ83" s="248" t="str">
        <f t="shared" si="27"/>
        <v/>
      </c>
      <c r="BCA83" s="248" t="str">
        <f t="shared" si="27"/>
        <v/>
      </c>
      <c r="BCB83" s="248" t="str">
        <f t="shared" si="27"/>
        <v/>
      </c>
      <c r="BCC83" s="248" t="str">
        <f t="shared" si="27"/>
        <v/>
      </c>
      <c r="BCD83" s="248" t="str">
        <f t="shared" si="27"/>
        <v/>
      </c>
      <c r="BCE83" s="248" t="str">
        <f t="shared" si="27"/>
        <v/>
      </c>
      <c r="BCF83" s="248" t="str">
        <f t="shared" si="27"/>
        <v/>
      </c>
      <c r="BCG83" s="248" t="str">
        <f t="shared" si="27"/>
        <v/>
      </c>
      <c r="BCH83" s="248" t="str">
        <f t="shared" si="27"/>
        <v/>
      </c>
      <c r="BCI83" s="248" t="str">
        <f t="shared" ref="BCI83:BET83" si="28">UPPER(BCG83)</f>
        <v/>
      </c>
      <c r="BCJ83" s="248" t="str">
        <f t="shared" si="28"/>
        <v/>
      </c>
      <c r="BCK83" s="248" t="str">
        <f t="shared" si="28"/>
        <v/>
      </c>
      <c r="BCL83" s="248" t="str">
        <f t="shared" si="28"/>
        <v/>
      </c>
      <c r="BCM83" s="248" t="str">
        <f t="shared" si="28"/>
        <v/>
      </c>
      <c r="BCN83" s="248" t="str">
        <f t="shared" si="28"/>
        <v/>
      </c>
      <c r="BCO83" s="248" t="str">
        <f t="shared" si="28"/>
        <v/>
      </c>
      <c r="BCP83" s="248" t="str">
        <f t="shared" si="28"/>
        <v/>
      </c>
      <c r="BCQ83" s="248" t="str">
        <f t="shared" si="28"/>
        <v/>
      </c>
      <c r="BCR83" s="248" t="str">
        <f t="shared" si="28"/>
        <v/>
      </c>
      <c r="BCS83" s="248" t="str">
        <f t="shared" si="28"/>
        <v/>
      </c>
      <c r="BCT83" s="248" t="str">
        <f t="shared" si="28"/>
        <v/>
      </c>
      <c r="BCU83" s="248" t="str">
        <f t="shared" si="28"/>
        <v/>
      </c>
      <c r="BCV83" s="248" t="str">
        <f t="shared" si="28"/>
        <v/>
      </c>
      <c r="BCW83" s="248" t="str">
        <f t="shared" si="28"/>
        <v/>
      </c>
      <c r="BCX83" s="248" t="str">
        <f t="shared" si="28"/>
        <v/>
      </c>
      <c r="BCY83" s="248" t="str">
        <f t="shared" si="28"/>
        <v/>
      </c>
      <c r="BCZ83" s="248" t="str">
        <f t="shared" si="28"/>
        <v/>
      </c>
      <c r="BDA83" s="248" t="str">
        <f t="shared" si="28"/>
        <v/>
      </c>
      <c r="BDB83" s="248" t="str">
        <f t="shared" si="28"/>
        <v/>
      </c>
      <c r="BDC83" s="248" t="str">
        <f t="shared" si="28"/>
        <v/>
      </c>
      <c r="BDD83" s="248" t="str">
        <f t="shared" si="28"/>
        <v/>
      </c>
      <c r="BDE83" s="248" t="str">
        <f t="shared" si="28"/>
        <v/>
      </c>
      <c r="BDF83" s="248" t="str">
        <f t="shared" si="28"/>
        <v/>
      </c>
      <c r="BDG83" s="248" t="str">
        <f t="shared" si="28"/>
        <v/>
      </c>
      <c r="BDH83" s="248" t="str">
        <f t="shared" si="28"/>
        <v/>
      </c>
      <c r="BDI83" s="248" t="str">
        <f t="shared" si="28"/>
        <v/>
      </c>
      <c r="BDJ83" s="248" t="str">
        <f t="shared" si="28"/>
        <v/>
      </c>
      <c r="BDK83" s="248" t="str">
        <f t="shared" si="28"/>
        <v/>
      </c>
      <c r="BDL83" s="248" t="str">
        <f t="shared" si="28"/>
        <v/>
      </c>
      <c r="BDM83" s="248" t="str">
        <f t="shared" si="28"/>
        <v/>
      </c>
      <c r="BDN83" s="248" t="str">
        <f t="shared" si="28"/>
        <v/>
      </c>
      <c r="BDO83" s="248" t="str">
        <f t="shared" si="28"/>
        <v/>
      </c>
      <c r="BDP83" s="248" t="str">
        <f t="shared" si="28"/>
        <v/>
      </c>
      <c r="BDQ83" s="248" t="str">
        <f t="shared" si="28"/>
        <v/>
      </c>
      <c r="BDR83" s="248" t="str">
        <f t="shared" si="28"/>
        <v/>
      </c>
      <c r="BDS83" s="248" t="str">
        <f t="shared" si="28"/>
        <v/>
      </c>
      <c r="BDT83" s="248" t="str">
        <f t="shared" si="28"/>
        <v/>
      </c>
      <c r="BDU83" s="248" t="str">
        <f t="shared" si="28"/>
        <v/>
      </c>
      <c r="BDV83" s="248" t="str">
        <f t="shared" si="28"/>
        <v/>
      </c>
      <c r="BDW83" s="248" t="str">
        <f t="shared" si="28"/>
        <v/>
      </c>
      <c r="BDX83" s="248" t="str">
        <f t="shared" si="28"/>
        <v/>
      </c>
      <c r="BDY83" s="248" t="str">
        <f t="shared" si="28"/>
        <v/>
      </c>
      <c r="BDZ83" s="248" t="str">
        <f t="shared" si="28"/>
        <v/>
      </c>
      <c r="BEA83" s="248" t="str">
        <f t="shared" si="28"/>
        <v/>
      </c>
      <c r="BEB83" s="248" t="str">
        <f t="shared" si="28"/>
        <v/>
      </c>
      <c r="BEC83" s="248" t="str">
        <f t="shared" si="28"/>
        <v/>
      </c>
      <c r="BED83" s="248" t="str">
        <f t="shared" si="28"/>
        <v/>
      </c>
      <c r="BEE83" s="248" t="str">
        <f t="shared" si="28"/>
        <v/>
      </c>
      <c r="BEF83" s="248" t="str">
        <f t="shared" si="28"/>
        <v/>
      </c>
      <c r="BEG83" s="248" t="str">
        <f t="shared" si="28"/>
        <v/>
      </c>
      <c r="BEH83" s="248" t="str">
        <f t="shared" si="28"/>
        <v/>
      </c>
      <c r="BEI83" s="248" t="str">
        <f t="shared" si="28"/>
        <v/>
      </c>
      <c r="BEJ83" s="248" t="str">
        <f t="shared" si="28"/>
        <v/>
      </c>
      <c r="BEK83" s="248" t="str">
        <f t="shared" si="28"/>
        <v/>
      </c>
      <c r="BEL83" s="248" t="str">
        <f t="shared" si="28"/>
        <v/>
      </c>
      <c r="BEM83" s="248" t="str">
        <f t="shared" si="28"/>
        <v/>
      </c>
      <c r="BEN83" s="248" t="str">
        <f t="shared" si="28"/>
        <v/>
      </c>
      <c r="BEO83" s="248" t="str">
        <f t="shared" si="28"/>
        <v/>
      </c>
      <c r="BEP83" s="248" t="str">
        <f t="shared" si="28"/>
        <v/>
      </c>
      <c r="BEQ83" s="248" t="str">
        <f t="shared" si="28"/>
        <v/>
      </c>
      <c r="BER83" s="248" t="str">
        <f t="shared" si="28"/>
        <v/>
      </c>
      <c r="BES83" s="248" t="str">
        <f t="shared" si="28"/>
        <v/>
      </c>
      <c r="BET83" s="248" t="str">
        <f t="shared" si="28"/>
        <v/>
      </c>
      <c r="BEU83" s="248" t="str">
        <f t="shared" ref="BEU83:BHF83" si="29">UPPER(BES83)</f>
        <v/>
      </c>
      <c r="BEV83" s="248" t="str">
        <f t="shared" si="29"/>
        <v/>
      </c>
      <c r="BEW83" s="248" t="str">
        <f t="shared" si="29"/>
        <v/>
      </c>
      <c r="BEX83" s="248" t="str">
        <f t="shared" si="29"/>
        <v/>
      </c>
      <c r="BEY83" s="248" t="str">
        <f t="shared" si="29"/>
        <v/>
      </c>
      <c r="BEZ83" s="248" t="str">
        <f t="shared" si="29"/>
        <v/>
      </c>
      <c r="BFA83" s="248" t="str">
        <f t="shared" si="29"/>
        <v/>
      </c>
      <c r="BFB83" s="248" t="str">
        <f t="shared" si="29"/>
        <v/>
      </c>
      <c r="BFC83" s="248" t="str">
        <f t="shared" si="29"/>
        <v/>
      </c>
      <c r="BFD83" s="248" t="str">
        <f t="shared" si="29"/>
        <v/>
      </c>
      <c r="BFE83" s="248" t="str">
        <f t="shared" si="29"/>
        <v/>
      </c>
      <c r="BFF83" s="248" t="str">
        <f t="shared" si="29"/>
        <v/>
      </c>
      <c r="BFG83" s="248" t="str">
        <f t="shared" si="29"/>
        <v/>
      </c>
      <c r="BFH83" s="248" t="str">
        <f t="shared" si="29"/>
        <v/>
      </c>
      <c r="BFI83" s="248" t="str">
        <f t="shared" si="29"/>
        <v/>
      </c>
      <c r="BFJ83" s="248" t="str">
        <f t="shared" si="29"/>
        <v/>
      </c>
      <c r="BFK83" s="248" t="str">
        <f t="shared" si="29"/>
        <v/>
      </c>
      <c r="BFL83" s="248" t="str">
        <f t="shared" si="29"/>
        <v/>
      </c>
      <c r="BFM83" s="248" t="str">
        <f t="shared" si="29"/>
        <v/>
      </c>
      <c r="BFN83" s="248" t="str">
        <f t="shared" si="29"/>
        <v/>
      </c>
      <c r="BFO83" s="248" t="str">
        <f t="shared" si="29"/>
        <v/>
      </c>
      <c r="BFP83" s="248" t="str">
        <f t="shared" si="29"/>
        <v/>
      </c>
      <c r="BFQ83" s="248" t="str">
        <f t="shared" si="29"/>
        <v/>
      </c>
      <c r="BFR83" s="248" t="str">
        <f t="shared" si="29"/>
        <v/>
      </c>
      <c r="BFS83" s="248" t="str">
        <f t="shared" si="29"/>
        <v/>
      </c>
      <c r="BFT83" s="248" t="str">
        <f t="shared" si="29"/>
        <v/>
      </c>
      <c r="BFU83" s="248" t="str">
        <f t="shared" si="29"/>
        <v/>
      </c>
      <c r="BFV83" s="248" t="str">
        <f t="shared" si="29"/>
        <v/>
      </c>
      <c r="BFW83" s="248" t="str">
        <f t="shared" si="29"/>
        <v/>
      </c>
      <c r="BFX83" s="248" t="str">
        <f t="shared" si="29"/>
        <v/>
      </c>
      <c r="BFY83" s="248" t="str">
        <f t="shared" si="29"/>
        <v/>
      </c>
      <c r="BFZ83" s="248" t="str">
        <f t="shared" si="29"/>
        <v/>
      </c>
      <c r="BGA83" s="248" t="str">
        <f t="shared" si="29"/>
        <v/>
      </c>
      <c r="BGB83" s="248" t="str">
        <f t="shared" si="29"/>
        <v/>
      </c>
      <c r="BGC83" s="248" t="str">
        <f t="shared" si="29"/>
        <v/>
      </c>
      <c r="BGD83" s="248" t="str">
        <f t="shared" si="29"/>
        <v/>
      </c>
      <c r="BGE83" s="248" t="str">
        <f t="shared" si="29"/>
        <v/>
      </c>
      <c r="BGF83" s="248" t="str">
        <f t="shared" si="29"/>
        <v/>
      </c>
      <c r="BGG83" s="248" t="str">
        <f t="shared" si="29"/>
        <v/>
      </c>
      <c r="BGH83" s="248" t="str">
        <f t="shared" si="29"/>
        <v/>
      </c>
      <c r="BGI83" s="248" t="str">
        <f t="shared" si="29"/>
        <v/>
      </c>
      <c r="BGJ83" s="248" t="str">
        <f t="shared" si="29"/>
        <v/>
      </c>
      <c r="BGK83" s="248" t="str">
        <f t="shared" si="29"/>
        <v/>
      </c>
      <c r="BGL83" s="248" t="str">
        <f t="shared" si="29"/>
        <v/>
      </c>
      <c r="BGM83" s="248" t="str">
        <f t="shared" si="29"/>
        <v/>
      </c>
      <c r="BGN83" s="248" t="str">
        <f t="shared" si="29"/>
        <v/>
      </c>
      <c r="BGO83" s="248" t="str">
        <f t="shared" si="29"/>
        <v/>
      </c>
      <c r="BGP83" s="248" t="str">
        <f t="shared" si="29"/>
        <v/>
      </c>
      <c r="BGQ83" s="248" t="str">
        <f t="shared" si="29"/>
        <v/>
      </c>
      <c r="BGR83" s="248" t="str">
        <f t="shared" si="29"/>
        <v/>
      </c>
      <c r="BGS83" s="248" t="str">
        <f t="shared" si="29"/>
        <v/>
      </c>
      <c r="BGT83" s="248" t="str">
        <f t="shared" si="29"/>
        <v/>
      </c>
      <c r="BGU83" s="248" t="str">
        <f t="shared" si="29"/>
        <v/>
      </c>
      <c r="BGV83" s="248" t="str">
        <f t="shared" si="29"/>
        <v/>
      </c>
      <c r="BGW83" s="248" t="str">
        <f t="shared" si="29"/>
        <v/>
      </c>
      <c r="BGX83" s="248" t="str">
        <f t="shared" si="29"/>
        <v/>
      </c>
      <c r="BGY83" s="248" t="str">
        <f t="shared" si="29"/>
        <v/>
      </c>
      <c r="BGZ83" s="248" t="str">
        <f t="shared" si="29"/>
        <v/>
      </c>
      <c r="BHA83" s="248" t="str">
        <f t="shared" si="29"/>
        <v/>
      </c>
      <c r="BHB83" s="248" t="str">
        <f t="shared" si="29"/>
        <v/>
      </c>
      <c r="BHC83" s="248" t="str">
        <f t="shared" si="29"/>
        <v/>
      </c>
      <c r="BHD83" s="248" t="str">
        <f t="shared" si="29"/>
        <v/>
      </c>
      <c r="BHE83" s="248" t="str">
        <f t="shared" si="29"/>
        <v/>
      </c>
      <c r="BHF83" s="248" t="str">
        <f t="shared" si="29"/>
        <v/>
      </c>
      <c r="BHG83" s="248" t="str">
        <f t="shared" ref="BHG83:BJR83" si="30">UPPER(BHE83)</f>
        <v/>
      </c>
      <c r="BHH83" s="248" t="str">
        <f t="shared" si="30"/>
        <v/>
      </c>
      <c r="BHI83" s="248" t="str">
        <f t="shared" si="30"/>
        <v/>
      </c>
      <c r="BHJ83" s="248" t="str">
        <f t="shared" si="30"/>
        <v/>
      </c>
      <c r="BHK83" s="248" t="str">
        <f t="shared" si="30"/>
        <v/>
      </c>
      <c r="BHL83" s="248" t="str">
        <f t="shared" si="30"/>
        <v/>
      </c>
      <c r="BHM83" s="248" t="str">
        <f t="shared" si="30"/>
        <v/>
      </c>
      <c r="BHN83" s="248" t="str">
        <f t="shared" si="30"/>
        <v/>
      </c>
      <c r="BHO83" s="248" t="str">
        <f t="shared" si="30"/>
        <v/>
      </c>
      <c r="BHP83" s="248" t="str">
        <f t="shared" si="30"/>
        <v/>
      </c>
      <c r="BHQ83" s="248" t="str">
        <f t="shared" si="30"/>
        <v/>
      </c>
      <c r="BHR83" s="248" t="str">
        <f t="shared" si="30"/>
        <v/>
      </c>
      <c r="BHS83" s="248" t="str">
        <f t="shared" si="30"/>
        <v/>
      </c>
      <c r="BHT83" s="248" t="str">
        <f t="shared" si="30"/>
        <v/>
      </c>
      <c r="BHU83" s="248" t="str">
        <f t="shared" si="30"/>
        <v/>
      </c>
      <c r="BHV83" s="248" t="str">
        <f t="shared" si="30"/>
        <v/>
      </c>
      <c r="BHW83" s="248" t="str">
        <f t="shared" si="30"/>
        <v/>
      </c>
      <c r="BHX83" s="248" t="str">
        <f t="shared" si="30"/>
        <v/>
      </c>
      <c r="BHY83" s="248" t="str">
        <f t="shared" si="30"/>
        <v/>
      </c>
      <c r="BHZ83" s="248" t="str">
        <f t="shared" si="30"/>
        <v/>
      </c>
      <c r="BIA83" s="248" t="str">
        <f t="shared" si="30"/>
        <v/>
      </c>
      <c r="BIB83" s="248" t="str">
        <f t="shared" si="30"/>
        <v/>
      </c>
      <c r="BIC83" s="248" t="str">
        <f t="shared" si="30"/>
        <v/>
      </c>
      <c r="BID83" s="248" t="str">
        <f t="shared" si="30"/>
        <v/>
      </c>
      <c r="BIE83" s="248" t="str">
        <f t="shared" si="30"/>
        <v/>
      </c>
      <c r="BIF83" s="248" t="str">
        <f t="shared" si="30"/>
        <v/>
      </c>
      <c r="BIG83" s="248" t="str">
        <f t="shared" si="30"/>
        <v/>
      </c>
      <c r="BIH83" s="248" t="str">
        <f t="shared" si="30"/>
        <v/>
      </c>
      <c r="BII83" s="248" t="str">
        <f t="shared" si="30"/>
        <v/>
      </c>
      <c r="BIJ83" s="248" t="str">
        <f t="shared" si="30"/>
        <v/>
      </c>
      <c r="BIK83" s="248" t="str">
        <f t="shared" si="30"/>
        <v/>
      </c>
      <c r="BIL83" s="248" t="str">
        <f t="shared" si="30"/>
        <v/>
      </c>
      <c r="BIM83" s="248" t="str">
        <f t="shared" si="30"/>
        <v/>
      </c>
      <c r="BIN83" s="248" t="str">
        <f t="shared" si="30"/>
        <v/>
      </c>
      <c r="BIO83" s="248" t="str">
        <f t="shared" si="30"/>
        <v/>
      </c>
      <c r="BIP83" s="248" t="str">
        <f t="shared" si="30"/>
        <v/>
      </c>
      <c r="BIQ83" s="248" t="str">
        <f t="shared" si="30"/>
        <v/>
      </c>
      <c r="BIR83" s="248" t="str">
        <f t="shared" si="30"/>
        <v/>
      </c>
      <c r="BIS83" s="248" t="str">
        <f t="shared" si="30"/>
        <v/>
      </c>
      <c r="BIT83" s="248" t="str">
        <f t="shared" si="30"/>
        <v/>
      </c>
      <c r="BIU83" s="248" t="str">
        <f t="shared" si="30"/>
        <v/>
      </c>
      <c r="BIV83" s="248" t="str">
        <f t="shared" si="30"/>
        <v/>
      </c>
      <c r="BIW83" s="248" t="str">
        <f t="shared" si="30"/>
        <v/>
      </c>
      <c r="BIX83" s="248" t="str">
        <f t="shared" si="30"/>
        <v/>
      </c>
      <c r="BIY83" s="248" t="str">
        <f t="shared" si="30"/>
        <v/>
      </c>
      <c r="BIZ83" s="248" t="str">
        <f t="shared" si="30"/>
        <v/>
      </c>
      <c r="BJA83" s="248" t="str">
        <f t="shared" si="30"/>
        <v/>
      </c>
      <c r="BJB83" s="248" t="str">
        <f t="shared" si="30"/>
        <v/>
      </c>
      <c r="BJC83" s="248" t="str">
        <f t="shared" si="30"/>
        <v/>
      </c>
      <c r="BJD83" s="248" t="str">
        <f t="shared" si="30"/>
        <v/>
      </c>
      <c r="BJE83" s="248" t="str">
        <f t="shared" si="30"/>
        <v/>
      </c>
      <c r="BJF83" s="248" t="str">
        <f t="shared" si="30"/>
        <v/>
      </c>
      <c r="BJG83" s="248" t="str">
        <f t="shared" si="30"/>
        <v/>
      </c>
      <c r="BJH83" s="248" t="str">
        <f t="shared" si="30"/>
        <v/>
      </c>
      <c r="BJI83" s="248" t="str">
        <f t="shared" si="30"/>
        <v/>
      </c>
      <c r="BJJ83" s="248" t="str">
        <f t="shared" si="30"/>
        <v/>
      </c>
      <c r="BJK83" s="248" t="str">
        <f t="shared" si="30"/>
        <v/>
      </c>
      <c r="BJL83" s="248" t="str">
        <f t="shared" si="30"/>
        <v/>
      </c>
      <c r="BJM83" s="248" t="str">
        <f t="shared" si="30"/>
        <v/>
      </c>
      <c r="BJN83" s="248" t="str">
        <f t="shared" si="30"/>
        <v/>
      </c>
      <c r="BJO83" s="248" t="str">
        <f t="shared" si="30"/>
        <v/>
      </c>
      <c r="BJP83" s="248" t="str">
        <f t="shared" si="30"/>
        <v/>
      </c>
      <c r="BJQ83" s="248" t="str">
        <f t="shared" si="30"/>
        <v/>
      </c>
      <c r="BJR83" s="248" t="str">
        <f t="shared" si="30"/>
        <v/>
      </c>
      <c r="BJS83" s="248" t="str">
        <f t="shared" ref="BJS83:BMD83" si="31">UPPER(BJQ83)</f>
        <v/>
      </c>
      <c r="BJT83" s="248" t="str">
        <f t="shared" si="31"/>
        <v/>
      </c>
      <c r="BJU83" s="248" t="str">
        <f t="shared" si="31"/>
        <v/>
      </c>
      <c r="BJV83" s="248" t="str">
        <f t="shared" si="31"/>
        <v/>
      </c>
      <c r="BJW83" s="248" t="str">
        <f t="shared" si="31"/>
        <v/>
      </c>
      <c r="BJX83" s="248" t="str">
        <f t="shared" si="31"/>
        <v/>
      </c>
      <c r="BJY83" s="248" t="str">
        <f t="shared" si="31"/>
        <v/>
      </c>
      <c r="BJZ83" s="248" t="str">
        <f t="shared" si="31"/>
        <v/>
      </c>
      <c r="BKA83" s="248" t="str">
        <f t="shared" si="31"/>
        <v/>
      </c>
      <c r="BKB83" s="248" t="str">
        <f t="shared" si="31"/>
        <v/>
      </c>
      <c r="BKC83" s="248" t="str">
        <f t="shared" si="31"/>
        <v/>
      </c>
      <c r="BKD83" s="248" t="str">
        <f t="shared" si="31"/>
        <v/>
      </c>
      <c r="BKE83" s="248" t="str">
        <f t="shared" si="31"/>
        <v/>
      </c>
      <c r="BKF83" s="248" t="str">
        <f t="shared" si="31"/>
        <v/>
      </c>
      <c r="BKG83" s="248" t="str">
        <f t="shared" si="31"/>
        <v/>
      </c>
      <c r="BKH83" s="248" t="str">
        <f t="shared" si="31"/>
        <v/>
      </c>
      <c r="BKI83" s="248" t="str">
        <f t="shared" si="31"/>
        <v/>
      </c>
      <c r="BKJ83" s="248" t="str">
        <f t="shared" si="31"/>
        <v/>
      </c>
      <c r="BKK83" s="248" t="str">
        <f t="shared" si="31"/>
        <v/>
      </c>
      <c r="BKL83" s="248" t="str">
        <f t="shared" si="31"/>
        <v/>
      </c>
      <c r="BKM83" s="248" t="str">
        <f t="shared" si="31"/>
        <v/>
      </c>
      <c r="BKN83" s="248" t="str">
        <f t="shared" si="31"/>
        <v/>
      </c>
      <c r="BKO83" s="248" t="str">
        <f t="shared" si="31"/>
        <v/>
      </c>
      <c r="BKP83" s="248" t="str">
        <f t="shared" si="31"/>
        <v/>
      </c>
      <c r="BKQ83" s="248" t="str">
        <f t="shared" si="31"/>
        <v/>
      </c>
      <c r="BKR83" s="248" t="str">
        <f t="shared" si="31"/>
        <v/>
      </c>
      <c r="BKS83" s="248" t="str">
        <f t="shared" si="31"/>
        <v/>
      </c>
      <c r="BKT83" s="248" t="str">
        <f t="shared" si="31"/>
        <v/>
      </c>
      <c r="BKU83" s="248" t="str">
        <f t="shared" si="31"/>
        <v/>
      </c>
      <c r="BKV83" s="248" t="str">
        <f t="shared" si="31"/>
        <v/>
      </c>
      <c r="BKW83" s="248" t="str">
        <f t="shared" si="31"/>
        <v/>
      </c>
      <c r="BKX83" s="248" t="str">
        <f t="shared" si="31"/>
        <v/>
      </c>
      <c r="BKY83" s="248" t="str">
        <f t="shared" si="31"/>
        <v/>
      </c>
      <c r="BKZ83" s="248" t="str">
        <f t="shared" si="31"/>
        <v/>
      </c>
      <c r="BLA83" s="248" t="str">
        <f t="shared" si="31"/>
        <v/>
      </c>
      <c r="BLB83" s="248" t="str">
        <f t="shared" si="31"/>
        <v/>
      </c>
      <c r="BLC83" s="248" t="str">
        <f t="shared" si="31"/>
        <v/>
      </c>
      <c r="BLD83" s="248" t="str">
        <f t="shared" si="31"/>
        <v/>
      </c>
      <c r="BLE83" s="248" t="str">
        <f t="shared" si="31"/>
        <v/>
      </c>
      <c r="BLF83" s="248" t="str">
        <f t="shared" si="31"/>
        <v/>
      </c>
      <c r="BLG83" s="248" t="str">
        <f t="shared" si="31"/>
        <v/>
      </c>
      <c r="BLH83" s="248" t="str">
        <f t="shared" si="31"/>
        <v/>
      </c>
      <c r="BLI83" s="248" t="str">
        <f t="shared" si="31"/>
        <v/>
      </c>
      <c r="BLJ83" s="248" t="str">
        <f t="shared" si="31"/>
        <v/>
      </c>
      <c r="BLK83" s="248" t="str">
        <f t="shared" si="31"/>
        <v/>
      </c>
      <c r="BLL83" s="248" t="str">
        <f t="shared" si="31"/>
        <v/>
      </c>
      <c r="BLM83" s="248" t="str">
        <f t="shared" si="31"/>
        <v/>
      </c>
      <c r="BLN83" s="248" t="str">
        <f t="shared" si="31"/>
        <v/>
      </c>
      <c r="BLO83" s="248" t="str">
        <f t="shared" si="31"/>
        <v/>
      </c>
      <c r="BLP83" s="248" t="str">
        <f t="shared" si="31"/>
        <v/>
      </c>
      <c r="BLQ83" s="248" t="str">
        <f t="shared" si="31"/>
        <v/>
      </c>
      <c r="BLR83" s="248" t="str">
        <f t="shared" si="31"/>
        <v/>
      </c>
      <c r="BLS83" s="248" t="str">
        <f t="shared" si="31"/>
        <v/>
      </c>
      <c r="BLT83" s="248" t="str">
        <f t="shared" si="31"/>
        <v/>
      </c>
      <c r="BLU83" s="248" t="str">
        <f t="shared" si="31"/>
        <v/>
      </c>
      <c r="BLV83" s="248" t="str">
        <f t="shared" si="31"/>
        <v/>
      </c>
      <c r="BLW83" s="248" t="str">
        <f t="shared" si="31"/>
        <v/>
      </c>
      <c r="BLX83" s="248" t="str">
        <f t="shared" si="31"/>
        <v/>
      </c>
      <c r="BLY83" s="248" t="str">
        <f t="shared" si="31"/>
        <v/>
      </c>
      <c r="BLZ83" s="248" t="str">
        <f t="shared" si="31"/>
        <v/>
      </c>
      <c r="BMA83" s="248" t="str">
        <f t="shared" si="31"/>
        <v/>
      </c>
      <c r="BMB83" s="248" t="str">
        <f t="shared" si="31"/>
        <v/>
      </c>
      <c r="BMC83" s="248" t="str">
        <f t="shared" si="31"/>
        <v/>
      </c>
      <c r="BMD83" s="248" t="str">
        <f t="shared" si="31"/>
        <v/>
      </c>
      <c r="BME83" s="248" t="str">
        <f t="shared" ref="BME83:BOP83" si="32">UPPER(BMC83)</f>
        <v/>
      </c>
      <c r="BMF83" s="248" t="str">
        <f t="shared" si="32"/>
        <v/>
      </c>
      <c r="BMG83" s="248" t="str">
        <f t="shared" si="32"/>
        <v/>
      </c>
      <c r="BMH83" s="248" t="str">
        <f t="shared" si="32"/>
        <v/>
      </c>
      <c r="BMI83" s="248" t="str">
        <f t="shared" si="32"/>
        <v/>
      </c>
      <c r="BMJ83" s="248" t="str">
        <f t="shared" si="32"/>
        <v/>
      </c>
      <c r="BMK83" s="248" t="str">
        <f t="shared" si="32"/>
        <v/>
      </c>
      <c r="BML83" s="248" t="str">
        <f t="shared" si="32"/>
        <v/>
      </c>
      <c r="BMM83" s="248" t="str">
        <f t="shared" si="32"/>
        <v/>
      </c>
      <c r="BMN83" s="248" t="str">
        <f t="shared" si="32"/>
        <v/>
      </c>
      <c r="BMO83" s="248" t="str">
        <f t="shared" si="32"/>
        <v/>
      </c>
      <c r="BMP83" s="248" t="str">
        <f t="shared" si="32"/>
        <v/>
      </c>
      <c r="BMQ83" s="248" t="str">
        <f t="shared" si="32"/>
        <v/>
      </c>
      <c r="BMR83" s="248" t="str">
        <f t="shared" si="32"/>
        <v/>
      </c>
      <c r="BMS83" s="248" t="str">
        <f t="shared" si="32"/>
        <v/>
      </c>
      <c r="BMT83" s="248" t="str">
        <f t="shared" si="32"/>
        <v/>
      </c>
      <c r="BMU83" s="248" t="str">
        <f t="shared" si="32"/>
        <v/>
      </c>
      <c r="BMV83" s="248" t="str">
        <f t="shared" si="32"/>
        <v/>
      </c>
      <c r="BMW83" s="248" t="str">
        <f t="shared" si="32"/>
        <v/>
      </c>
      <c r="BMX83" s="248" t="str">
        <f t="shared" si="32"/>
        <v/>
      </c>
      <c r="BMY83" s="248" t="str">
        <f t="shared" si="32"/>
        <v/>
      </c>
      <c r="BMZ83" s="248" t="str">
        <f t="shared" si="32"/>
        <v/>
      </c>
      <c r="BNA83" s="248" t="str">
        <f t="shared" si="32"/>
        <v/>
      </c>
      <c r="BNB83" s="248" t="str">
        <f t="shared" si="32"/>
        <v/>
      </c>
      <c r="BNC83" s="248" t="str">
        <f t="shared" si="32"/>
        <v/>
      </c>
      <c r="BND83" s="248" t="str">
        <f t="shared" si="32"/>
        <v/>
      </c>
      <c r="BNE83" s="248" t="str">
        <f t="shared" si="32"/>
        <v/>
      </c>
      <c r="BNF83" s="248" t="str">
        <f t="shared" si="32"/>
        <v/>
      </c>
      <c r="BNG83" s="248" t="str">
        <f t="shared" si="32"/>
        <v/>
      </c>
      <c r="BNH83" s="248" t="str">
        <f t="shared" si="32"/>
        <v/>
      </c>
      <c r="BNI83" s="248" t="str">
        <f t="shared" si="32"/>
        <v/>
      </c>
      <c r="BNJ83" s="248" t="str">
        <f t="shared" si="32"/>
        <v/>
      </c>
      <c r="BNK83" s="248" t="str">
        <f t="shared" si="32"/>
        <v/>
      </c>
      <c r="BNL83" s="248" t="str">
        <f t="shared" si="32"/>
        <v/>
      </c>
      <c r="BNM83" s="248" t="str">
        <f t="shared" si="32"/>
        <v/>
      </c>
      <c r="BNN83" s="248" t="str">
        <f t="shared" si="32"/>
        <v/>
      </c>
      <c r="BNO83" s="248" t="str">
        <f t="shared" si="32"/>
        <v/>
      </c>
      <c r="BNP83" s="248" t="str">
        <f t="shared" si="32"/>
        <v/>
      </c>
      <c r="BNQ83" s="248" t="str">
        <f t="shared" si="32"/>
        <v/>
      </c>
      <c r="BNR83" s="248" t="str">
        <f t="shared" si="32"/>
        <v/>
      </c>
      <c r="BNS83" s="248" t="str">
        <f t="shared" si="32"/>
        <v/>
      </c>
      <c r="BNT83" s="248" t="str">
        <f t="shared" si="32"/>
        <v/>
      </c>
      <c r="BNU83" s="248" t="str">
        <f t="shared" si="32"/>
        <v/>
      </c>
      <c r="BNV83" s="248" t="str">
        <f t="shared" si="32"/>
        <v/>
      </c>
      <c r="BNW83" s="248" t="str">
        <f t="shared" si="32"/>
        <v/>
      </c>
      <c r="BNX83" s="248" t="str">
        <f t="shared" si="32"/>
        <v/>
      </c>
      <c r="BNY83" s="248" t="str">
        <f t="shared" si="32"/>
        <v/>
      </c>
      <c r="BNZ83" s="248" t="str">
        <f t="shared" si="32"/>
        <v/>
      </c>
      <c r="BOA83" s="248" t="str">
        <f t="shared" si="32"/>
        <v/>
      </c>
      <c r="BOB83" s="248" t="str">
        <f t="shared" si="32"/>
        <v/>
      </c>
      <c r="BOC83" s="248" t="str">
        <f t="shared" si="32"/>
        <v/>
      </c>
      <c r="BOD83" s="248" t="str">
        <f t="shared" si="32"/>
        <v/>
      </c>
      <c r="BOE83" s="248" t="str">
        <f t="shared" si="32"/>
        <v/>
      </c>
      <c r="BOF83" s="248" t="str">
        <f t="shared" si="32"/>
        <v/>
      </c>
      <c r="BOG83" s="248" t="str">
        <f t="shared" si="32"/>
        <v/>
      </c>
      <c r="BOH83" s="248" t="str">
        <f t="shared" si="32"/>
        <v/>
      </c>
      <c r="BOI83" s="248" t="str">
        <f t="shared" si="32"/>
        <v/>
      </c>
      <c r="BOJ83" s="248" t="str">
        <f t="shared" si="32"/>
        <v/>
      </c>
      <c r="BOK83" s="248" t="str">
        <f t="shared" si="32"/>
        <v/>
      </c>
      <c r="BOL83" s="248" t="str">
        <f t="shared" si="32"/>
        <v/>
      </c>
      <c r="BOM83" s="248" t="str">
        <f t="shared" si="32"/>
        <v/>
      </c>
      <c r="BON83" s="248" t="str">
        <f t="shared" si="32"/>
        <v/>
      </c>
      <c r="BOO83" s="248" t="str">
        <f t="shared" si="32"/>
        <v/>
      </c>
      <c r="BOP83" s="248" t="str">
        <f t="shared" si="32"/>
        <v/>
      </c>
      <c r="BOQ83" s="248" t="str">
        <f t="shared" ref="BOQ83:BRB83" si="33">UPPER(BOO83)</f>
        <v/>
      </c>
      <c r="BOR83" s="248" t="str">
        <f t="shared" si="33"/>
        <v/>
      </c>
      <c r="BOS83" s="248" t="str">
        <f t="shared" si="33"/>
        <v/>
      </c>
      <c r="BOT83" s="248" t="str">
        <f t="shared" si="33"/>
        <v/>
      </c>
      <c r="BOU83" s="248" t="str">
        <f t="shared" si="33"/>
        <v/>
      </c>
      <c r="BOV83" s="248" t="str">
        <f t="shared" si="33"/>
        <v/>
      </c>
      <c r="BOW83" s="248" t="str">
        <f t="shared" si="33"/>
        <v/>
      </c>
      <c r="BOX83" s="248" t="str">
        <f t="shared" si="33"/>
        <v/>
      </c>
      <c r="BOY83" s="248" t="str">
        <f t="shared" si="33"/>
        <v/>
      </c>
      <c r="BOZ83" s="248" t="str">
        <f t="shared" si="33"/>
        <v/>
      </c>
      <c r="BPA83" s="248" t="str">
        <f t="shared" si="33"/>
        <v/>
      </c>
      <c r="BPB83" s="248" t="str">
        <f t="shared" si="33"/>
        <v/>
      </c>
      <c r="BPC83" s="248" t="str">
        <f t="shared" si="33"/>
        <v/>
      </c>
      <c r="BPD83" s="248" t="str">
        <f t="shared" si="33"/>
        <v/>
      </c>
      <c r="BPE83" s="248" t="str">
        <f t="shared" si="33"/>
        <v/>
      </c>
      <c r="BPF83" s="248" t="str">
        <f t="shared" si="33"/>
        <v/>
      </c>
      <c r="BPG83" s="248" t="str">
        <f t="shared" si="33"/>
        <v/>
      </c>
      <c r="BPH83" s="248" t="str">
        <f t="shared" si="33"/>
        <v/>
      </c>
      <c r="BPI83" s="248" t="str">
        <f t="shared" si="33"/>
        <v/>
      </c>
      <c r="BPJ83" s="248" t="str">
        <f t="shared" si="33"/>
        <v/>
      </c>
      <c r="BPK83" s="248" t="str">
        <f t="shared" si="33"/>
        <v/>
      </c>
      <c r="BPL83" s="248" t="str">
        <f t="shared" si="33"/>
        <v/>
      </c>
      <c r="BPM83" s="248" t="str">
        <f t="shared" si="33"/>
        <v/>
      </c>
      <c r="BPN83" s="248" t="str">
        <f t="shared" si="33"/>
        <v/>
      </c>
      <c r="BPO83" s="248" t="str">
        <f t="shared" si="33"/>
        <v/>
      </c>
      <c r="BPP83" s="248" t="str">
        <f t="shared" si="33"/>
        <v/>
      </c>
      <c r="BPQ83" s="248" t="str">
        <f t="shared" si="33"/>
        <v/>
      </c>
      <c r="BPR83" s="248" t="str">
        <f t="shared" si="33"/>
        <v/>
      </c>
      <c r="BPS83" s="248" t="str">
        <f t="shared" si="33"/>
        <v/>
      </c>
      <c r="BPT83" s="248" t="str">
        <f t="shared" si="33"/>
        <v/>
      </c>
      <c r="BPU83" s="248" t="str">
        <f t="shared" si="33"/>
        <v/>
      </c>
      <c r="BPV83" s="248" t="str">
        <f t="shared" si="33"/>
        <v/>
      </c>
      <c r="BPW83" s="248" t="str">
        <f t="shared" si="33"/>
        <v/>
      </c>
      <c r="BPX83" s="248" t="str">
        <f t="shared" si="33"/>
        <v/>
      </c>
      <c r="BPY83" s="248" t="str">
        <f t="shared" si="33"/>
        <v/>
      </c>
      <c r="BPZ83" s="248" t="str">
        <f t="shared" si="33"/>
        <v/>
      </c>
      <c r="BQA83" s="248" t="str">
        <f t="shared" si="33"/>
        <v/>
      </c>
      <c r="BQB83" s="248" t="str">
        <f t="shared" si="33"/>
        <v/>
      </c>
      <c r="BQC83" s="248" t="str">
        <f t="shared" si="33"/>
        <v/>
      </c>
      <c r="BQD83" s="248" t="str">
        <f t="shared" si="33"/>
        <v/>
      </c>
      <c r="BQE83" s="248" t="str">
        <f t="shared" si="33"/>
        <v/>
      </c>
      <c r="BQF83" s="248" t="str">
        <f t="shared" si="33"/>
        <v/>
      </c>
      <c r="BQG83" s="248" t="str">
        <f t="shared" si="33"/>
        <v/>
      </c>
      <c r="BQH83" s="248" t="str">
        <f t="shared" si="33"/>
        <v/>
      </c>
      <c r="BQI83" s="248" t="str">
        <f t="shared" si="33"/>
        <v/>
      </c>
      <c r="BQJ83" s="248" t="str">
        <f t="shared" si="33"/>
        <v/>
      </c>
      <c r="BQK83" s="248" t="str">
        <f t="shared" si="33"/>
        <v/>
      </c>
      <c r="BQL83" s="248" t="str">
        <f t="shared" si="33"/>
        <v/>
      </c>
      <c r="BQM83" s="248" t="str">
        <f t="shared" si="33"/>
        <v/>
      </c>
      <c r="BQN83" s="248" t="str">
        <f t="shared" si="33"/>
        <v/>
      </c>
      <c r="BQO83" s="248" t="str">
        <f t="shared" si="33"/>
        <v/>
      </c>
      <c r="BQP83" s="248" t="str">
        <f t="shared" si="33"/>
        <v/>
      </c>
      <c r="BQQ83" s="248" t="str">
        <f t="shared" si="33"/>
        <v/>
      </c>
      <c r="BQR83" s="248" t="str">
        <f t="shared" si="33"/>
        <v/>
      </c>
      <c r="BQS83" s="248" t="str">
        <f t="shared" si="33"/>
        <v/>
      </c>
      <c r="BQT83" s="248" t="str">
        <f t="shared" si="33"/>
        <v/>
      </c>
      <c r="BQU83" s="248" t="str">
        <f t="shared" si="33"/>
        <v/>
      </c>
      <c r="BQV83" s="248" t="str">
        <f t="shared" si="33"/>
        <v/>
      </c>
      <c r="BQW83" s="248" t="str">
        <f t="shared" si="33"/>
        <v/>
      </c>
      <c r="BQX83" s="248" t="str">
        <f t="shared" si="33"/>
        <v/>
      </c>
      <c r="BQY83" s="248" t="str">
        <f t="shared" si="33"/>
        <v/>
      </c>
      <c r="BQZ83" s="248" t="str">
        <f t="shared" si="33"/>
        <v/>
      </c>
      <c r="BRA83" s="248" t="str">
        <f t="shared" si="33"/>
        <v/>
      </c>
      <c r="BRB83" s="248" t="str">
        <f t="shared" si="33"/>
        <v/>
      </c>
      <c r="BRC83" s="248" t="str">
        <f t="shared" ref="BRC83:BTN83" si="34">UPPER(BRA83)</f>
        <v/>
      </c>
      <c r="BRD83" s="248" t="str">
        <f t="shared" si="34"/>
        <v/>
      </c>
      <c r="BRE83" s="248" t="str">
        <f t="shared" si="34"/>
        <v/>
      </c>
      <c r="BRF83" s="248" t="str">
        <f t="shared" si="34"/>
        <v/>
      </c>
      <c r="BRG83" s="248" t="str">
        <f t="shared" si="34"/>
        <v/>
      </c>
      <c r="BRH83" s="248" t="str">
        <f t="shared" si="34"/>
        <v/>
      </c>
      <c r="BRI83" s="248" t="str">
        <f t="shared" si="34"/>
        <v/>
      </c>
      <c r="BRJ83" s="248" t="str">
        <f t="shared" si="34"/>
        <v/>
      </c>
      <c r="BRK83" s="248" t="str">
        <f t="shared" si="34"/>
        <v/>
      </c>
      <c r="BRL83" s="248" t="str">
        <f t="shared" si="34"/>
        <v/>
      </c>
      <c r="BRM83" s="248" t="str">
        <f t="shared" si="34"/>
        <v/>
      </c>
      <c r="BRN83" s="248" t="str">
        <f t="shared" si="34"/>
        <v/>
      </c>
      <c r="BRO83" s="248" t="str">
        <f t="shared" si="34"/>
        <v/>
      </c>
      <c r="BRP83" s="248" t="str">
        <f t="shared" si="34"/>
        <v/>
      </c>
      <c r="BRQ83" s="248" t="str">
        <f t="shared" si="34"/>
        <v/>
      </c>
      <c r="BRR83" s="248" t="str">
        <f t="shared" si="34"/>
        <v/>
      </c>
      <c r="BRS83" s="248" t="str">
        <f t="shared" si="34"/>
        <v/>
      </c>
      <c r="BRT83" s="248" t="str">
        <f t="shared" si="34"/>
        <v/>
      </c>
      <c r="BRU83" s="248" t="str">
        <f t="shared" si="34"/>
        <v/>
      </c>
      <c r="BRV83" s="248" t="str">
        <f t="shared" si="34"/>
        <v/>
      </c>
      <c r="BRW83" s="248" t="str">
        <f t="shared" si="34"/>
        <v/>
      </c>
      <c r="BRX83" s="248" t="str">
        <f t="shared" si="34"/>
        <v/>
      </c>
      <c r="BRY83" s="248" t="str">
        <f t="shared" si="34"/>
        <v/>
      </c>
      <c r="BRZ83" s="248" t="str">
        <f t="shared" si="34"/>
        <v/>
      </c>
      <c r="BSA83" s="248" t="str">
        <f t="shared" si="34"/>
        <v/>
      </c>
      <c r="BSB83" s="248" t="str">
        <f t="shared" si="34"/>
        <v/>
      </c>
      <c r="BSC83" s="248" t="str">
        <f t="shared" si="34"/>
        <v/>
      </c>
      <c r="BSD83" s="248" t="str">
        <f t="shared" si="34"/>
        <v/>
      </c>
      <c r="BSE83" s="248" t="str">
        <f t="shared" si="34"/>
        <v/>
      </c>
      <c r="BSF83" s="248" t="str">
        <f t="shared" si="34"/>
        <v/>
      </c>
      <c r="BSG83" s="248" t="str">
        <f t="shared" si="34"/>
        <v/>
      </c>
      <c r="BSH83" s="248" t="str">
        <f t="shared" si="34"/>
        <v/>
      </c>
      <c r="BSI83" s="248" t="str">
        <f t="shared" si="34"/>
        <v/>
      </c>
      <c r="BSJ83" s="248" t="str">
        <f t="shared" si="34"/>
        <v/>
      </c>
      <c r="BSK83" s="248" t="str">
        <f t="shared" si="34"/>
        <v/>
      </c>
      <c r="BSL83" s="248" t="str">
        <f t="shared" si="34"/>
        <v/>
      </c>
      <c r="BSM83" s="248" t="str">
        <f t="shared" si="34"/>
        <v/>
      </c>
      <c r="BSN83" s="248" t="str">
        <f t="shared" si="34"/>
        <v/>
      </c>
      <c r="BSO83" s="248" t="str">
        <f t="shared" si="34"/>
        <v/>
      </c>
      <c r="BSP83" s="248" t="str">
        <f t="shared" si="34"/>
        <v/>
      </c>
      <c r="BSQ83" s="248" t="str">
        <f t="shared" si="34"/>
        <v/>
      </c>
      <c r="BSR83" s="248" t="str">
        <f t="shared" si="34"/>
        <v/>
      </c>
      <c r="BSS83" s="248" t="str">
        <f t="shared" si="34"/>
        <v/>
      </c>
      <c r="BST83" s="248" t="str">
        <f t="shared" si="34"/>
        <v/>
      </c>
      <c r="BSU83" s="248" t="str">
        <f t="shared" si="34"/>
        <v/>
      </c>
      <c r="BSV83" s="248" t="str">
        <f t="shared" si="34"/>
        <v/>
      </c>
      <c r="BSW83" s="248" t="str">
        <f t="shared" si="34"/>
        <v/>
      </c>
      <c r="BSX83" s="248" t="str">
        <f t="shared" si="34"/>
        <v/>
      </c>
      <c r="BSY83" s="248" t="str">
        <f t="shared" si="34"/>
        <v/>
      </c>
      <c r="BSZ83" s="248" t="str">
        <f t="shared" si="34"/>
        <v/>
      </c>
      <c r="BTA83" s="248" t="str">
        <f t="shared" si="34"/>
        <v/>
      </c>
      <c r="BTB83" s="248" t="str">
        <f t="shared" si="34"/>
        <v/>
      </c>
      <c r="BTC83" s="248" t="str">
        <f t="shared" si="34"/>
        <v/>
      </c>
      <c r="BTD83" s="248" t="str">
        <f t="shared" si="34"/>
        <v/>
      </c>
      <c r="BTE83" s="248" t="str">
        <f t="shared" si="34"/>
        <v/>
      </c>
      <c r="BTF83" s="248" t="str">
        <f t="shared" si="34"/>
        <v/>
      </c>
      <c r="BTG83" s="248" t="str">
        <f t="shared" si="34"/>
        <v/>
      </c>
      <c r="BTH83" s="248" t="str">
        <f t="shared" si="34"/>
        <v/>
      </c>
      <c r="BTI83" s="248" t="str">
        <f t="shared" si="34"/>
        <v/>
      </c>
      <c r="BTJ83" s="248" t="str">
        <f t="shared" si="34"/>
        <v/>
      </c>
      <c r="BTK83" s="248" t="str">
        <f t="shared" si="34"/>
        <v/>
      </c>
      <c r="BTL83" s="248" t="str">
        <f t="shared" si="34"/>
        <v/>
      </c>
      <c r="BTM83" s="248" t="str">
        <f t="shared" si="34"/>
        <v/>
      </c>
      <c r="BTN83" s="248" t="str">
        <f t="shared" si="34"/>
        <v/>
      </c>
      <c r="BTO83" s="248" t="str">
        <f t="shared" ref="BTO83:BVZ83" si="35">UPPER(BTM83)</f>
        <v/>
      </c>
      <c r="BTP83" s="248" t="str">
        <f t="shared" si="35"/>
        <v/>
      </c>
      <c r="BTQ83" s="248" t="str">
        <f t="shared" si="35"/>
        <v/>
      </c>
      <c r="BTR83" s="248" t="str">
        <f t="shared" si="35"/>
        <v/>
      </c>
      <c r="BTS83" s="248" t="str">
        <f t="shared" si="35"/>
        <v/>
      </c>
      <c r="BTT83" s="248" t="str">
        <f t="shared" si="35"/>
        <v/>
      </c>
      <c r="BTU83" s="248" t="str">
        <f t="shared" si="35"/>
        <v/>
      </c>
      <c r="BTV83" s="248" t="str">
        <f t="shared" si="35"/>
        <v/>
      </c>
      <c r="BTW83" s="248" t="str">
        <f t="shared" si="35"/>
        <v/>
      </c>
      <c r="BTX83" s="248" t="str">
        <f t="shared" si="35"/>
        <v/>
      </c>
      <c r="BTY83" s="248" t="str">
        <f t="shared" si="35"/>
        <v/>
      </c>
      <c r="BTZ83" s="248" t="str">
        <f t="shared" si="35"/>
        <v/>
      </c>
      <c r="BUA83" s="248" t="str">
        <f t="shared" si="35"/>
        <v/>
      </c>
      <c r="BUB83" s="248" t="str">
        <f t="shared" si="35"/>
        <v/>
      </c>
      <c r="BUC83" s="248" t="str">
        <f t="shared" si="35"/>
        <v/>
      </c>
      <c r="BUD83" s="248" t="str">
        <f t="shared" si="35"/>
        <v/>
      </c>
      <c r="BUE83" s="248" t="str">
        <f t="shared" si="35"/>
        <v/>
      </c>
      <c r="BUF83" s="248" t="str">
        <f t="shared" si="35"/>
        <v/>
      </c>
      <c r="BUG83" s="248" t="str">
        <f t="shared" si="35"/>
        <v/>
      </c>
      <c r="BUH83" s="248" t="str">
        <f t="shared" si="35"/>
        <v/>
      </c>
      <c r="BUI83" s="248" t="str">
        <f t="shared" si="35"/>
        <v/>
      </c>
      <c r="BUJ83" s="248" t="str">
        <f t="shared" si="35"/>
        <v/>
      </c>
      <c r="BUK83" s="248" t="str">
        <f t="shared" si="35"/>
        <v/>
      </c>
      <c r="BUL83" s="248" t="str">
        <f t="shared" si="35"/>
        <v/>
      </c>
      <c r="BUM83" s="248" t="str">
        <f t="shared" si="35"/>
        <v/>
      </c>
      <c r="BUN83" s="248" t="str">
        <f t="shared" si="35"/>
        <v/>
      </c>
      <c r="BUO83" s="248" t="str">
        <f t="shared" si="35"/>
        <v/>
      </c>
      <c r="BUP83" s="248" t="str">
        <f t="shared" si="35"/>
        <v/>
      </c>
      <c r="BUQ83" s="248" t="str">
        <f t="shared" si="35"/>
        <v/>
      </c>
      <c r="BUR83" s="248" t="str">
        <f t="shared" si="35"/>
        <v/>
      </c>
      <c r="BUS83" s="248" t="str">
        <f t="shared" si="35"/>
        <v/>
      </c>
      <c r="BUT83" s="248" t="str">
        <f t="shared" si="35"/>
        <v/>
      </c>
      <c r="BUU83" s="248" t="str">
        <f t="shared" si="35"/>
        <v/>
      </c>
      <c r="BUV83" s="248" t="str">
        <f t="shared" si="35"/>
        <v/>
      </c>
      <c r="BUW83" s="248" t="str">
        <f t="shared" si="35"/>
        <v/>
      </c>
      <c r="BUX83" s="248" t="str">
        <f t="shared" si="35"/>
        <v/>
      </c>
      <c r="BUY83" s="248" t="str">
        <f t="shared" si="35"/>
        <v/>
      </c>
      <c r="BUZ83" s="248" t="str">
        <f t="shared" si="35"/>
        <v/>
      </c>
      <c r="BVA83" s="248" t="str">
        <f t="shared" si="35"/>
        <v/>
      </c>
      <c r="BVB83" s="248" t="str">
        <f t="shared" si="35"/>
        <v/>
      </c>
      <c r="BVC83" s="248" t="str">
        <f t="shared" si="35"/>
        <v/>
      </c>
      <c r="BVD83" s="248" t="str">
        <f t="shared" si="35"/>
        <v/>
      </c>
      <c r="BVE83" s="248" t="str">
        <f t="shared" si="35"/>
        <v/>
      </c>
      <c r="BVF83" s="248" t="str">
        <f t="shared" si="35"/>
        <v/>
      </c>
      <c r="BVG83" s="248" t="str">
        <f t="shared" si="35"/>
        <v/>
      </c>
      <c r="BVH83" s="248" t="str">
        <f t="shared" si="35"/>
        <v/>
      </c>
      <c r="BVI83" s="248" t="str">
        <f t="shared" si="35"/>
        <v/>
      </c>
      <c r="BVJ83" s="248" t="str">
        <f t="shared" si="35"/>
        <v/>
      </c>
      <c r="BVK83" s="248" t="str">
        <f t="shared" si="35"/>
        <v/>
      </c>
      <c r="BVL83" s="248" t="str">
        <f t="shared" si="35"/>
        <v/>
      </c>
      <c r="BVM83" s="248" t="str">
        <f t="shared" si="35"/>
        <v/>
      </c>
      <c r="BVN83" s="248" t="str">
        <f t="shared" si="35"/>
        <v/>
      </c>
      <c r="BVO83" s="248" t="str">
        <f t="shared" si="35"/>
        <v/>
      </c>
      <c r="BVP83" s="248" t="str">
        <f t="shared" si="35"/>
        <v/>
      </c>
      <c r="BVQ83" s="248" t="str">
        <f t="shared" si="35"/>
        <v/>
      </c>
      <c r="BVR83" s="248" t="str">
        <f t="shared" si="35"/>
        <v/>
      </c>
      <c r="BVS83" s="248" t="str">
        <f t="shared" si="35"/>
        <v/>
      </c>
      <c r="BVT83" s="248" t="str">
        <f t="shared" si="35"/>
        <v/>
      </c>
      <c r="BVU83" s="248" t="str">
        <f t="shared" si="35"/>
        <v/>
      </c>
      <c r="BVV83" s="248" t="str">
        <f t="shared" si="35"/>
        <v/>
      </c>
      <c r="BVW83" s="248" t="str">
        <f t="shared" si="35"/>
        <v/>
      </c>
      <c r="BVX83" s="248" t="str">
        <f t="shared" si="35"/>
        <v/>
      </c>
      <c r="BVY83" s="248" t="str">
        <f t="shared" si="35"/>
        <v/>
      </c>
      <c r="BVZ83" s="248" t="str">
        <f t="shared" si="35"/>
        <v/>
      </c>
      <c r="BWA83" s="248" t="str">
        <f t="shared" ref="BWA83:BYL83" si="36">UPPER(BVY83)</f>
        <v/>
      </c>
      <c r="BWB83" s="248" t="str">
        <f t="shared" si="36"/>
        <v/>
      </c>
      <c r="BWC83" s="248" t="str">
        <f t="shared" si="36"/>
        <v/>
      </c>
      <c r="BWD83" s="248" t="str">
        <f t="shared" si="36"/>
        <v/>
      </c>
      <c r="BWE83" s="248" t="str">
        <f t="shared" si="36"/>
        <v/>
      </c>
      <c r="BWF83" s="248" t="str">
        <f t="shared" si="36"/>
        <v/>
      </c>
      <c r="BWG83" s="248" t="str">
        <f t="shared" si="36"/>
        <v/>
      </c>
      <c r="BWH83" s="248" t="str">
        <f t="shared" si="36"/>
        <v/>
      </c>
      <c r="BWI83" s="248" t="str">
        <f t="shared" si="36"/>
        <v/>
      </c>
      <c r="BWJ83" s="248" t="str">
        <f t="shared" si="36"/>
        <v/>
      </c>
      <c r="BWK83" s="248" t="str">
        <f t="shared" si="36"/>
        <v/>
      </c>
      <c r="BWL83" s="248" t="str">
        <f t="shared" si="36"/>
        <v/>
      </c>
      <c r="BWM83" s="248" t="str">
        <f t="shared" si="36"/>
        <v/>
      </c>
      <c r="BWN83" s="248" t="str">
        <f t="shared" si="36"/>
        <v/>
      </c>
      <c r="BWO83" s="248" t="str">
        <f t="shared" si="36"/>
        <v/>
      </c>
      <c r="BWP83" s="248" t="str">
        <f t="shared" si="36"/>
        <v/>
      </c>
      <c r="BWQ83" s="248" t="str">
        <f t="shared" si="36"/>
        <v/>
      </c>
      <c r="BWR83" s="248" t="str">
        <f t="shared" si="36"/>
        <v/>
      </c>
      <c r="BWS83" s="248" t="str">
        <f t="shared" si="36"/>
        <v/>
      </c>
      <c r="BWT83" s="248" t="str">
        <f t="shared" si="36"/>
        <v/>
      </c>
      <c r="BWU83" s="248" t="str">
        <f t="shared" si="36"/>
        <v/>
      </c>
      <c r="BWV83" s="248" t="str">
        <f t="shared" si="36"/>
        <v/>
      </c>
      <c r="BWW83" s="248" t="str">
        <f t="shared" si="36"/>
        <v/>
      </c>
      <c r="BWX83" s="248" t="str">
        <f t="shared" si="36"/>
        <v/>
      </c>
      <c r="BWY83" s="248" t="str">
        <f t="shared" si="36"/>
        <v/>
      </c>
      <c r="BWZ83" s="248" t="str">
        <f t="shared" si="36"/>
        <v/>
      </c>
      <c r="BXA83" s="248" t="str">
        <f t="shared" si="36"/>
        <v/>
      </c>
      <c r="BXB83" s="248" t="str">
        <f t="shared" si="36"/>
        <v/>
      </c>
      <c r="BXC83" s="248" t="str">
        <f t="shared" si="36"/>
        <v/>
      </c>
      <c r="BXD83" s="248" t="str">
        <f t="shared" si="36"/>
        <v/>
      </c>
      <c r="BXE83" s="248" t="str">
        <f t="shared" si="36"/>
        <v/>
      </c>
      <c r="BXF83" s="248" t="str">
        <f t="shared" si="36"/>
        <v/>
      </c>
      <c r="BXG83" s="248" t="str">
        <f t="shared" si="36"/>
        <v/>
      </c>
      <c r="BXH83" s="248" t="str">
        <f t="shared" si="36"/>
        <v/>
      </c>
      <c r="BXI83" s="248" t="str">
        <f t="shared" si="36"/>
        <v/>
      </c>
      <c r="BXJ83" s="248" t="str">
        <f t="shared" si="36"/>
        <v/>
      </c>
      <c r="BXK83" s="248" t="str">
        <f t="shared" si="36"/>
        <v/>
      </c>
      <c r="BXL83" s="248" t="str">
        <f t="shared" si="36"/>
        <v/>
      </c>
      <c r="BXM83" s="248" t="str">
        <f t="shared" si="36"/>
        <v/>
      </c>
      <c r="BXN83" s="248" t="str">
        <f t="shared" si="36"/>
        <v/>
      </c>
      <c r="BXO83" s="248" t="str">
        <f t="shared" si="36"/>
        <v/>
      </c>
      <c r="BXP83" s="248" t="str">
        <f t="shared" si="36"/>
        <v/>
      </c>
      <c r="BXQ83" s="248" t="str">
        <f t="shared" si="36"/>
        <v/>
      </c>
      <c r="BXR83" s="248" t="str">
        <f t="shared" si="36"/>
        <v/>
      </c>
      <c r="BXS83" s="248" t="str">
        <f t="shared" si="36"/>
        <v/>
      </c>
      <c r="BXT83" s="248" t="str">
        <f t="shared" si="36"/>
        <v/>
      </c>
      <c r="BXU83" s="248" t="str">
        <f t="shared" si="36"/>
        <v/>
      </c>
      <c r="BXV83" s="248" t="str">
        <f t="shared" si="36"/>
        <v/>
      </c>
      <c r="BXW83" s="248" t="str">
        <f t="shared" si="36"/>
        <v/>
      </c>
      <c r="BXX83" s="248" t="str">
        <f t="shared" si="36"/>
        <v/>
      </c>
      <c r="BXY83" s="248" t="str">
        <f t="shared" si="36"/>
        <v/>
      </c>
      <c r="BXZ83" s="248" t="str">
        <f t="shared" si="36"/>
        <v/>
      </c>
      <c r="BYA83" s="248" t="str">
        <f t="shared" si="36"/>
        <v/>
      </c>
      <c r="BYB83" s="248" t="str">
        <f t="shared" si="36"/>
        <v/>
      </c>
      <c r="BYC83" s="248" t="str">
        <f t="shared" si="36"/>
        <v/>
      </c>
      <c r="BYD83" s="248" t="str">
        <f t="shared" si="36"/>
        <v/>
      </c>
      <c r="BYE83" s="248" t="str">
        <f t="shared" si="36"/>
        <v/>
      </c>
      <c r="BYF83" s="248" t="str">
        <f t="shared" si="36"/>
        <v/>
      </c>
      <c r="BYG83" s="248" t="str">
        <f t="shared" si="36"/>
        <v/>
      </c>
      <c r="BYH83" s="248" t="str">
        <f t="shared" si="36"/>
        <v/>
      </c>
      <c r="BYI83" s="248" t="str">
        <f t="shared" si="36"/>
        <v/>
      </c>
      <c r="BYJ83" s="248" t="str">
        <f t="shared" si="36"/>
        <v/>
      </c>
      <c r="BYK83" s="248" t="str">
        <f t="shared" si="36"/>
        <v/>
      </c>
      <c r="BYL83" s="248" t="str">
        <f t="shared" si="36"/>
        <v/>
      </c>
      <c r="BYM83" s="248" t="str">
        <f t="shared" ref="BYM83:CAX83" si="37">UPPER(BYK83)</f>
        <v/>
      </c>
      <c r="BYN83" s="248" t="str">
        <f t="shared" si="37"/>
        <v/>
      </c>
      <c r="BYO83" s="248" t="str">
        <f t="shared" si="37"/>
        <v/>
      </c>
      <c r="BYP83" s="248" t="str">
        <f t="shared" si="37"/>
        <v/>
      </c>
      <c r="BYQ83" s="248" t="str">
        <f t="shared" si="37"/>
        <v/>
      </c>
      <c r="BYR83" s="248" t="str">
        <f t="shared" si="37"/>
        <v/>
      </c>
      <c r="BYS83" s="248" t="str">
        <f t="shared" si="37"/>
        <v/>
      </c>
      <c r="BYT83" s="248" t="str">
        <f t="shared" si="37"/>
        <v/>
      </c>
      <c r="BYU83" s="248" t="str">
        <f t="shared" si="37"/>
        <v/>
      </c>
      <c r="BYV83" s="248" t="str">
        <f t="shared" si="37"/>
        <v/>
      </c>
      <c r="BYW83" s="248" t="str">
        <f t="shared" si="37"/>
        <v/>
      </c>
      <c r="BYX83" s="248" t="str">
        <f t="shared" si="37"/>
        <v/>
      </c>
      <c r="BYY83" s="248" t="str">
        <f t="shared" si="37"/>
        <v/>
      </c>
      <c r="BYZ83" s="248" t="str">
        <f t="shared" si="37"/>
        <v/>
      </c>
      <c r="BZA83" s="248" t="str">
        <f t="shared" si="37"/>
        <v/>
      </c>
      <c r="BZB83" s="248" t="str">
        <f t="shared" si="37"/>
        <v/>
      </c>
      <c r="BZC83" s="248" t="str">
        <f t="shared" si="37"/>
        <v/>
      </c>
      <c r="BZD83" s="248" t="str">
        <f t="shared" si="37"/>
        <v/>
      </c>
      <c r="BZE83" s="248" t="str">
        <f t="shared" si="37"/>
        <v/>
      </c>
      <c r="BZF83" s="248" t="str">
        <f t="shared" si="37"/>
        <v/>
      </c>
      <c r="BZG83" s="248" t="str">
        <f t="shared" si="37"/>
        <v/>
      </c>
      <c r="BZH83" s="248" t="str">
        <f t="shared" si="37"/>
        <v/>
      </c>
      <c r="BZI83" s="248" t="str">
        <f t="shared" si="37"/>
        <v/>
      </c>
      <c r="BZJ83" s="248" t="str">
        <f t="shared" si="37"/>
        <v/>
      </c>
      <c r="BZK83" s="248" t="str">
        <f t="shared" si="37"/>
        <v/>
      </c>
      <c r="BZL83" s="248" t="str">
        <f t="shared" si="37"/>
        <v/>
      </c>
      <c r="BZM83" s="248" t="str">
        <f t="shared" si="37"/>
        <v/>
      </c>
      <c r="BZN83" s="248" t="str">
        <f t="shared" si="37"/>
        <v/>
      </c>
      <c r="BZO83" s="248" t="str">
        <f t="shared" si="37"/>
        <v/>
      </c>
      <c r="BZP83" s="248" t="str">
        <f t="shared" si="37"/>
        <v/>
      </c>
      <c r="BZQ83" s="248" t="str">
        <f t="shared" si="37"/>
        <v/>
      </c>
      <c r="BZR83" s="248" t="str">
        <f t="shared" si="37"/>
        <v/>
      </c>
      <c r="BZS83" s="248" t="str">
        <f t="shared" si="37"/>
        <v/>
      </c>
      <c r="BZT83" s="248" t="str">
        <f t="shared" si="37"/>
        <v/>
      </c>
      <c r="BZU83" s="248" t="str">
        <f t="shared" si="37"/>
        <v/>
      </c>
      <c r="BZV83" s="248" t="str">
        <f t="shared" si="37"/>
        <v/>
      </c>
      <c r="BZW83" s="248" t="str">
        <f t="shared" si="37"/>
        <v/>
      </c>
      <c r="BZX83" s="248" t="str">
        <f t="shared" si="37"/>
        <v/>
      </c>
      <c r="BZY83" s="248" t="str">
        <f t="shared" si="37"/>
        <v/>
      </c>
      <c r="BZZ83" s="248" t="str">
        <f t="shared" si="37"/>
        <v/>
      </c>
      <c r="CAA83" s="248" t="str">
        <f t="shared" si="37"/>
        <v/>
      </c>
      <c r="CAB83" s="248" t="str">
        <f t="shared" si="37"/>
        <v/>
      </c>
      <c r="CAC83" s="248" t="str">
        <f t="shared" si="37"/>
        <v/>
      </c>
      <c r="CAD83" s="248" t="str">
        <f t="shared" si="37"/>
        <v/>
      </c>
      <c r="CAE83" s="248" t="str">
        <f t="shared" si="37"/>
        <v/>
      </c>
      <c r="CAF83" s="248" t="str">
        <f t="shared" si="37"/>
        <v/>
      </c>
      <c r="CAG83" s="248" t="str">
        <f t="shared" si="37"/>
        <v/>
      </c>
      <c r="CAH83" s="248" t="str">
        <f t="shared" si="37"/>
        <v/>
      </c>
      <c r="CAI83" s="248" t="str">
        <f t="shared" si="37"/>
        <v/>
      </c>
      <c r="CAJ83" s="248" t="str">
        <f t="shared" si="37"/>
        <v/>
      </c>
      <c r="CAK83" s="248" t="str">
        <f t="shared" si="37"/>
        <v/>
      </c>
      <c r="CAL83" s="248" t="str">
        <f t="shared" si="37"/>
        <v/>
      </c>
      <c r="CAM83" s="248" t="str">
        <f t="shared" si="37"/>
        <v/>
      </c>
      <c r="CAN83" s="248" t="str">
        <f t="shared" si="37"/>
        <v/>
      </c>
      <c r="CAO83" s="248" t="str">
        <f t="shared" si="37"/>
        <v/>
      </c>
      <c r="CAP83" s="248" t="str">
        <f t="shared" si="37"/>
        <v/>
      </c>
      <c r="CAQ83" s="248" t="str">
        <f t="shared" si="37"/>
        <v/>
      </c>
      <c r="CAR83" s="248" t="str">
        <f t="shared" si="37"/>
        <v/>
      </c>
      <c r="CAS83" s="248" t="str">
        <f t="shared" si="37"/>
        <v/>
      </c>
      <c r="CAT83" s="248" t="str">
        <f t="shared" si="37"/>
        <v/>
      </c>
      <c r="CAU83" s="248" t="str">
        <f t="shared" si="37"/>
        <v/>
      </c>
      <c r="CAV83" s="248" t="str">
        <f t="shared" si="37"/>
        <v/>
      </c>
      <c r="CAW83" s="248" t="str">
        <f t="shared" si="37"/>
        <v/>
      </c>
      <c r="CAX83" s="248" t="str">
        <f t="shared" si="37"/>
        <v/>
      </c>
      <c r="CAY83" s="248" t="str">
        <f t="shared" ref="CAY83:CDJ83" si="38">UPPER(CAW83)</f>
        <v/>
      </c>
      <c r="CAZ83" s="248" t="str">
        <f t="shared" si="38"/>
        <v/>
      </c>
      <c r="CBA83" s="248" t="str">
        <f t="shared" si="38"/>
        <v/>
      </c>
      <c r="CBB83" s="248" t="str">
        <f t="shared" si="38"/>
        <v/>
      </c>
      <c r="CBC83" s="248" t="str">
        <f t="shared" si="38"/>
        <v/>
      </c>
      <c r="CBD83" s="248" t="str">
        <f t="shared" si="38"/>
        <v/>
      </c>
      <c r="CBE83" s="248" t="str">
        <f t="shared" si="38"/>
        <v/>
      </c>
      <c r="CBF83" s="248" t="str">
        <f t="shared" si="38"/>
        <v/>
      </c>
      <c r="CBG83" s="248" t="str">
        <f t="shared" si="38"/>
        <v/>
      </c>
      <c r="CBH83" s="248" t="str">
        <f t="shared" si="38"/>
        <v/>
      </c>
      <c r="CBI83" s="248" t="str">
        <f t="shared" si="38"/>
        <v/>
      </c>
      <c r="CBJ83" s="248" t="str">
        <f t="shared" si="38"/>
        <v/>
      </c>
      <c r="CBK83" s="248" t="str">
        <f t="shared" si="38"/>
        <v/>
      </c>
      <c r="CBL83" s="248" t="str">
        <f t="shared" si="38"/>
        <v/>
      </c>
      <c r="CBM83" s="248" t="str">
        <f t="shared" si="38"/>
        <v/>
      </c>
      <c r="CBN83" s="248" t="str">
        <f t="shared" si="38"/>
        <v/>
      </c>
      <c r="CBO83" s="248" t="str">
        <f t="shared" si="38"/>
        <v/>
      </c>
      <c r="CBP83" s="248" t="str">
        <f t="shared" si="38"/>
        <v/>
      </c>
      <c r="CBQ83" s="248" t="str">
        <f t="shared" si="38"/>
        <v/>
      </c>
      <c r="CBR83" s="248" t="str">
        <f t="shared" si="38"/>
        <v/>
      </c>
      <c r="CBS83" s="248" t="str">
        <f t="shared" si="38"/>
        <v/>
      </c>
      <c r="CBT83" s="248" t="str">
        <f t="shared" si="38"/>
        <v/>
      </c>
      <c r="CBU83" s="248" t="str">
        <f t="shared" si="38"/>
        <v/>
      </c>
      <c r="CBV83" s="248" t="str">
        <f t="shared" si="38"/>
        <v/>
      </c>
      <c r="CBW83" s="248" t="str">
        <f t="shared" si="38"/>
        <v/>
      </c>
      <c r="CBX83" s="248" t="str">
        <f t="shared" si="38"/>
        <v/>
      </c>
      <c r="CBY83" s="248" t="str">
        <f t="shared" si="38"/>
        <v/>
      </c>
      <c r="CBZ83" s="248" t="str">
        <f t="shared" si="38"/>
        <v/>
      </c>
      <c r="CCA83" s="248" t="str">
        <f t="shared" si="38"/>
        <v/>
      </c>
      <c r="CCB83" s="248" t="str">
        <f t="shared" si="38"/>
        <v/>
      </c>
      <c r="CCC83" s="248" t="str">
        <f t="shared" si="38"/>
        <v/>
      </c>
      <c r="CCD83" s="248" t="str">
        <f t="shared" si="38"/>
        <v/>
      </c>
      <c r="CCE83" s="248" t="str">
        <f t="shared" si="38"/>
        <v/>
      </c>
      <c r="CCF83" s="248" t="str">
        <f t="shared" si="38"/>
        <v/>
      </c>
      <c r="CCG83" s="248" t="str">
        <f t="shared" si="38"/>
        <v/>
      </c>
      <c r="CCH83" s="248" t="str">
        <f t="shared" si="38"/>
        <v/>
      </c>
      <c r="CCI83" s="248" t="str">
        <f t="shared" si="38"/>
        <v/>
      </c>
      <c r="CCJ83" s="248" t="str">
        <f t="shared" si="38"/>
        <v/>
      </c>
      <c r="CCK83" s="248" t="str">
        <f t="shared" si="38"/>
        <v/>
      </c>
      <c r="CCL83" s="248" t="str">
        <f t="shared" si="38"/>
        <v/>
      </c>
      <c r="CCM83" s="248" t="str">
        <f t="shared" si="38"/>
        <v/>
      </c>
      <c r="CCN83" s="248" t="str">
        <f t="shared" si="38"/>
        <v/>
      </c>
      <c r="CCO83" s="248" t="str">
        <f t="shared" si="38"/>
        <v/>
      </c>
      <c r="CCP83" s="248" t="str">
        <f t="shared" si="38"/>
        <v/>
      </c>
      <c r="CCQ83" s="248" t="str">
        <f t="shared" si="38"/>
        <v/>
      </c>
      <c r="CCR83" s="248" t="str">
        <f t="shared" si="38"/>
        <v/>
      </c>
      <c r="CCS83" s="248" t="str">
        <f t="shared" si="38"/>
        <v/>
      </c>
      <c r="CCT83" s="248" t="str">
        <f t="shared" si="38"/>
        <v/>
      </c>
      <c r="CCU83" s="248" t="str">
        <f t="shared" si="38"/>
        <v/>
      </c>
      <c r="CCV83" s="248" t="str">
        <f t="shared" si="38"/>
        <v/>
      </c>
      <c r="CCW83" s="248" t="str">
        <f t="shared" si="38"/>
        <v/>
      </c>
      <c r="CCX83" s="248" t="str">
        <f t="shared" si="38"/>
        <v/>
      </c>
      <c r="CCY83" s="248" t="str">
        <f t="shared" si="38"/>
        <v/>
      </c>
      <c r="CCZ83" s="248" t="str">
        <f t="shared" si="38"/>
        <v/>
      </c>
      <c r="CDA83" s="248" t="str">
        <f t="shared" si="38"/>
        <v/>
      </c>
      <c r="CDB83" s="248" t="str">
        <f t="shared" si="38"/>
        <v/>
      </c>
      <c r="CDC83" s="248" t="str">
        <f t="shared" si="38"/>
        <v/>
      </c>
      <c r="CDD83" s="248" t="str">
        <f t="shared" si="38"/>
        <v/>
      </c>
      <c r="CDE83" s="248" t="str">
        <f t="shared" si="38"/>
        <v/>
      </c>
      <c r="CDF83" s="248" t="str">
        <f t="shared" si="38"/>
        <v/>
      </c>
      <c r="CDG83" s="248" t="str">
        <f t="shared" si="38"/>
        <v/>
      </c>
      <c r="CDH83" s="248" t="str">
        <f t="shared" si="38"/>
        <v/>
      </c>
      <c r="CDI83" s="248" t="str">
        <f t="shared" si="38"/>
        <v/>
      </c>
      <c r="CDJ83" s="248" t="str">
        <f t="shared" si="38"/>
        <v/>
      </c>
      <c r="CDK83" s="248" t="str">
        <f t="shared" ref="CDK83:CFV83" si="39">UPPER(CDI83)</f>
        <v/>
      </c>
      <c r="CDL83" s="248" t="str">
        <f t="shared" si="39"/>
        <v/>
      </c>
      <c r="CDM83" s="248" t="str">
        <f t="shared" si="39"/>
        <v/>
      </c>
      <c r="CDN83" s="248" t="str">
        <f t="shared" si="39"/>
        <v/>
      </c>
      <c r="CDO83" s="248" t="str">
        <f t="shared" si="39"/>
        <v/>
      </c>
      <c r="CDP83" s="248" t="str">
        <f t="shared" si="39"/>
        <v/>
      </c>
      <c r="CDQ83" s="248" t="str">
        <f t="shared" si="39"/>
        <v/>
      </c>
      <c r="CDR83" s="248" t="str">
        <f t="shared" si="39"/>
        <v/>
      </c>
      <c r="CDS83" s="248" t="str">
        <f t="shared" si="39"/>
        <v/>
      </c>
      <c r="CDT83" s="248" t="str">
        <f t="shared" si="39"/>
        <v/>
      </c>
      <c r="CDU83" s="248" t="str">
        <f t="shared" si="39"/>
        <v/>
      </c>
      <c r="CDV83" s="248" t="str">
        <f t="shared" si="39"/>
        <v/>
      </c>
      <c r="CDW83" s="248" t="str">
        <f t="shared" si="39"/>
        <v/>
      </c>
      <c r="CDX83" s="248" t="str">
        <f t="shared" si="39"/>
        <v/>
      </c>
      <c r="CDY83" s="248" t="str">
        <f t="shared" si="39"/>
        <v/>
      </c>
      <c r="CDZ83" s="248" t="str">
        <f t="shared" si="39"/>
        <v/>
      </c>
      <c r="CEA83" s="248" t="str">
        <f t="shared" si="39"/>
        <v/>
      </c>
      <c r="CEB83" s="248" t="str">
        <f t="shared" si="39"/>
        <v/>
      </c>
      <c r="CEC83" s="248" t="str">
        <f t="shared" si="39"/>
        <v/>
      </c>
      <c r="CED83" s="248" t="str">
        <f t="shared" si="39"/>
        <v/>
      </c>
      <c r="CEE83" s="248" t="str">
        <f t="shared" si="39"/>
        <v/>
      </c>
      <c r="CEF83" s="248" t="str">
        <f t="shared" si="39"/>
        <v/>
      </c>
      <c r="CEG83" s="248" t="str">
        <f t="shared" si="39"/>
        <v/>
      </c>
      <c r="CEH83" s="248" t="str">
        <f t="shared" si="39"/>
        <v/>
      </c>
      <c r="CEI83" s="248" t="str">
        <f t="shared" si="39"/>
        <v/>
      </c>
      <c r="CEJ83" s="248" t="str">
        <f t="shared" si="39"/>
        <v/>
      </c>
      <c r="CEK83" s="248" t="str">
        <f t="shared" si="39"/>
        <v/>
      </c>
      <c r="CEL83" s="248" t="str">
        <f t="shared" si="39"/>
        <v/>
      </c>
      <c r="CEM83" s="248" t="str">
        <f t="shared" si="39"/>
        <v/>
      </c>
      <c r="CEN83" s="248" t="str">
        <f t="shared" si="39"/>
        <v/>
      </c>
      <c r="CEO83" s="248" t="str">
        <f t="shared" si="39"/>
        <v/>
      </c>
      <c r="CEP83" s="248" t="str">
        <f t="shared" si="39"/>
        <v/>
      </c>
      <c r="CEQ83" s="248" t="str">
        <f t="shared" si="39"/>
        <v/>
      </c>
      <c r="CER83" s="248" t="str">
        <f t="shared" si="39"/>
        <v/>
      </c>
      <c r="CES83" s="248" t="str">
        <f t="shared" si="39"/>
        <v/>
      </c>
      <c r="CET83" s="248" t="str">
        <f t="shared" si="39"/>
        <v/>
      </c>
      <c r="CEU83" s="248" t="str">
        <f t="shared" si="39"/>
        <v/>
      </c>
      <c r="CEV83" s="248" t="str">
        <f t="shared" si="39"/>
        <v/>
      </c>
      <c r="CEW83" s="248" t="str">
        <f t="shared" si="39"/>
        <v/>
      </c>
      <c r="CEX83" s="248" t="str">
        <f t="shared" si="39"/>
        <v/>
      </c>
      <c r="CEY83" s="248" t="str">
        <f t="shared" si="39"/>
        <v/>
      </c>
      <c r="CEZ83" s="248" t="str">
        <f t="shared" si="39"/>
        <v/>
      </c>
      <c r="CFA83" s="248" t="str">
        <f t="shared" si="39"/>
        <v/>
      </c>
      <c r="CFB83" s="248" t="str">
        <f t="shared" si="39"/>
        <v/>
      </c>
      <c r="CFC83" s="248" t="str">
        <f t="shared" si="39"/>
        <v/>
      </c>
      <c r="CFD83" s="248" t="str">
        <f t="shared" si="39"/>
        <v/>
      </c>
      <c r="CFE83" s="248" t="str">
        <f t="shared" si="39"/>
        <v/>
      </c>
      <c r="CFF83" s="248" t="str">
        <f t="shared" si="39"/>
        <v/>
      </c>
      <c r="CFG83" s="248" t="str">
        <f t="shared" si="39"/>
        <v/>
      </c>
      <c r="CFH83" s="248" t="str">
        <f t="shared" si="39"/>
        <v/>
      </c>
      <c r="CFI83" s="248" t="str">
        <f t="shared" si="39"/>
        <v/>
      </c>
      <c r="CFJ83" s="248" t="str">
        <f t="shared" si="39"/>
        <v/>
      </c>
      <c r="CFK83" s="248" t="str">
        <f t="shared" si="39"/>
        <v/>
      </c>
      <c r="CFL83" s="248" t="str">
        <f t="shared" si="39"/>
        <v/>
      </c>
      <c r="CFM83" s="248" t="str">
        <f t="shared" si="39"/>
        <v/>
      </c>
      <c r="CFN83" s="248" t="str">
        <f t="shared" si="39"/>
        <v/>
      </c>
      <c r="CFO83" s="248" t="str">
        <f t="shared" si="39"/>
        <v/>
      </c>
      <c r="CFP83" s="248" t="str">
        <f t="shared" si="39"/>
        <v/>
      </c>
      <c r="CFQ83" s="248" t="str">
        <f t="shared" si="39"/>
        <v/>
      </c>
      <c r="CFR83" s="248" t="str">
        <f t="shared" si="39"/>
        <v/>
      </c>
      <c r="CFS83" s="248" t="str">
        <f t="shared" si="39"/>
        <v/>
      </c>
      <c r="CFT83" s="248" t="str">
        <f t="shared" si="39"/>
        <v/>
      </c>
      <c r="CFU83" s="248" t="str">
        <f t="shared" si="39"/>
        <v/>
      </c>
      <c r="CFV83" s="248" t="str">
        <f t="shared" si="39"/>
        <v/>
      </c>
      <c r="CFW83" s="248" t="str">
        <f t="shared" ref="CFW83:CIH83" si="40">UPPER(CFU83)</f>
        <v/>
      </c>
      <c r="CFX83" s="248" t="str">
        <f t="shared" si="40"/>
        <v/>
      </c>
      <c r="CFY83" s="248" t="str">
        <f t="shared" si="40"/>
        <v/>
      </c>
      <c r="CFZ83" s="248" t="str">
        <f t="shared" si="40"/>
        <v/>
      </c>
      <c r="CGA83" s="248" t="str">
        <f t="shared" si="40"/>
        <v/>
      </c>
      <c r="CGB83" s="248" t="str">
        <f t="shared" si="40"/>
        <v/>
      </c>
      <c r="CGC83" s="248" t="str">
        <f t="shared" si="40"/>
        <v/>
      </c>
      <c r="CGD83" s="248" t="str">
        <f t="shared" si="40"/>
        <v/>
      </c>
      <c r="CGE83" s="248" t="str">
        <f t="shared" si="40"/>
        <v/>
      </c>
      <c r="CGF83" s="248" t="str">
        <f t="shared" si="40"/>
        <v/>
      </c>
      <c r="CGG83" s="248" t="str">
        <f t="shared" si="40"/>
        <v/>
      </c>
      <c r="CGH83" s="248" t="str">
        <f t="shared" si="40"/>
        <v/>
      </c>
      <c r="CGI83" s="248" t="str">
        <f t="shared" si="40"/>
        <v/>
      </c>
      <c r="CGJ83" s="248" t="str">
        <f t="shared" si="40"/>
        <v/>
      </c>
      <c r="CGK83" s="248" t="str">
        <f t="shared" si="40"/>
        <v/>
      </c>
      <c r="CGL83" s="248" t="str">
        <f t="shared" si="40"/>
        <v/>
      </c>
      <c r="CGM83" s="248" t="str">
        <f t="shared" si="40"/>
        <v/>
      </c>
      <c r="CGN83" s="248" t="str">
        <f t="shared" si="40"/>
        <v/>
      </c>
      <c r="CGO83" s="248" t="str">
        <f t="shared" si="40"/>
        <v/>
      </c>
      <c r="CGP83" s="248" t="str">
        <f t="shared" si="40"/>
        <v/>
      </c>
      <c r="CGQ83" s="248" t="str">
        <f t="shared" si="40"/>
        <v/>
      </c>
      <c r="CGR83" s="248" t="str">
        <f t="shared" si="40"/>
        <v/>
      </c>
      <c r="CGS83" s="248" t="str">
        <f t="shared" si="40"/>
        <v/>
      </c>
      <c r="CGT83" s="248" t="str">
        <f t="shared" si="40"/>
        <v/>
      </c>
      <c r="CGU83" s="248" t="str">
        <f t="shared" si="40"/>
        <v/>
      </c>
      <c r="CGV83" s="248" t="str">
        <f t="shared" si="40"/>
        <v/>
      </c>
      <c r="CGW83" s="248" t="str">
        <f t="shared" si="40"/>
        <v/>
      </c>
      <c r="CGX83" s="248" t="str">
        <f t="shared" si="40"/>
        <v/>
      </c>
      <c r="CGY83" s="248" t="str">
        <f t="shared" si="40"/>
        <v/>
      </c>
      <c r="CGZ83" s="248" t="str">
        <f t="shared" si="40"/>
        <v/>
      </c>
      <c r="CHA83" s="248" t="str">
        <f t="shared" si="40"/>
        <v/>
      </c>
      <c r="CHB83" s="248" t="str">
        <f t="shared" si="40"/>
        <v/>
      </c>
      <c r="CHC83" s="248" t="str">
        <f t="shared" si="40"/>
        <v/>
      </c>
      <c r="CHD83" s="248" t="str">
        <f t="shared" si="40"/>
        <v/>
      </c>
      <c r="CHE83" s="248" t="str">
        <f t="shared" si="40"/>
        <v/>
      </c>
      <c r="CHF83" s="248" t="str">
        <f t="shared" si="40"/>
        <v/>
      </c>
      <c r="CHG83" s="248" t="str">
        <f t="shared" si="40"/>
        <v/>
      </c>
      <c r="CHH83" s="248" t="str">
        <f t="shared" si="40"/>
        <v/>
      </c>
      <c r="CHI83" s="248" t="str">
        <f t="shared" si="40"/>
        <v/>
      </c>
      <c r="CHJ83" s="248" t="str">
        <f t="shared" si="40"/>
        <v/>
      </c>
      <c r="CHK83" s="248" t="str">
        <f t="shared" si="40"/>
        <v/>
      </c>
      <c r="CHL83" s="248" t="str">
        <f t="shared" si="40"/>
        <v/>
      </c>
      <c r="CHM83" s="248" t="str">
        <f t="shared" si="40"/>
        <v/>
      </c>
      <c r="CHN83" s="248" t="str">
        <f t="shared" si="40"/>
        <v/>
      </c>
      <c r="CHO83" s="248" t="str">
        <f t="shared" si="40"/>
        <v/>
      </c>
      <c r="CHP83" s="248" t="str">
        <f t="shared" si="40"/>
        <v/>
      </c>
      <c r="CHQ83" s="248" t="str">
        <f t="shared" si="40"/>
        <v/>
      </c>
      <c r="CHR83" s="248" t="str">
        <f t="shared" si="40"/>
        <v/>
      </c>
      <c r="CHS83" s="248" t="str">
        <f t="shared" si="40"/>
        <v/>
      </c>
      <c r="CHT83" s="248" t="str">
        <f t="shared" si="40"/>
        <v/>
      </c>
      <c r="CHU83" s="248" t="str">
        <f t="shared" si="40"/>
        <v/>
      </c>
      <c r="CHV83" s="248" t="str">
        <f t="shared" si="40"/>
        <v/>
      </c>
      <c r="CHW83" s="248" t="str">
        <f t="shared" si="40"/>
        <v/>
      </c>
      <c r="CHX83" s="248" t="str">
        <f t="shared" si="40"/>
        <v/>
      </c>
      <c r="CHY83" s="248" t="str">
        <f t="shared" si="40"/>
        <v/>
      </c>
      <c r="CHZ83" s="248" t="str">
        <f t="shared" si="40"/>
        <v/>
      </c>
      <c r="CIA83" s="248" t="str">
        <f t="shared" si="40"/>
        <v/>
      </c>
      <c r="CIB83" s="248" t="str">
        <f t="shared" si="40"/>
        <v/>
      </c>
      <c r="CIC83" s="248" t="str">
        <f t="shared" si="40"/>
        <v/>
      </c>
      <c r="CID83" s="248" t="str">
        <f t="shared" si="40"/>
        <v/>
      </c>
      <c r="CIE83" s="248" t="str">
        <f t="shared" si="40"/>
        <v/>
      </c>
      <c r="CIF83" s="248" t="str">
        <f t="shared" si="40"/>
        <v/>
      </c>
      <c r="CIG83" s="248" t="str">
        <f t="shared" si="40"/>
        <v/>
      </c>
      <c r="CIH83" s="248" t="str">
        <f t="shared" si="40"/>
        <v/>
      </c>
      <c r="CII83" s="248" t="str">
        <f t="shared" ref="CII83:CKT83" si="41">UPPER(CIG83)</f>
        <v/>
      </c>
      <c r="CIJ83" s="248" t="str">
        <f t="shared" si="41"/>
        <v/>
      </c>
      <c r="CIK83" s="248" t="str">
        <f t="shared" si="41"/>
        <v/>
      </c>
      <c r="CIL83" s="248" t="str">
        <f t="shared" si="41"/>
        <v/>
      </c>
      <c r="CIM83" s="248" t="str">
        <f t="shared" si="41"/>
        <v/>
      </c>
      <c r="CIN83" s="248" t="str">
        <f t="shared" si="41"/>
        <v/>
      </c>
      <c r="CIO83" s="248" t="str">
        <f t="shared" si="41"/>
        <v/>
      </c>
      <c r="CIP83" s="248" t="str">
        <f t="shared" si="41"/>
        <v/>
      </c>
      <c r="CIQ83" s="248" t="str">
        <f t="shared" si="41"/>
        <v/>
      </c>
      <c r="CIR83" s="248" t="str">
        <f t="shared" si="41"/>
        <v/>
      </c>
      <c r="CIS83" s="248" t="str">
        <f t="shared" si="41"/>
        <v/>
      </c>
      <c r="CIT83" s="248" t="str">
        <f t="shared" si="41"/>
        <v/>
      </c>
      <c r="CIU83" s="248" t="str">
        <f t="shared" si="41"/>
        <v/>
      </c>
      <c r="CIV83" s="248" t="str">
        <f t="shared" si="41"/>
        <v/>
      </c>
      <c r="CIW83" s="248" t="str">
        <f t="shared" si="41"/>
        <v/>
      </c>
      <c r="CIX83" s="248" t="str">
        <f t="shared" si="41"/>
        <v/>
      </c>
      <c r="CIY83" s="248" t="str">
        <f t="shared" si="41"/>
        <v/>
      </c>
      <c r="CIZ83" s="248" t="str">
        <f t="shared" si="41"/>
        <v/>
      </c>
      <c r="CJA83" s="248" t="str">
        <f t="shared" si="41"/>
        <v/>
      </c>
      <c r="CJB83" s="248" t="str">
        <f t="shared" si="41"/>
        <v/>
      </c>
      <c r="CJC83" s="248" t="str">
        <f t="shared" si="41"/>
        <v/>
      </c>
      <c r="CJD83" s="248" t="str">
        <f t="shared" si="41"/>
        <v/>
      </c>
      <c r="CJE83" s="248" t="str">
        <f t="shared" si="41"/>
        <v/>
      </c>
      <c r="CJF83" s="248" t="str">
        <f t="shared" si="41"/>
        <v/>
      </c>
      <c r="CJG83" s="248" t="str">
        <f t="shared" si="41"/>
        <v/>
      </c>
      <c r="CJH83" s="248" t="str">
        <f t="shared" si="41"/>
        <v/>
      </c>
      <c r="CJI83" s="248" t="str">
        <f t="shared" si="41"/>
        <v/>
      </c>
      <c r="CJJ83" s="248" t="str">
        <f t="shared" si="41"/>
        <v/>
      </c>
      <c r="CJK83" s="248" t="str">
        <f t="shared" si="41"/>
        <v/>
      </c>
      <c r="CJL83" s="248" t="str">
        <f t="shared" si="41"/>
        <v/>
      </c>
      <c r="CJM83" s="248" t="str">
        <f t="shared" si="41"/>
        <v/>
      </c>
      <c r="CJN83" s="248" t="str">
        <f t="shared" si="41"/>
        <v/>
      </c>
      <c r="CJO83" s="248" t="str">
        <f t="shared" si="41"/>
        <v/>
      </c>
      <c r="CJP83" s="248" t="str">
        <f t="shared" si="41"/>
        <v/>
      </c>
      <c r="CJQ83" s="248" t="str">
        <f t="shared" si="41"/>
        <v/>
      </c>
      <c r="CJR83" s="248" t="str">
        <f t="shared" si="41"/>
        <v/>
      </c>
      <c r="CJS83" s="248" t="str">
        <f t="shared" si="41"/>
        <v/>
      </c>
      <c r="CJT83" s="248" t="str">
        <f t="shared" si="41"/>
        <v/>
      </c>
      <c r="CJU83" s="248" t="str">
        <f t="shared" si="41"/>
        <v/>
      </c>
      <c r="CJV83" s="248" t="str">
        <f t="shared" si="41"/>
        <v/>
      </c>
      <c r="CJW83" s="248" t="str">
        <f t="shared" si="41"/>
        <v/>
      </c>
      <c r="CJX83" s="248" t="str">
        <f t="shared" si="41"/>
        <v/>
      </c>
      <c r="CJY83" s="248" t="str">
        <f t="shared" si="41"/>
        <v/>
      </c>
      <c r="CJZ83" s="248" t="str">
        <f t="shared" si="41"/>
        <v/>
      </c>
      <c r="CKA83" s="248" t="str">
        <f t="shared" si="41"/>
        <v/>
      </c>
      <c r="CKB83" s="248" t="str">
        <f t="shared" si="41"/>
        <v/>
      </c>
      <c r="CKC83" s="248" t="str">
        <f t="shared" si="41"/>
        <v/>
      </c>
      <c r="CKD83" s="248" t="str">
        <f t="shared" si="41"/>
        <v/>
      </c>
      <c r="CKE83" s="248" t="str">
        <f t="shared" si="41"/>
        <v/>
      </c>
      <c r="CKF83" s="248" t="str">
        <f t="shared" si="41"/>
        <v/>
      </c>
      <c r="CKG83" s="248" t="str">
        <f t="shared" si="41"/>
        <v/>
      </c>
      <c r="CKH83" s="248" t="str">
        <f t="shared" si="41"/>
        <v/>
      </c>
      <c r="CKI83" s="248" t="str">
        <f t="shared" si="41"/>
        <v/>
      </c>
      <c r="CKJ83" s="248" t="str">
        <f t="shared" si="41"/>
        <v/>
      </c>
      <c r="CKK83" s="248" t="str">
        <f t="shared" si="41"/>
        <v/>
      </c>
      <c r="CKL83" s="248" t="str">
        <f t="shared" si="41"/>
        <v/>
      </c>
      <c r="CKM83" s="248" t="str">
        <f t="shared" si="41"/>
        <v/>
      </c>
      <c r="CKN83" s="248" t="str">
        <f t="shared" si="41"/>
        <v/>
      </c>
      <c r="CKO83" s="248" t="str">
        <f t="shared" si="41"/>
        <v/>
      </c>
      <c r="CKP83" s="248" t="str">
        <f t="shared" si="41"/>
        <v/>
      </c>
      <c r="CKQ83" s="248" t="str">
        <f t="shared" si="41"/>
        <v/>
      </c>
      <c r="CKR83" s="248" t="str">
        <f t="shared" si="41"/>
        <v/>
      </c>
      <c r="CKS83" s="248" t="str">
        <f t="shared" si="41"/>
        <v/>
      </c>
      <c r="CKT83" s="248" t="str">
        <f t="shared" si="41"/>
        <v/>
      </c>
      <c r="CKU83" s="248" t="str">
        <f t="shared" ref="CKU83:CNF83" si="42">UPPER(CKS83)</f>
        <v/>
      </c>
      <c r="CKV83" s="248" t="str">
        <f t="shared" si="42"/>
        <v/>
      </c>
      <c r="CKW83" s="248" t="str">
        <f t="shared" si="42"/>
        <v/>
      </c>
      <c r="CKX83" s="248" t="str">
        <f t="shared" si="42"/>
        <v/>
      </c>
      <c r="CKY83" s="248" t="str">
        <f t="shared" si="42"/>
        <v/>
      </c>
      <c r="CKZ83" s="248" t="str">
        <f t="shared" si="42"/>
        <v/>
      </c>
      <c r="CLA83" s="248" t="str">
        <f t="shared" si="42"/>
        <v/>
      </c>
      <c r="CLB83" s="248" t="str">
        <f t="shared" si="42"/>
        <v/>
      </c>
      <c r="CLC83" s="248" t="str">
        <f t="shared" si="42"/>
        <v/>
      </c>
      <c r="CLD83" s="248" t="str">
        <f t="shared" si="42"/>
        <v/>
      </c>
      <c r="CLE83" s="248" t="str">
        <f t="shared" si="42"/>
        <v/>
      </c>
      <c r="CLF83" s="248" t="str">
        <f t="shared" si="42"/>
        <v/>
      </c>
      <c r="CLG83" s="248" t="str">
        <f t="shared" si="42"/>
        <v/>
      </c>
      <c r="CLH83" s="248" t="str">
        <f t="shared" si="42"/>
        <v/>
      </c>
      <c r="CLI83" s="248" t="str">
        <f t="shared" si="42"/>
        <v/>
      </c>
      <c r="CLJ83" s="248" t="str">
        <f t="shared" si="42"/>
        <v/>
      </c>
      <c r="CLK83" s="248" t="str">
        <f t="shared" si="42"/>
        <v/>
      </c>
      <c r="CLL83" s="248" t="str">
        <f t="shared" si="42"/>
        <v/>
      </c>
      <c r="CLM83" s="248" t="str">
        <f t="shared" si="42"/>
        <v/>
      </c>
      <c r="CLN83" s="248" t="str">
        <f t="shared" si="42"/>
        <v/>
      </c>
      <c r="CLO83" s="248" t="str">
        <f t="shared" si="42"/>
        <v/>
      </c>
      <c r="CLP83" s="248" t="str">
        <f t="shared" si="42"/>
        <v/>
      </c>
      <c r="CLQ83" s="248" t="str">
        <f t="shared" si="42"/>
        <v/>
      </c>
      <c r="CLR83" s="248" t="str">
        <f t="shared" si="42"/>
        <v/>
      </c>
      <c r="CLS83" s="248" t="str">
        <f t="shared" si="42"/>
        <v/>
      </c>
      <c r="CLT83" s="248" t="str">
        <f t="shared" si="42"/>
        <v/>
      </c>
      <c r="CLU83" s="248" t="str">
        <f t="shared" si="42"/>
        <v/>
      </c>
      <c r="CLV83" s="248" t="str">
        <f t="shared" si="42"/>
        <v/>
      </c>
      <c r="CLW83" s="248" t="str">
        <f t="shared" si="42"/>
        <v/>
      </c>
      <c r="CLX83" s="248" t="str">
        <f t="shared" si="42"/>
        <v/>
      </c>
      <c r="CLY83" s="248" t="str">
        <f t="shared" si="42"/>
        <v/>
      </c>
      <c r="CLZ83" s="248" t="str">
        <f t="shared" si="42"/>
        <v/>
      </c>
      <c r="CMA83" s="248" t="str">
        <f t="shared" si="42"/>
        <v/>
      </c>
      <c r="CMB83" s="248" t="str">
        <f t="shared" si="42"/>
        <v/>
      </c>
      <c r="CMC83" s="248" t="str">
        <f t="shared" si="42"/>
        <v/>
      </c>
      <c r="CMD83" s="248" t="str">
        <f t="shared" si="42"/>
        <v/>
      </c>
      <c r="CME83" s="248" t="str">
        <f t="shared" si="42"/>
        <v/>
      </c>
      <c r="CMF83" s="248" t="str">
        <f t="shared" si="42"/>
        <v/>
      </c>
      <c r="CMG83" s="248" t="str">
        <f t="shared" si="42"/>
        <v/>
      </c>
      <c r="CMH83" s="248" t="str">
        <f t="shared" si="42"/>
        <v/>
      </c>
      <c r="CMI83" s="248" t="str">
        <f t="shared" si="42"/>
        <v/>
      </c>
      <c r="CMJ83" s="248" t="str">
        <f t="shared" si="42"/>
        <v/>
      </c>
      <c r="CMK83" s="248" t="str">
        <f t="shared" si="42"/>
        <v/>
      </c>
      <c r="CML83" s="248" t="str">
        <f t="shared" si="42"/>
        <v/>
      </c>
      <c r="CMM83" s="248" t="str">
        <f t="shared" si="42"/>
        <v/>
      </c>
      <c r="CMN83" s="248" t="str">
        <f t="shared" si="42"/>
        <v/>
      </c>
      <c r="CMO83" s="248" t="str">
        <f t="shared" si="42"/>
        <v/>
      </c>
      <c r="CMP83" s="248" t="str">
        <f t="shared" si="42"/>
        <v/>
      </c>
      <c r="CMQ83" s="248" t="str">
        <f t="shared" si="42"/>
        <v/>
      </c>
      <c r="CMR83" s="248" t="str">
        <f t="shared" si="42"/>
        <v/>
      </c>
      <c r="CMS83" s="248" t="str">
        <f t="shared" si="42"/>
        <v/>
      </c>
      <c r="CMT83" s="248" t="str">
        <f t="shared" si="42"/>
        <v/>
      </c>
      <c r="CMU83" s="248" t="str">
        <f t="shared" si="42"/>
        <v/>
      </c>
      <c r="CMV83" s="248" t="str">
        <f t="shared" si="42"/>
        <v/>
      </c>
      <c r="CMW83" s="248" t="str">
        <f t="shared" si="42"/>
        <v/>
      </c>
      <c r="CMX83" s="248" t="str">
        <f t="shared" si="42"/>
        <v/>
      </c>
      <c r="CMY83" s="248" t="str">
        <f t="shared" si="42"/>
        <v/>
      </c>
      <c r="CMZ83" s="248" t="str">
        <f t="shared" si="42"/>
        <v/>
      </c>
      <c r="CNA83" s="248" t="str">
        <f t="shared" si="42"/>
        <v/>
      </c>
      <c r="CNB83" s="248" t="str">
        <f t="shared" si="42"/>
        <v/>
      </c>
      <c r="CNC83" s="248" t="str">
        <f t="shared" si="42"/>
        <v/>
      </c>
      <c r="CND83" s="248" t="str">
        <f t="shared" si="42"/>
        <v/>
      </c>
      <c r="CNE83" s="248" t="str">
        <f t="shared" si="42"/>
        <v/>
      </c>
      <c r="CNF83" s="248" t="str">
        <f t="shared" si="42"/>
        <v/>
      </c>
      <c r="CNG83" s="248" t="str">
        <f t="shared" ref="CNG83:CPR83" si="43">UPPER(CNE83)</f>
        <v/>
      </c>
      <c r="CNH83" s="248" t="str">
        <f t="shared" si="43"/>
        <v/>
      </c>
      <c r="CNI83" s="248" t="str">
        <f t="shared" si="43"/>
        <v/>
      </c>
      <c r="CNJ83" s="248" t="str">
        <f t="shared" si="43"/>
        <v/>
      </c>
      <c r="CNK83" s="248" t="str">
        <f t="shared" si="43"/>
        <v/>
      </c>
      <c r="CNL83" s="248" t="str">
        <f t="shared" si="43"/>
        <v/>
      </c>
      <c r="CNM83" s="248" t="str">
        <f t="shared" si="43"/>
        <v/>
      </c>
      <c r="CNN83" s="248" t="str">
        <f t="shared" si="43"/>
        <v/>
      </c>
      <c r="CNO83" s="248" t="str">
        <f t="shared" si="43"/>
        <v/>
      </c>
      <c r="CNP83" s="248" t="str">
        <f t="shared" si="43"/>
        <v/>
      </c>
      <c r="CNQ83" s="248" t="str">
        <f t="shared" si="43"/>
        <v/>
      </c>
      <c r="CNR83" s="248" t="str">
        <f t="shared" si="43"/>
        <v/>
      </c>
      <c r="CNS83" s="248" t="str">
        <f t="shared" si="43"/>
        <v/>
      </c>
      <c r="CNT83" s="248" t="str">
        <f t="shared" si="43"/>
        <v/>
      </c>
      <c r="CNU83" s="248" t="str">
        <f t="shared" si="43"/>
        <v/>
      </c>
      <c r="CNV83" s="248" t="str">
        <f t="shared" si="43"/>
        <v/>
      </c>
      <c r="CNW83" s="248" t="str">
        <f t="shared" si="43"/>
        <v/>
      </c>
      <c r="CNX83" s="248" t="str">
        <f t="shared" si="43"/>
        <v/>
      </c>
      <c r="CNY83" s="248" t="str">
        <f t="shared" si="43"/>
        <v/>
      </c>
      <c r="CNZ83" s="248" t="str">
        <f t="shared" si="43"/>
        <v/>
      </c>
      <c r="COA83" s="248" t="str">
        <f t="shared" si="43"/>
        <v/>
      </c>
      <c r="COB83" s="248" t="str">
        <f t="shared" si="43"/>
        <v/>
      </c>
      <c r="COC83" s="248" t="str">
        <f t="shared" si="43"/>
        <v/>
      </c>
      <c r="COD83" s="248" t="str">
        <f t="shared" si="43"/>
        <v/>
      </c>
      <c r="COE83" s="248" t="str">
        <f t="shared" si="43"/>
        <v/>
      </c>
      <c r="COF83" s="248" t="str">
        <f t="shared" si="43"/>
        <v/>
      </c>
      <c r="COG83" s="248" t="str">
        <f t="shared" si="43"/>
        <v/>
      </c>
      <c r="COH83" s="248" t="str">
        <f t="shared" si="43"/>
        <v/>
      </c>
      <c r="COI83" s="248" t="str">
        <f t="shared" si="43"/>
        <v/>
      </c>
      <c r="COJ83" s="248" t="str">
        <f t="shared" si="43"/>
        <v/>
      </c>
      <c r="COK83" s="248" t="str">
        <f t="shared" si="43"/>
        <v/>
      </c>
      <c r="COL83" s="248" t="str">
        <f t="shared" si="43"/>
        <v/>
      </c>
      <c r="COM83" s="248" t="str">
        <f t="shared" si="43"/>
        <v/>
      </c>
      <c r="CON83" s="248" t="str">
        <f t="shared" si="43"/>
        <v/>
      </c>
      <c r="COO83" s="248" t="str">
        <f t="shared" si="43"/>
        <v/>
      </c>
      <c r="COP83" s="248" t="str">
        <f t="shared" si="43"/>
        <v/>
      </c>
      <c r="COQ83" s="248" t="str">
        <f t="shared" si="43"/>
        <v/>
      </c>
      <c r="COR83" s="248" t="str">
        <f t="shared" si="43"/>
        <v/>
      </c>
      <c r="COS83" s="248" t="str">
        <f t="shared" si="43"/>
        <v/>
      </c>
      <c r="COT83" s="248" t="str">
        <f t="shared" si="43"/>
        <v/>
      </c>
      <c r="COU83" s="248" t="str">
        <f t="shared" si="43"/>
        <v/>
      </c>
      <c r="COV83" s="248" t="str">
        <f t="shared" si="43"/>
        <v/>
      </c>
      <c r="COW83" s="248" t="str">
        <f t="shared" si="43"/>
        <v/>
      </c>
      <c r="COX83" s="248" t="str">
        <f t="shared" si="43"/>
        <v/>
      </c>
      <c r="COY83" s="248" t="str">
        <f t="shared" si="43"/>
        <v/>
      </c>
      <c r="COZ83" s="248" t="str">
        <f t="shared" si="43"/>
        <v/>
      </c>
      <c r="CPA83" s="248" t="str">
        <f t="shared" si="43"/>
        <v/>
      </c>
      <c r="CPB83" s="248" t="str">
        <f t="shared" si="43"/>
        <v/>
      </c>
      <c r="CPC83" s="248" t="str">
        <f t="shared" si="43"/>
        <v/>
      </c>
      <c r="CPD83" s="248" t="str">
        <f t="shared" si="43"/>
        <v/>
      </c>
      <c r="CPE83" s="248" t="str">
        <f t="shared" si="43"/>
        <v/>
      </c>
      <c r="CPF83" s="248" t="str">
        <f t="shared" si="43"/>
        <v/>
      </c>
      <c r="CPG83" s="248" t="str">
        <f t="shared" si="43"/>
        <v/>
      </c>
      <c r="CPH83" s="248" t="str">
        <f t="shared" si="43"/>
        <v/>
      </c>
      <c r="CPI83" s="248" t="str">
        <f t="shared" si="43"/>
        <v/>
      </c>
      <c r="CPJ83" s="248" t="str">
        <f t="shared" si="43"/>
        <v/>
      </c>
      <c r="CPK83" s="248" t="str">
        <f t="shared" si="43"/>
        <v/>
      </c>
      <c r="CPL83" s="248" t="str">
        <f t="shared" si="43"/>
        <v/>
      </c>
      <c r="CPM83" s="248" t="str">
        <f t="shared" si="43"/>
        <v/>
      </c>
      <c r="CPN83" s="248" t="str">
        <f t="shared" si="43"/>
        <v/>
      </c>
      <c r="CPO83" s="248" t="str">
        <f t="shared" si="43"/>
        <v/>
      </c>
      <c r="CPP83" s="248" t="str">
        <f t="shared" si="43"/>
        <v/>
      </c>
      <c r="CPQ83" s="248" t="str">
        <f t="shared" si="43"/>
        <v/>
      </c>
      <c r="CPR83" s="248" t="str">
        <f t="shared" si="43"/>
        <v/>
      </c>
      <c r="CPS83" s="248" t="str">
        <f t="shared" ref="CPS83:CSD83" si="44">UPPER(CPQ83)</f>
        <v/>
      </c>
      <c r="CPT83" s="248" t="str">
        <f t="shared" si="44"/>
        <v/>
      </c>
      <c r="CPU83" s="248" t="str">
        <f t="shared" si="44"/>
        <v/>
      </c>
      <c r="CPV83" s="248" t="str">
        <f t="shared" si="44"/>
        <v/>
      </c>
      <c r="CPW83" s="248" t="str">
        <f t="shared" si="44"/>
        <v/>
      </c>
      <c r="CPX83" s="248" t="str">
        <f t="shared" si="44"/>
        <v/>
      </c>
      <c r="CPY83" s="248" t="str">
        <f t="shared" si="44"/>
        <v/>
      </c>
      <c r="CPZ83" s="248" t="str">
        <f t="shared" si="44"/>
        <v/>
      </c>
      <c r="CQA83" s="248" t="str">
        <f t="shared" si="44"/>
        <v/>
      </c>
      <c r="CQB83" s="248" t="str">
        <f t="shared" si="44"/>
        <v/>
      </c>
      <c r="CQC83" s="248" t="str">
        <f t="shared" si="44"/>
        <v/>
      </c>
      <c r="CQD83" s="248" t="str">
        <f t="shared" si="44"/>
        <v/>
      </c>
      <c r="CQE83" s="248" t="str">
        <f t="shared" si="44"/>
        <v/>
      </c>
      <c r="CQF83" s="248" t="str">
        <f t="shared" si="44"/>
        <v/>
      </c>
      <c r="CQG83" s="248" t="str">
        <f t="shared" si="44"/>
        <v/>
      </c>
      <c r="CQH83" s="248" t="str">
        <f t="shared" si="44"/>
        <v/>
      </c>
      <c r="CQI83" s="248" t="str">
        <f t="shared" si="44"/>
        <v/>
      </c>
      <c r="CQJ83" s="248" t="str">
        <f t="shared" si="44"/>
        <v/>
      </c>
      <c r="CQK83" s="248" t="str">
        <f t="shared" si="44"/>
        <v/>
      </c>
      <c r="CQL83" s="248" t="str">
        <f t="shared" si="44"/>
        <v/>
      </c>
      <c r="CQM83" s="248" t="str">
        <f t="shared" si="44"/>
        <v/>
      </c>
      <c r="CQN83" s="248" t="str">
        <f t="shared" si="44"/>
        <v/>
      </c>
      <c r="CQO83" s="248" t="str">
        <f t="shared" si="44"/>
        <v/>
      </c>
      <c r="CQP83" s="248" t="str">
        <f t="shared" si="44"/>
        <v/>
      </c>
      <c r="CQQ83" s="248" t="str">
        <f t="shared" si="44"/>
        <v/>
      </c>
      <c r="CQR83" s="248" t="str">
        <f t="shared" si="44"/>
        <v/>
      </c>
      <c r="CQS83" s="248" t="str">
        <f t="shared" si="44"/>
        <v/>
      </c>
      <c r="CQT83" s="248" t="str">
        <f t="shared" si="44"/>
        <v/>
      </c>
      <c r="CQU83" s="248" t="str">
        <f t="shared" si="44"/>
        <v/>
      </c>
      <c r="CQV83" s="248" t="str">
        <f t="shared" si="44"/>
        <v/>
      </c>
      <c r="CQW83" s="248" t="str">
        <f t="shared" si="44"/>
        <v/>
      </c>
      <c r="CQX83" s="248" t="str">
        <f t="shared" si="44"/>
        <v/>
      </c>
      <c r="CQY83" s="248" t="str">
        <f t="shared" si="44"/>
        <v/>
      </c>
      <c r="CQZ83" s="248" t="str">
        <f t="shared" si="44"/>
        <v/>
      </c>
      <c r="CRA83" s="248" t="str">
        <f t="shared" si="44"/>
        <v/>
      </c>
      <c r="CRB83" s="248" t="str">
        <f t="shared" si="44"/>
        <v/>
      </c>
      <c r="CRC83" s="248" t="str">
        <f t="shared" si="44"/>
        <v/>
      </c>
      <c r="CRD83" s="248" t="str">
        <f t="shared" si="44"/>
        <v/>
      </c>
      <c r="CRE83" s="248" t="str">
        <f t="shared" si="44"/>
        <v/>
      </c>
      <c r="CRF83" s="248" t="str">
        <f t="shared" si="44"/>
        <v/>
      </c>
      <c r="CRG83" s="248" t="str">
        <f t="shared" si="44"/>
        <v/>
      </c>
      <c r="CRH83" s="248" t="str">
        <f t="shared" si="44"/>
        <v/>
      </c>
      <c r="CRI83" s="248" t="str">
        <f t="shared" si="44"/>
        <v/>
      </c>
      <c r="CRJ83" s="248" t="str">
        <f t="shared" si="44"/>
        <v/>
      </c>
      <c r="CRK83" s="248" t="str">
        <f t="shared" si="44"/>
        <v/>
      </c>
      <c r="CRL83" s="248" t="str">
        <f t="shared" si="44"/>
        <v/>
      </c>
      <c r="CRM83" s="248" t="str">
        <f t="shared" si="44"/>
        <v/>
      </c>
      <c r="CRN83" s="248" t="str">
        <f t="shared" si="44"/>
        <v/>
      </c>
      <c r="CRO83" s="248" t="str">
        <f t="shared" si="44"/>
        <v/>
      </c>
      <c r="CRP83" s="248" t="str">
        <f t="shared" si="44"/>
        <v/>
      </c>
      <c r="CRQ83" s="248" t="str">
        <f t="shared" si="44"/>
        <v/>
      </c>
      <c r="CRR83" s="248" t="str">
        <f t="shared" si="44"/>
        <v/>
      </c>
      <c r="CRS83" s="248" t="str">
        <f t="shared" si="44"/>
        <v/>
      </c>
      <c r="CRT83" s="248" t="str">
        <f t="shared" si="44"/>
        <v/>
      </c>
      <c r="CRU83" s="248" t="str">
        <f t="shared" si="44"/>
        <v/>
      </c>
      <c r="CRV83" s="248" t="str">
        <f t="shared" si="44"/>
        <v/>
      </c>
      <c r="CRW83" s="248" t="str">
        <f t="shared" si="44"/>
        <v/>
      </c>
      <c r="CRX83" s="248" t="str">
        <f t="shared" si="44"/>
        <v/>
      </c>
      <c r="CRY83" s="248" t="str">
        <f t="shared" si="44"/>
        <v/>
      </c>
      <c r="CRZ83" s="248" t="str">
        <f t="shared" si="44"/>
        <v/>
      </c>
      <c r="CSA83" s="248" t="str">
        <f t="shared" si="44"/>
        <v/>
      </c>
      <c r="CSB83" s="248" t="str">
        <f t="shared" si="44"/>
        <v/>
      </c>
      <c r="CSC83" s="248" t="str">
        <f t="shared" si="44"/>
        <v/>
      </c>
      <c r="CSD83" s="248" t="str">
        <f t="shared" si="44"/>
        <v/>
      </c>
      <c r="CSE83" s="248" t="str">
        <f t="shared" ref="CSE83:CUP83" si="45">UPPER(CSC83)</f>
        <v/>
      </c>
      <c r="CSF83" s="248" t="str">
        <f t="shared" si="45"/>
        <v/>
      </c>
      <c r="CSG83" s="248" t="str">
        <f t="shared" si="45"/>
        <v/>
      </c>
      <c r="CSH83" s="248" t="str">
        <f t="shared" si="45"/>
        <v/>
      </c>
      <c r="CSI83" s="248" t="str">
        <f t="shared" si="45"/>
        <v/>
      </c>
      <c r="CSJ83" s="248" t="str">
        <f t="shared" si="45"/>
        <v/>
      </c>
      <c r="CSK83" s="248" t="str">
        <f t="shared" si="45"/>
        <v/>
      </c>
      <c r="CSL83" s="248" t="str">
        <f t="shared" si="45"/>
        <v/>
      </c>
      <c r="CSM83" s="248" t="str">
        <f t="shared" si="45"/>
        <v/>
      </c>
      <c r="CSN83" s="248" t="str">
        <f t="shared" si="45"/>
        <v/>
      </c>
      <c r="CSO83" s="248" t="str">
        <f t="shared" si="45"/>
        <v/>
      </c>
      <c r="CSP83" s="248" t="str">
        <f t="shared" si="45"/>
        <v/>
      </c>
      <c r="CSQ83" s="248" t="str">
        <f t="shared" si="45"/>
        <v/>
      </c>
      <c r="CSR83" s="248" t="str">
        <f t="shared" si="45"/>
        <v/>
      </c>
      <c r="CSS83" s="248" t="str">
        <f t="shared" si="45"/>
        <v/>
      </c>
      <c r="CST83" s="248" t="str">
        <f t="shared" si="45"/>
        <v/>
      </c>
      <c r="CSU83" s="248" t="str">
        <f t="shared" si="45"/>
        <v/>
      </c>
      <c r="CSV83" s="248" t="str">
        <f t="shared" si="45"/>
        <v/>
      </c>
      <c r="CSW83" s="248" t="str">
        <f t="shared" si="45"/>
        <v/>
      </c>
      <c r="CSX83" s="248" t="str">
        <f t="shared" si="45"/>
        <v/>
      </c>
      <c r="CSY83" s="248" t="str">
        <f t="shared" si="45"/>
        <v/>
      </c>
      <c r="CSZ83" s="248" t="str">
        <f t="shared" si="45"/>
        <v/>
      </c>
      <c r="CTA83" s="248" t="str">
        <f t="shared" si="45"/>
        <v/>
      </c>
      <c r="CTB83" s="248" t="str">
        <f t="shared" si="45"/>
        <v/>
      </c>
      <c r="CTC83" s="248" t="str">
        <f t="shared" si="45"/>
        <v/>
      </c>
      <c r="CTD83" s="248" t="str">
        <f t="shared" si="45"/>
        <v/>
      </c>
      <c r="CTE83" s="248" t="str">
        <f t="shared" si="45"/>
        <v/>
      </c>
      <c r="CTF83" s="248" t="str">
        <f t="shared" si="45"/>
        <v/>
      </c>
      <c r="CTG83" s="248" t="str">
        <f t="shared" si="45"/>
        <v/>
      </c>
      <c r="CTH83" s="248" t="str">
        <f t="shared" si="45"/>
        <v/>
      </c>
      <c r="CTI83" s="248" t="str">
        <f t="shared" si="45"/>
        <v/>
      </c>
      <c r="CTJ83" s="248" t="str">
        <f t="shared" si="45"/>
        <v/>
      </c>
      <c r="CTK83" s="248" t="str">
        <f t="shared" si="45"/>
        <v/>
      </c>
      <c r="CTL83" s="248" t="str">
        <f t="shared" si="45"/>
        <v/>
      </c>
      <c r="CTM83" s="248" t="str">
        <f t="shared" si="45"/>
        <v/>
      </c>
      <c r="CTN83" s="248" t="str">
        <f t="shared" si="45"/>
        <v/>
      </c>
      <c r="CTO83" s="248" t="str">
        <f t="shared" si="45"/>
        <v/>
      </c>
      <c r="CTP83" s="248" t="str">
        <f t="shared" si="45"/>
        <v/>
      </c>
      <c r="CTQ83" s="248" t="str">
        <f t="shared" si="45"/>
        <v/>
      </c>
      <c r="CTR83" s="248" t="str">
        <f t="shared" si="45"/>
        <v/>
      </c>
      <c r="CTS83" s="248" t="str">
        <f t="shared" si="45"/>
        <v/>
      </c>
      <c r="CTT83" s="248" t="str">
        <f t="shared" si="45"/>
        <v/>
      </c>
      <c r="CTU83" s="248" t="str">
        <f t="shared" si="45"/>
        <v/>
      </c>
      <c r="CTV83" s="248" t="str">
        <f t="shared" si="45"/>
        <v/>
      </c>
      <c r="CTW83" s="248" t="str">
        <f t="shared" si="45"/>
        <v/>
      </c>
      <c r="CTX83" s="248" t="str">
        <f t="shared" si="45"/>
        <v/>
      </c>
      <c r="CTY83" s="248" t="str">
        <f t="shared" si="45"/>
        <v/>
      </c>
      <c r="CTZ83" s="248" t="str">
        <f t="shared" si="45"/>
        <v/>
      </c>
      <c r="CUA83" s="248" t="str">
        <f t="shared" si="45"/>
        <v/>
      </c>
      <c r="CUB83" s="248" t="str">
        <f t="shared" si="45"/>
        <v/>
      </c>
      <c r="CUC83" s="248" t="str">
        <f t="shared" si="45"/>
        <v/>
      </c>
      <c r="CUD83" s="248" t="str">
        <f t="shared" si="45"/>
        <v/>
      </c>
      <c r="CUE83" s="248" t="str">
        <f t="shared" si="45"/>
        <v/>
      </c>
      <c r="CUF83" s="248" t="str">
        <f t="shared" si="45"/>
        <v/>
      </c>
      <c r="CUG83" s="248" t="str">
        <f t="shared" si="45"/>
        <v/>
      </c>
      <c r="CUH83" s="248" t="str">
        <f t="shared" si="45"/>
        <v/>
      </c>
      <c r="CUI83" s="248" t="str">
        <f t="shared" si="45"/>
        <v/>
      </c>
      <c r="CUJ83" s="248" t="str">
        <f t="shared" si="45"/>
        <v/>
      </c>
      <c r="CUK83" s="248" t="str">
        <f t="shared" si="45"/>
        <v/>
      </c>
      <c r="CUL83" s="248" t="str">
        <f t="shared" si="45"/>
        <v/>
      </c>
      <c r="CUM83" s="248" t="str">
        <f t="shared" si="45"/>
        <v/>
      </c>
      <c r="CUN83" s="248" t="str">
        <f t="shared" si="45"/>
        <v/>
      </c>
      <c r="CUO83" s="248" t="str">
        <f t="shared" si="45"/>
        <v/>
      </c>
      <c r="CUP83" s="248" t="str">
        <f t="shared" si="45"/>
        <v/>
      </c>
      <c r="CUQ83" s="248" t="str">
        <f t="shared" ref="CUQ83:CXB83" si="46">UPPER(CUO83)</f>
        <v/>
      </c>
      <c r="CUR83" s="248" t="str">
        <f t="shared" si="46"/>
        <v/>
      </c>
      <c r="CUS83" s="248" t="str">
        <f t="shared" si="46"/>
        <v/>
      </c>
      <c r="CUT83" s="248" t="str">
        <f t="shared" si="46"/>
        <v/>
      </c>
      <c r="CUU83" s="248" t="str">
        <f t="shared" si="46"/>
        <v/>
      </c>
      <c r="CUV83" s="248" t="str">
        <f t="shared" si="46"/>
        <v/>
      </c>
      <c r="CUW83" s="248" t="str">
        <f t="shared" si="46"/>
        <v/>
      </c>
      <c r="CUX83" s="248" t="str">
        <f t="shared" si="46"/>
        <v/>
      </c>
      <c r="CUY83" s="248" t="str">
        <f t="shared" si="46"/>
        <v/>
      </c>
      <c r="CUZ83" s="248" t="str">
        <f t="shared" si="46"/>
        <v/>
      </c>
      <c r="CVA83" s="248" t="str">
        <f t="shared" si="46"/>
        <v/>
      </c>
      <c r="CVB83" s="248" t="str">
        <f t="shared" si="46"/>
        <v/>
      </c>
      <c r="CVC83" s="248" t="str">
        <f t="shared" si="46"/>
        <v/>
      </c>
      <c r="CVD83" s="248" t="str">
        <f t="shared" si="46"/>
        <v/>
      </c>
      <c r="CVE83" s="248" t="str">
        <f t="shared" si="46"/>
        <v/>
      </c>
      <c r="CVF83" s="248" t="str">
        <f t="shared" si="46"/>
        <v/>
      </c>
      <c r="CVG83" s="248" t="str">
        <f t="shared" si="46"/>
        <v/>
      </c>
      <c r="CVH83" s="248" t="str">
        <f t="shared" si="46"/>
        <v/>
      </c>
      <c r="CVI83" s="248" t="str">
        <f t="shared" si="46"/>
        <v/>
      </c>
      <c r="CVJ83" s="248" t="str">
        <f t="shared" si="46"/>
        <v/>
      </c>
      <c r="CVK83" s="248" t="str">
        <f t="shared" si="46"/>
        <v/>
      </c>
      <c r="CVL83" s="248" t="str">
        <f t="shared" si="46"/>
        <v/>
      </c>
      <c r="CVM83" s="248" t="str">
        <f t="shared" si="46"/>
        <v/>
      </c>
      <c r="CVN83" s="248" t="str">
        <f t="shared" si="46"/>
        <v/>
      </c>
      <c r="CVO83" s="248" t="str">
        <f t="shared" si="46"/>
        <v/>
      </c>
      <c r="CVP83" s="248" t="str">
        <f t="shared" si="46"/>
        <v/>
      </c>
      <c r="CVQ83" s="248" t="str">
        <f t="shared" si="46"/>
        <v/>
      </c>
      <c r="CVR83" s="248" t="str">
        <f t="shared" si="46"/>
        <v/>
      </c>
      <c r="CVS83" s="248" t="str">
        <f t="shared" si="46"/>
        <v/>
      </c>
      <c r="CVT83" s="248" t="str">
        <f t="shared" si="46"/>
        <v/>
      </c>
      <c r="CVU83" s="248" t="str">
        <f t="shared" si="46"/>
        <v/>
      </c>
      <c r="CVV83" s="248" t="str">
        <f t="shared" si="46"/>
        <v/>
      </c>
      <c r="CVW83" s="248" t="str">
        <f t="shared" si="46"/>
        <v/>
      </c>
      <c r="CVX83" s="248" t="str">
        <f t="shared" si="46"/>
        <v/>
      </c>
      <c r="CVY83" s="248" t="str">
        <f t="shared" si="46"/>
        <v/>
      </c>
      <c r="CVZ83" s="248" t="str">
        <f t="shared" si="46"/>
        <v/>
      </c>
      <c r="CWA83" s="248" t="str">
        <f t="shared" si="46"/>
        <v/>
      </c>
      <c r="CWB83" s="248" t="str">
        <f t="shared" si="46"/>
        <v/>
      </c>
      <c r="CWC83" s="248" t="str">
        <f t="shared" si="46"/>
        <v/>
      </c>
      <c r="CWD83" s="248" t="str">
        <f t="shared" si="46"/>
        <v/>
      </c>
      <c r="CWE83" s="248" t="str">
        <f t="shared" si="46"/>
        <v/>
      </c>
      <c r="CWF83" s="248" t="str">
        <f t="shared" si="46"/>
        <v/>
      </c>
      <c r="CWG83" s="248" t="str">
        <f t="shared" si="46"/>
        <v/>
      </c>
      <c r="CWH83" s="248" t="str">
        <f t="shared" si="46"/>
        <v/>
      </c>
      <c r="CWI83" s="248" t="str">
        <f t="shared" si="46"/>
        <v/>
      </c>
      <c r="CWJ83" s="248" t="str">
        <f t="shared" si="46"/>
        <v/>
      </c>
      <c r="CWK83" s="248" t="str">
        <f t="shared" si="46"/>
        <v/>
      </c>
      <c r="CWL83" s="248" t="str">
        <f t="shared" si="46"/>
        <v/>
      </c>
      <c r="CWM83" s="248" t="str">
        <f t="shared" si="46"/>
        <v/>
      </c>
      <c r="CWN83" s="248" t="str">
        <f t="shared" si="46"/>
        <v/>
      </c>
      <c r="CWO83" s="248" t="str">
        <f t="shared" si="46"/>
        <v/>
      </c>
      <c r="CWP83" s="248" t="str">
        <f t="shared" si="46"/>
        <v/>
      </c>
      <c r="CWQ83" s="248" t="str">
        <f t="shared" si="46"/>
        <v/>
      </c>
      <c r="CWR83" s="248" t="str">
        <f t="shared" si="46"/>
        <v/>
      </c>
      <c r="CWS83" s="248" t="str">
        <f t="shared" si="46"/>
        <v/>
      </c>
      <c r="CWT83" s="248" t="str">
        <f t="shared" si="46"/>
        <v/>
      </c>
      <c r="CWU83" s="248" t="str">
        <f t="shared" si="46"/>
        <v/>
      </c>
      <c r="CWV83" s="248" t="str">
        <f t="shared" si="46"/>
        <v/>
      </c>
      <c r="CWW83" s="248" t="str">
        <f t="shared" si="46"/>
        <v/>
      </c>
      <c r="CWX83" s="248" t="str">
        <f t="shared" si="46"/>
        <v/>
      </c>
      <c r="CWY83" s="248" t="str">
        <f t="shared" si="46"/>
        <v/>
      </c>
      <c r="CWZ83" s="248" t="str">
        <f t="shared" si="46"/>
        <v/>
      </c>
      <c r="CXA83" s="248" t="str">
        <f t="shared" si="46"/>
        <v/>
      </c>
      <c r="CXB83" s="248" t="str">
        <f t="shared" si="46"/>
        <v/>
      </c>
      <c r="CXC83" s="248" t="str">
        <f t="shared" ref="CXC83:CZN83" si="47">UPPER(CXA83)</f>
        <v/>
      </c>
      <c r="CXD83" s="248" t="str">
        <f t="shared" si="47"/>
        <v/>
      </c>
      <c r="CXE83" s="248" t="str">
        <f t="shared" si="47"/>
        <v/>
      </c>
      <c r="CXF83" s="248" t="str">
        <f t="shared" si="47"/>
        <v/>
      </c>
      <c r="CXG83" s="248" t="str">
        <f t="shared" si="47"/>
        <v/>
      </c>
      <c r="CXH83" s="248" t="str">
        <f t="shared" si="47"/>
        <v/>
      </c>
      <c r="CXI83" s="248" t="str">
        <f t="shared" si="47"/>
        <v/>
      </c>
      <c r="CXJ83" s="248" t="str">
        <f t="shared" si="47"/>
        <v/>
      </c>
      <c r="CXK83" s="248" t="str">
        <f t="shared" si="47"/>
        <v/>
      </c>
      <c r="CXL83" s="248" t="str">
        <f t="shared" si="47"/>
        <v/>
      </c>
      <c r="CXM83" s="248" t="str">
        <f t="shared" si="47"/>
        <v/>
      </c>
      <c r="CXN83" s="248" t="str">
        <f t="shared" si="47"/>
        <v/>
      </c>
      <c r="CXO83" s="248" t="str">
        <f t="shared" si="47"/>
        <v/>
      </c>
      <c r="CXP83" s="248" t="str">
        <f t="shared" si="47"/>
        <v/>
      </c>
      <c r="CXQ83" s="248" t="str">
        <f t="shared" si="47"/>
        <v/>
      </c>
      <c r="CXR83" s="248" t="str">
        <f t="shared" si="47"/>
        <v/>
      </c>
      <c r="CXS83" s="248" t="str">
        <f t="shared" si="47"/>
        <v/>
      </c>
      <c r="CXT83" s="248" t="str">
        <f t="shared" si="47"/>
        <v/>
      </c>
      <c r="CXU83" s="248" t="str">
        <f t="shared" si="47"/>
        <v/>
      </c>
      <c r="CXV83" s="248" t="str">
        <f t="shared" si="47"/>
        <v/>
      </c>
      <c r="CXW83" s="248" t="str">
        <f t="shared" si="47"/>
        <v/>
      </c>
      <c r="CXX83" s="248" t="str">
        <f t="shared" si="47"/>
        <v/>
      </c>
      <c r="CXY83" s="248" t="str">
        <f t="shared" si="47"/>
        <v/>
      </c>
      <c r="CXZ83" s="248" t="str">
        <f t="shared" si="47"/>
        <v/>
      </c>
      <c r="CYA83" s="248" t="str">
        <f t="shared" si="47"/>
        <v/>
      </c>
      <c r="CYB83" s="248" t="str">
        <f t="shared" si="47"/>
        <v/>
      </c>
      <c r="CYC83" s="248" t="str">
        <f t="shared" si="47"/>
        <v/>
      </c>
      <c r="CYD83" s="248" t="str">
        <f t="shared" si="47"/>
        <v/>
      </c>
      <c r="CYE83" s="248" t="str">
        <f t="shared" si="47"/>
        <v/>
      </c>
      <c r="CYF83" s="248" t="str">
        <f t="shared" si="47"/>
        <v/>
      </c>
      <c r="CYG83" s="248" t="str">
        <f t="shared" si="47"/>
        <v/>
      </c>
      <c r="CYH83" s="248" t="str">
        <f t="shared" si="47"/>
        <v/>
      </c>
      <c r="CYI83" s="248" t="str">
        <f t="shared" si="47"/>
        <v/>
      </c>
      <c r="CYJ83" s="248" t="str">
        <f t="shared" si="47"/>
        <v/>
      </c>
      <c r="CYK83" s="248" t="str">
        <f t="shared" si="47"/>
        <v/>
      </c>
      <c r="CYL83" s="248" t="str">
        <f t="shared" si="47"/>
        <v/>
      </c>
      <c r="CYM83" s="248" t="str">
        <f t="shared" si="47"/>
        <v/>
      </c>
      <c r="CYN83" s="248" t="str">
        <f t="shared" si="47"/>
        <v/>
      </c>
      <c r="CYO83" s="248" t="str">
        <f t="shared" si="47"/>
        <v/>
      </c>
      <c r="CYP83" s="248" t="str">
        <f t="shared" si="47"/>
        <v/>
      </c>
      <c r="CYQ83" s="248" t="str">
        <f t="shared" si="47"/>
        <v/>
      </c>
      <c r="CYR83" s="248" t="str">
        <f t="shared" si="47"/>
        <v/>
      </c>
      <c r="CYS83" s="248" t="str">
        <f t="shared" si="47"/>
        <v/>
      </c>
      <c r="CYT83" s="248" t="str">
        <f t="shared" si="47"/>
        <v/>
      </c>
      <c r="CYU83" s="248" t="str">
        <f t="shared" si="47"/>
        <v/>
      </c>
      <c r="CYV83" s="248" t="str">
        <f t="shared" si="47"/>
        <v/>
      </c>
      <c r="CYW83" s="248" t="str">
        <f t="shared" si="47"/>
        <v/>
      </c>
      <c r="CYX83" s="248" t="str">
        <f t="shared" si="47"/>
        <v/>
      </c>
      <c r="CYY83" s="248" t="str">
        <f t="shared" si="47"/>
        <v/>
      </c>
      <c r="CYZ83" s="248" t="str">
        <f t="shared" si="47"/>
        <v/>
      </c>
      <c r="CZA83" s="248" t="str">
        <f t="shared" si="47"/>
        <v/>
      </c>
      <c r="CZB83" s="248" t="str">
        <f t="shared" si="47"/>
        <v/>
      </c>
      <c r="CZC83" s="248" t="str">
        <f t="shared" si="47"/>
        <v/>
      </c>
      <c r="CZD83" s="248" t="str">
        <f t="shared" si="47"/>
        <v/>
      </c>
      <c r="CZE83" s="248" t="str">
        <f t="shared" si="47"/>
        <v/>
      </c>
      <c r="CZF83" s="248" t="str">
        <f t="shared" si="47"/>
        <v/>
      </c>
      <c r="CZG83" s="248" t="str">
        <f t="shared" si="47"/>
        <v/>
      </c>
      <c r="CZH83" s="248" t="str">
        <f t="shared" si="47"/>
        <v/>
      </c>
      <c r="CZI83" s="248" t="str">
        <f t="shared" si="47"/>
        <v/>
      </c>
      <c r="CZJ83" s="248" t="str">
        <f t="shared" si="47"/>
        <v/>
      </c>
      <c r="CZK83" s="248" t="str">
        <f t="shared" si="47"/>
        <v/>
      </c>
      <c r="CZL83" s="248" t="str">
        <f t="shared" si="47"/>
        <v/>
      </c>
      <c r="CZM83" s="248" t="str">
        <f t="shared" si="47"/>
        <v/>
      </c>
      <c r="CZN83" s="248" t="str">
        <f t="shared" si="47"/>
        <v/>
      </c>
      <c r="CZO83" s="248" t="str">
        <f t="shared" ref="CZO83:DBZ83" si="48">UPPER(CZM83)</f>
        <v/>
      </c>
      <c r="CZP83" s="248" t="str">
        <f t="shared" si="48"/>
        <v/>
      </c>
      <c r="CZQ83" s="248" t="str">
        <f t="shared" si="48"/>
        <v/>
      </c>
      <c r="CZR83" s="248" t="str">
        <f t="shared" si="48"/>
        <v/>
      </c>
      <c r="CZS83" s="248" t="str">
        <f t="shared" si="48"/>
        <v/>
      </c>
      <c r="CZT83" s="248" t="str">
        <f t="shared" si="48"/>
        <v/>
      </c>
      <c r="CZU83" s="248" t="str">
        <f t="shared" si="48"/>
        <v/>
      </c>
      <c r="CZV83" s="248" t="str">
        <f t="shared" si="48"/>
        <v/>
      </c>
      <c r="CZW83" s="248" t="str">
        <f t="shared" si="48"/>
        <v/>
      </c>
      <c r="CZX83" s="248" t="str">
        <f t="shared" si="48"/>
        <v/>
      </c>
      <c r="CZY83" s="248" t="str">
        <f t="shared" si="48"/>
        <v/>
      </c>
      <c r="CZZ83" s="248" t="str">
        <f t="shared" si="48"/>
        <v/>
      </c>
      <c r="DAA83" s="248" t="str">
        <f t="shared" si="48"/>
        <v/>
      </c>
      <c r="DAB83" s="248" t="str">
        <f t="shared" si="48"/>
        <v/>
      </c>
      <c r="DAC83" s="248" t="str">
        <f t="shared" si="48"/>
        <v/>
      </c>
      <c r="DAD83" s="248" t="str">
        <f t="shared" si="48"/>
        <v/>
      </c>
      <c r="DAE83" s="248" t="str">
        <f t="shared" si="48"/>
        <v/>
      </c>
      <c r="DAF83" s="248" t="str">
        <f t="shared" si="48"/>
        <v/>
      </c>
      <c r="DAG83" s="248" t="str">
        <f t="shared" si="48"/>
        <v/>
      </c>
      <c r="DAH83" s="248" t="str">
        <f t="shared" si="48"/>
        <v/>
      </c>
      <c r="DAI83" s="248" t="str">
        <f t="shared" si="48"/>
        <v/>
      </c>
      <c r="DAJ83" s="248" t="str">
        <f t="shared" si="48"/>
        <v/>
      </c>
      <c r="DAK83" s="248" t="str">
        <f t="shared" si="48"/>
        <v/>
      </c>
      <c r="DAL83" s="248" t="str">
        <f t="shared" si="48"/>
        <v/>
      </c>
      <c r="DAM83" s="248" t="str">
        <f t="shared" si="48"/>
        <v/>
      </c>
      <c r="DAN83" s="248" t="str">
        <f t="shared" si="48"/>
        <v/>
      </c>
      <c r="DAO83" s="248" t="str">
        <f t="shared" si="48"/>
        <v/>
      </c>
      <c r="DAP83" s="248" t="str">
        <f t="shared" si="48"/>
        <v/>
      </c>
      <c r="DAQ83" s="248" t="str">
        <f t="shared" si="48"/>
        <v/>
      </c>
      <c r="DAR83" s="248" t="str">
        <f t="shared" si="48"/>
        <v/>
      </c>
      <c r="DAS83" s="248" t="str">
        <f t="shared" si="48"/>
        <v/>
      </c>
      <c r="DAT83" s="248" t="str">
        <f t="shared" si="48"/>
        <v/>
      </c>
      <c r="DAU83" s="248" t="str">
        <f t="shared" si="48"/>
        <v/>
      </c>
      <c r="DAV83" s="248" t="str">
        <f t="shared" si="48"/>
        <v/>
      </c>
      <c r="DAW83" s="248" t="str">
        <f t="shared" si="48"/>
        <v/>
      </c>
      <c r="DAX83" s="248" t="str">
        <f t="shared" si="48"/>
        <v/>
      </c>
      <c r="DAY83" s="248" t="str">
        <f t="shared" si="48"/>
        <v/>
      </c>
      <c r="DAZ83" s="248" t="str">
        <f t="shared" si="48"/>
        <v/>
      </c>
      <c r="DBA83" s="248" t="str">
        <f t="shared" si="48"/>
        <v/>
      </c>
      <c r="DBB83" s="248" t="str">
        <f t="shared" si="48"/>
        <v/>
      </c>
      <c r="DBC83" s="248" t="str">
        <f t="shared" si="48"/>
        <v/>
      </c>
      <c r="DBD83" s="248" t="str">
        <f t="shared" si="48"/>
        <v/>
      </c>
      <c r="DBE83" s="248" t="str">
        <f t="shared" si="48"/>
        <v/>
      </c>
      <c r="DBF83" s="248" t="str">
        <f t="shared" si="48"/>
        <v/>
      </c>
      <c r="DBG83" s="248" t="str">
        <f t="shared" si="48"/>
        <v/>
      </c>
      <c r="DBH83" s="248" t="str">
        <f t="shared" si="48"/>
        <v/>
      </c>
      <c r="DBI83" s="248" t="str">
        <f t="shared" si="48"/>
        <v/>
      </c>
      <c r="DBJ83" s="248" t="str">
        <f t="shared" si="48"/>
        <v/>
      </c>
      <c r="DBK83" s="248" t="str">
        <f t="shared" si="48"/>
        <v/>
      </c>
      <c r="DBL83" s="248" t="str">
        <f t="shared" si="48"/>
        <v/>
      </c>
      <c r="DBM83" s="248" t="str">
        <f t="shared" si="48"/>
        <v/>
      </c>
      <c r="DBN83" s="248" t="str">
        <f t="shared" si="48"/>
        <v/>
      </c>
      <c r="DBO83" s="248" t="str">
        <f t="shared" si="48"/>
        <v/>
      </c>
      <c r="DBP83" s="248" t="str">
        <f t="shared" si="48"/>
        <v/>
      </c>
      <c r="DBQ83" s="248" t="str">
        <f t="shared" si="48"/>
        <v/>
      </c>
      <c r="DBR83" s="248" t="str">
        <f t="shared" si="48"/>
        <v/>
      </c>
      <c r="DBS83" s="248" t="str">
        <f t="shared" si="48"/>
        <v/>
      </c>
      <c r="DBT83" s="248" t="str">
        <f t="shared" si="48"/>
        <v/>
      </c>
      <c r="DBU83" s="248" t="str">
        <f t="shared" si="48"/>
        <v/>
      </c>
      <c r="DBV83" s="248" t="str">
        <f t="shared" si="48"/>
        <v/>
      </c>
      <c r="DBW83" s="248" t="str">
        <f t="shared" si="48"/>
        <v/>
      </c>
      <c r="DBX83" s="248" t="str">
        <f t="shared" si="48"/>
        <v/>
      </c>
      <c r="DBY83" s="248" t="str">
        <f t="shared" si="48"/>
        <v/>
      </c>
      <c r="DBZ83" s="248" t="str">
        <f t="shared" si="48"/>
        <v/>
      </c>
      <c r="DCA83" s="248" t="str">
        <f t="shared" ref="DCA83:DEL83" si="49">UPPER(DBY83)</f>
        <v/>
      </c>
      <c r="DCB83" s="248" t="str">
        <f t="shared" si="49"/>
        <v/>
      </c>
      <c r="DCC83" s="248" t="str">
        <f t="shared" si="49"/>
        <v/>
      </c>
      <c r="DCD83" s="248" t="str">
        <f t="shared" si="49"/>
        <v/>
      </c>
      <c r="DCE83" s="248" t="str">
        <f t="shared" si="49"/>
        <v/>
      </c>
      <c r="DCF83" s="248" t="str">
        <f t="shared" si="49"/>
        <v/>
      </c>
      <c r="DCG83" s="248" t="str">
        <f t="shared" si="49"/>
        <v/>
      </c>
      <c r="DCH83" s="248" t="str">
        <f t="shared" si="49"/>
        <v/>
      </c>
      <c r="DCI83" s="248" t="str">
        <f t="shared" si="49"/>
        <v/>
      </c>
      <c r="DCJ83" s="248" t="str">
        <f t="shared" si="49"/>
        <v/>
      </c>
      <c r="DCK83" s="248" t="str">
        <f t="shared" si="49"/>
        <v/>
      </c>
      <c r="DCL83" s="248" t="str">
        <f t="shared" si="49"/>
        <v/>
      </c>
      <c r="DCM83" s="248" t="str">
        <f t="shared" si="49"/>
        <v/>
      </c>
      <c r="DCN83" s="248" t="str">
        <f t="shared" si="49"/>
        <v/>
      </c>
      <c r="DCO83" s="248" t="str">
        <f t="shared" si="49"/>
        <v/>
      </c>
      <c r="DCP83" s="248" t="str">
        <f t="shared" si="49"/>
        <v/>
      </c>
      <c r="DCQ83" s="248" t="str">
        <f t="shared" si="49"/>
        <v/>
      </c>
      <c r="DCR83" s="248" t="str">
        <f t="shared" si="49"/>
        <v/>
      </c>
      <c r="DCS83" s="248" t="str">
        <f t="shared" si="49"/>
        <v/>
      </c>
      <c r="DCT83" s="248" t="str">
        <f t="shared" si="49"/>
        <v/>
      </c>
      <c r="DCU83" s="248" t="str">
        <f t="shared" si="49"/>
        <v/>
      </c>
      <c r="DCV83" s="248" t="str">
        <f t="shared" si="49"/>
        <v/>
      </c>
      <c r="DCW83" s="248" t="str">
        <f t="shared" si="49"/>
        <v/>
      </c>
      <c r="DCX83" s="248" t="str">
        <f t="shared" si="49"/>
        <v/>
      </c>
      <c r="DCY83" s="248" t="str">
        <f t="shared" si="49"/>
        <v/>
      </c>
      <c r="DCZ83" s="248" t="str">
        <f t="shared" si="49"/>
        <v/>
      </c>
      <c r="DDA83" s="248" t="str">
        <f t="shared" si="49"/>
        <v/>
      </c>
      <c r="DDB83" s="248" t="str">
        <f t="shared" si="49"/>
        <v/>
      </c>
      <c r="DDC83" s="248" t="str">
        <f t="shared" si="49"/>
        <v/>
      </c>
      <c r="DDD83" s="248" t="str">
        <f t="shared" si="49"/>
        <v/>
      </c>
      <c r="DDE83" s="248" t="str">
        <f t="shared" si="49"/>
        <v/>
      </c>
      <c r="DDF83" s="248" t="str">
        <f t="shared" si="49"/>
        <v/>
      </c>
      <c r="DDG83" s="248" t="str">
        <f t="shared" si="49"/>
        <v/>
      </c>
      <c r="DDH83" s="248" t="str">
        <f t="shared" si="49"/>
        <v/>
      </c>
      <c r="DDI83" s="248" t="str">
        <f t="shared" si="49"/>
        <v/>
      </c>
      <c r="DDJ83" s="248" t="str">
        <f t="shared" si="49"/>
        <v/>
      </c>
      <c r="DDK83" s="248" t="str">
        <f t="shared" si="49"/>
        <v/>
      </c>
      <c r="DDL83" s="248" t="str">
        <f t="shared" si="49"/>
        <v/>
      </c>
      <c r="DDM83" s="248" t="str">
        <f t="shared" si="49"/>
        <v/>
      </c>
      <c r="DDN83" s="248" t="str">
        <f t="shared" si="49"/>
        <v/>
      </c>
      <c r="DDO83" s="248" t="str">
        <f t="shared" si="49"/>
        <v/>
      </c>
      <c r="DDP83" s="248" t="str">
        <f t="shared" si="49"/>
        <v/>
      </c>
      <c r="DDQ83" s="248" t="str">
        <f t="shared" si="49"/>
        <v/>
      </c>
      <c r="DDR83" s="248" t="str">
        <f t="shared" si="49"/>
        <v/>
      </c>
      <c r="DDS83" s="248" t="str">
        <f t="shared" si="49"/>
        <v/>
      </c>
      <c r="DDT83" s="248" t="str">
        <f t="shared" si="49"/>
        <v/>
      </c>
      <c r="DDU83" s="248" t="str">
        <f t="shared" si="49"/>
        <v/>
      </c>
      <c r="DDV83" s="248" t="str">
        <f t="shared" si="49"/>
        <v/>
      </c>
      <c r="DDW83" s="248" t="str">
        <f t="shared" si="49"/>
        <v/>
      </c>
      <c r="DDX83" s="248" t="str">
        <f t="shared" si="49"/>
        <v/>
      </c>
      <c r="DDY83" s="248" t="str">
        <f t="shared" si="49"/>
        <v/>
      </c>
      <c r="DDZ83" s="248" t="str">
        <f t="shared" si="49"/>
        <v/>
      </c>
      <c r="DEA83" s="248" t="str">
        <f t="shared" si="49"/>
        <v/>
      </c>
      <c r="DEB83" s="248" t="str">
        <f t="shared" si="49"/>
        <v/>
      </c>
      <c r="DEC83" s="248" t="str">
        <f t="shared" si="49"/>
        <v/>
      </c>
      <c r="DED83" s="248" t="str">
        <f t="shared" si="49"/>
        <v/>
      </c>
      <c r="DEE83" s="248" t="str">
        <f t="shared" si="49"/>
        <v/>
      </c>
      <c r="DEF83" s="248" t="str">
        <f t="shared" si="49"/>
        <v/>
      </c>
      <c r="DEG83" s="248" t="str">
        <f t="shared" si="49"/>
        <v/>
      </c>
      <c r="DEH83" s="248" t="str">
        <f t="shared" si="49"/>
        <v/>
      </c>
      <c r="DEI83" s="248" t="str">
        <f t="shared" si="49"/>
        <v/>
      </c>
      <c r="DEJ83" s="248" t="str">
        <f t="shared" si="49"/>
        <v/>
      </c>
      <c r="DEK83" s="248" t="str">
        <f t="shared" si="49"/>
        <v/>
      </c>
      <c r="DEL83" s="248" t="str">
        <f t="shared" si="49"/>
        <v/>
      </c>
      <c r="DEM83" s="248" t="str">
        <f t="shared" ref="DEM83:DGX83" si="50">UPPER(DEK83)</f>
        <v/>
      </c>
      <c r="DEN83" s="248" t="str">
        <f t="shared" si="50"/>
        <v/>
      </c>
      <c r="DEO83" s="248" t="str">
        <f t="shared" si="50"/>
        <v/>
      </c>
      <c r="DEP83" s="248" t="str">
        <f t="shared" si="50"/>
        <v/>
      </c>
      <c r="DEQ83" s="248" t="str">
        <f t="shared" si="50"/>
        <v/>
      </c>
      <c r="DER83" s="248" t="str">
        <f t="shared" si="50"/>
        <v/>
      </c>
      <c r="DES83" s="248" t="str">
        <f t="shared" si="50"/>
        <v/>
      </c>
      <c r="DET83" s="248" t="str">
        <f t="shared" si="50"/>
        <v/>
      </c>
      <c r="DEU83" s="248" t="str">
        <f t="shared" si="50"/>
        <v/>
      </c>
      <c r="DEV83" s="248" t="str">
        <f t="shared" si="50"/>
        <v/>
      </c>
      <c r="DEW83" s="248" t="str">
        <f t="shared" si="50"/>
        <v/>
      </c>
      <c r="DEX83" s="248" t="str">
        <f t="shared" si="50"/>
        <v/>
      </c>
      <c r="DEY83" s="248" t="str">
        <f t="shared" si="50"/>
        <v/>
      </c>
      <c r="DEZ83" s="248" t="str">
        <f t="shared" si="50"/>
        <v/>
      </c>
      <c r="DFA83" s="248" t="str">
        <f t="shared" si="50"/>
        <v/>
      </c>
      <c r="DFB83" s="248" t="str">
        <f t="shared" si="50"/>
        <v/>
      </c>
      <c r="DFC83" s="248" t="str">
        <f t="shared" si="50"/>
        <v/>
      </c>
      <c r="DFD83" s="248" t="str">
        <f t="shared" si="50"/>
        <v/>
      </c>
      <c r="DFE83" s="248" t="str">
        <f t="shared" si="50"/>
        <v/>
      </c>
      <c r="DFF83" s="248" t="str">
        <f t="shared" si="50"/>
        <v/>
      </c>
      <c r="DFG83" s="248" t="str">
        <f t="shared" si="50"/>
        <v/>
      </c>
      <c r="DFH83" s="248" t="str">
        <f t="shared" si="50"/>
        <v/>
      </c>
      <c r="DFI83" s="248" t="str">
        <f t="shared" si="50"/>
        <v/>
      </c>
      <c r="DFJ83" s="248" t="str">
        <f t="shared" si="50"/>
        <v/>
      </c>
      <c r="DFK83" s="248" t="str">
        <f t="shared" si="50"/>
        <v/>
      </c>
      <c r="DFL83" s="248" t="str">
        <f t="shared" si="50"/>
        <v/>
      </c>
      <c r="DFM83" s="248" t="str">
        <f t="shared" si="50"/>
        <v/>
      </c>
      <c r="DFN83" s="248" t="str">
        <f t="shared" si="50"/>
        <v/>
      </c>
      <c r="DFO83" s="248" t="str">
        <f t="shared" si="50"/>
        <v/>
      </c>
      <c r="DFP83" s="248" t="str">
        <f t="shared" si="50"/>
        <v/>
      </c>
      <c r="DFQ83" s="248" t="str">
        <f t="shared" si="50"/>
        <v/>
      </c>
      <c r="DFR83" s="248" t="str">
        <f t="shared" si="50"/>
        <v/>
      </c>
      <c r="DFS83" s="248" t="str">
        <f t="shared" si="50"/>
        <v/>
      </c>
      <c r="DFT83" s="248" t="str">
        <f t="shared" si="50"/>
        <v/>
      </c>
      <c r="DFU83" s="248" t="str">
        <f t="shared" si="50"/>
        <v/>
      </c>
      <c r="DFV83" s="248" t="str">
        <f t="shared" si="50"/>
        <v/>
      </c>
      <c r="DFW83" s="248" t="str">
        <f t="shared" si="50"/>
        <v/>
      </c>
      <c r="DFX83" s="248" t="str">
        <f t="shared" si="50"/>
        <v/>
      </c>
      <c r="DFY83" s="248" t="str">
        <f t="shared" si="50"/>
        <v/>
      </c>
      <c r="DFZ83" s="248" t="str">
        <f t="shared" si="50"/>
        <v/>
      </c>
      <c r="DGA83" s="248" t="str">
        <f t="shared" si="50"/>
        <v/>
      </c>
      <c r="DGB83" s="248" t="str">
        <f t="shared" si="50"/>
        <v/>
      </c>
      <c r="DGC83" s="248" t="str">
        <f t="shared" si="50"/>
        <v/>
      </c>
      <c r="DGD83" s="248" t="str">
        <f t="shared" si="50"/>
        <v/>
      </c>
      <c r="DGE83" s="248" t="str">
        <f t="shared" si="50"/>
        <v/>
      </c>
      <c r="DGF83" s="248" t="str">
        <f t="shared" si="50"/>
        <v/>
      </c>
      <c r="DGG83" s="248" t="str">
        <f t="shared" si="50"/>
        <v/>
      </c>
      <c r="DGH83" s="248" t="str">
        <f t="shared" si="50"/>
        <v/>
      </c>
      <c r="DGI83" s="248" t="str">
        <f t="shared" si="50"/>
        <v/>
      </c>
      <c r="DGJ83" s="248" t="str">
        <f t="shared" si="50"/>
        <v/>
      </c>
      <c r="DGK83" s="248" t="str">
        <f t="shared" si="50"/>
        <v/>
      </c>
      <c r="DGL83" s="248" t="str">
        <f t="shared" si="50"/>
        <v/>
      </c>
      <c r="DGM83" s="248" t="str">
        <f t="shared" si="50"/>
        <v/>
      </c>
      <c r="DGN83" s="248" t="str">
        <f t="shared" si="50"/>
        <v/>
      </c>
      <c r="DGO83" s="248" t="str">
        <f t="shared" si="50"/>
        <v/>
      </c>
      <c r="DGP83" s="248" t="str">
        <f t="shared" si="50"/>
        <v/>
      </c>
      <c r="DGQ83" s="248" t="str">
        <f t="shared" si="50"/>
        <v/>
      </c>
      <c r="DGR83" s="248" t="str">
        <f t="shared" si="50"/>
        <v/>
      </c>
      <c r="DGS83" s="248" t="str">
        <f t="shared" si="50"/>
        <v/>
      </c>
      <c r="DGT83" s="248" t="str">
        <f t="shared" si="50"/>
        <v/>
      </c>
      <c r="DGU83" s="248" t="str">
        <f t="shared" si="50"/>
        <v/>
      </c>
      <c r="DGV83" s="248" t="str">
        <f t="shared" si="50"/>
        <v/>
      </c>
      <c r="DGW83" s="248" t="str">
        <f t="shared" si="50"/>
        <v/>
      </c>
      <c r="DGX83" s="248" t="str">
        <f t="shared" si="50"/>
        <v/>
      </c>
      <c r="DGY83" s="248" t="str">
        <f t="shared" ref="DGY83:DJJ83" si="51">UPPER(DGW83)</f>
        <v/>
      </c>
      <c r="DGZ83" s="248" t="str">
        <f t="shared" si="51"/>
        <v/>
      </c>
      <c r="DHA83" s="248" t="str">
        <f t="shared" si="51"/>
        <v/>
      </c>
      <c r="DHB83" s="248" t="str">
        <f t="shared" si="51"/>
        <v/>
      </c>
      <c r="DHC83" s="248" t="str">
        <f t="shared" si="51"/>
        <v/>
      </c>
      <c r="DHD83" s="248" t="str">
        <f t="shared" si="51"/>
        <v/>
      </c>
      <c r="DHE83" s="248" t="str">
        <f t="shared" si="51"/>
        <v/>
      </c>
      <c r="DHF83" s="248" t="str">
        <f t="shared" si="51"/>
        <v/>
      </c>
      <c r="DHG83" s="248" t="str">
        <f t="shared" si="51"/>
        <v/>
      </c>
      <c r="DHH83" s="248" t="str">
        <f t="shared" si="51"/>
        <v/>
      </c>
      <c r="DHI83" s="248" t="str">
        <f t="shared" si="51"/>
        <v/>
      </c>
      <c r="DHJ83" s="248" t="str">
        <f t="shared" si="51"/>
        <v/>
      </c>
      <c r="DHK83" s="248" t="str">
        <f t="shared" si="51"/>
        <v/>
      </c>
      <c r="DHL83" s="248" t="str">
        <f t="shared" si="51"/>
        <v/>
      </c>
      <c r="DHM83" s="248" t="str">
        <f t="shared" si="51"/>
        <v/>
      </c>
      <c r="DHN83" s="248" t="str">
        <f t="shared" si="51"/>
        <v/>
      </c>
      <c r="DHO83" s="248" t="str">
        <f t="shared" si="51"/>
        <v/>
      </c>
      <c r="DHP83" s="248" t="str">
        <f t="shared" si="51"/>
        <v/>
      </c>
      <c r="DHQ83" s="248" t="str">
        <f t="shared" si="51"/>
        <v/>
      </c>
      <c r="DHR83" s="248" t="str">
        <f t="shared" si="51"/>
        <v/>
      </c>
      <c r="DHS83" s="248" t="str">
        <f t="shared" si="51"/>
        <v/>
      </c>
      <c r="DHT83" s="248" t="str">
        <f t="shared" si="51"/>
        <v/>
      </c>
      <c r="DHU83" s="248" t="str">
        <f t="shared" si="51"/>
        <v/>
      </c>
      <c r="DHV83" s="248" t="str">
        <f t="shared" si="51"/>
        <v/>
      </c>
      <c r="DHW83" s="248" t="str">
        <f t="shared" si="51"/>
        <v/>
      </c>
      <c r="DHX83" s="248" t="str">
        <f t="shared" si="51"/>
        <v/>
      </c>
      <c r="DHY83" s="248" t="str">
        <f t="shared" si="51"/>
        <v/>
      </c>
      <c r="DHZ83" s="248" t="str">
        <f t="shared" si="51"/>
        <v/>
      </c>
      <c r="DIA83" s="248" t="str">
        <f t="shared" si="51"/>
        <v/>
      </c>
      <c r="DIB83" s="248" t="str">
        <f t="shared" si="51"/>
        <v/>
      </c>
      <c r="DIC83" s="248" t="str">
        <f t="shared" si="51"/>
        <v/>
      </c>
      <c r="DID83" s="248" t="str">
        <f t="shared" si="51"/>
        <v/>
      </c>
      <c r="DIE83" s="248" t="str">
        <f t="shared" si="51"/>
        <v/>
      </c>
      <c r="DIF83" s="248" t="str">
        <f t="shared" si="51"/>
        <v/>
      </c>
      <c r="DIG83" s="248" t="str">
        <f t="shared" si="51"/>
        <v/>
      </c>
      <c r="DIH83" s="248" t="str">
        <f t="shared" si="51"/>
        <v/>
      </c>
      <c r="DII83" s="248" t="str">
        <f t="shared" si="51"/>
        <v/>
      </c>
      <c r="DIJ83" s="248" t="str">
        <f t="shared" si="51"/>
        <v/>
      </c>
      <c r="DIK83" s="248" t="str">
        <f t="shared" si="51"/>
        <v/>
      </c>
      <c r="DIL83" s="248" t="str">
        <f t="shared" si="51"/>
        <v/>
      </c>
      <c r="DIM83" s="248" t="str">
        <f t="shared" si="51"/>
        <v/>
      </c>
      <c r="DIN83" s="248" t="str">
        <f t="shared" si="51"/>
        <v/>
      </c>
      <c r="DIO83" s="248" t="str">
        <f t="shared" si="51"/>
        <v/>
      </c>
      <c r="DIP83" s="248" t="str">
        <f t="shared" si="51"/>
        <v/>
      </c>
      <c r="DIQ83" s="248" t="str">
        <f t="shared" si="51"/>
        <v/>
      </c>
      <c r="DIR83" s="248" t="str">
        <f t="shared" si="51"/>
        <v/>
      </c>
      <c r="DIS83" s="248" t="str">
        <f t="shared" si="51"/>
        <v/>
      </c>
      <c r="DIT83" s="248" t="str">
        <f t="shared" si="51"/>
        <v/>
      </c>
      <c r="DIU83" s="248" t="str">
        <f t="shared" si="51"/>
        <v/>
      </c>
      <c r="DIV83" s="248" t="str">
        <f t="shared" si="51"/>
        <v/>
      </c>
      <c r="DIW83" s="248" t="str">
        <f t="shared" si="51"/>
        <v/>
      </c>
      <c r="DIX83" s="248" t="str">
        <f t="shared" si="51"/>
        <v/>
      </c>
      <c r="DIY83" s="248" t="str">
        <f t="shared" si="51"/>
        <v/>
      </c>
      <c r="DIZ83" s="248" t="str">
        <f t="shared" si="51"/>
        <v/>
      </c>
      <c r="DJA83" s="248" t="str">
        <f t="shared" si="51"/>
        <v/>
      </c>
      <c r="DJB83" s="248" t="str">
        <f t="shared" si="51"/>
        <v/>
      </c>
      <c r="DJC83" s="248" t="str">
        <f t="shared" si="51"/>
        <v/>
      </c>
      <c r="DJD83" s="248" t="str">
        <f t="shared" si="51"/>
        <v/>
      </c>
      <c r="DJE83" s="248" t="str">
        <f t="shared" si="51"/>
        <v/>
      </c>
      <c r="DJF83" s="248" t="str">
        <f t="shared" si="51"/>
        <v/>
      </c>
      <c r="DJG83" s="248" t="str">
        <f t="shared" si="51"/>
        <v/>
      </c>
      <c r="DJH83" s="248" t="str">
        <f t="shared" si="51"/>
        <v/>
      </c>
      <c r="DJI83" s="248" t="str">
        <f t="shared" si="51"/>
        <v/>
      </c>
      <c r="DJJ83" s="248" t="str">
        <f t="shared" si="51"/>
        <v/>
      </c>
      <c r="DJK83" s="248" t="str">
        <f t="shared" ref="DJK83:DLV83" si="52">UPPER(DJI83)</f>
        <v/>
      </c>
      <c r="DJL83" s="248" t="str">
        <f t="shared" si="52"/>
        <v/>
      </c>
      <c r="DJM83" s="248" t="str">
        <f t="shared" si="52"/>
        <v/>
      </c>
      <c r="DJN83" s="248" t="str">
        <f t="shared" si="52"/>
        <v/>
      </c>
      <c r="DJO83" s="248" t="str">
        <f t="shared" si="52"/>
        <v/>
      </c>
      <c r="DJP83" s="248" t="str">
        <f t="shared" si="52"/>
        <v/>
      </c>
      <c r="DJQ83" s="248" t="str">
        <f t="shared" si="52"/>
        <v/>
      </c>
      <c r="DJR83" s="248" t="str">
        <f t="shared" si="52"/>
        <v/>
      </c>
      <c r="DJS83" s="248" t="str">
        <f t="shared" si="52"/>
        <v/>
      </c>
      <c r="DJT83" s="248" t="str">
        <f t="shared" si="52"/>
        <v/>
      </c>
      <c r="DJU83" s="248" t="str">
        <f t="shared" si="52"/>
        <v/>
      </c>
      <c r="DJV83" s="248" t="str">
        <f t="shared" si="52"/>
        <v/>
      </c>
      <c r="DJW83" s="248" t="str">
        <f t="shared" si="52"/>
        <v/>
      </c>
      <c r="DJX83" s="248" t="str">
        <f t="shared" si="52"/>
        <v/>
      </c>
      <c r="DJY83" s="248" t="str">
        <f t="shared" si="52"/>
        <v/>
      </c>
      <c r="DJZ83" s="248" t="str">
        <f t="shared" si="52"/>
        <v/>
      </c>
      <c r="DKA83" s="248" t="str">
        <f t="shared" si="52"/>
        <v/>
      </c>
      <c r="DKB83" s="248" t="str">
        <f t="shared" si="52"/>
        <v/>
      </c>
      <c r="DKC83" s="248" t="str">
        <f t="shared" si="52"/>
        <v/>
      </c>
      <c r="DKD83" s="248" t="str">
        <f t="shared" si="52"/>
        <v/>
      </c>
      <c r="DKE83" s="248" t="str">
        <f t="shared" si="52"/>
        <v/>
      </c>
      <c r="DKF83" s="248" t="str">
        <f t="shared" si="52"/>
        <v/>
      </c>
      <c r="DKG83" s="248" t="str">
        <f t="shared" si="52"/>
        <v/>
      </c>
      <c r="DKH83" s="248" t="str">
        <f t="shared" si="52"/>
        <v/>
      </c>
      <c r="DKI83" s="248" t="str">
        <f t="shared" si="52"/>
        <v/>
      </c>
      <c r="DKJ83" s="248" t="str">
        <f t="shared" si="52"/>
        <v/>
      </c>
      <c r="DKK83" s="248" t="str">
        <f t="shared" si="52"/>
        <v/>
      </c>
      <c r="DKL83" s="248" t="str">
        <f t="shared" si="52"/>
        <v/>
      </c>
      <c r="DKM83" s="248" t="str">
        <f t="shared" si="52"/>
        <v/>
      </c>
      <c r="DKN83" s="248" t="str">
        <f t="shared" si="52"/>
        <v/>
      </c>
      <c r="DKO83" s="248" t="str">
        <f t="shared" si="52"/>
        <v/>
      </c>
      <c r="DKP83" s="248" t="str">
        <f t="shared" si="52"/>
        <v/>
      </c>
      <c r="DKQ83" s="248" t="str">
        <f t="shared" si="52"/>
        <v/>
      </c>
      <c r="DKR83" s="248" t="str">
        <f t="shared" si="52"/>
        <v/>
      </c>
      <c r="DKS83" s="248" t="str">
        <f t="shared" si="52"/>
        <v/>
      </c>
      <c r="DKT83" s="248" t="str">
        <f t="shared" si="52"/>
        <v/>
      </c>
      <c r="DKU83" s="248" t="str">
        <f t="shared" si="52"/>
        <v/>
      </c>
      <c r="DKV83" s="248" t="str">
        <f t="shared" si="52"/>
        <v/>
      </c>
      <c r="DKW83" s="248" t="str">
        <f t="shared" si="52"/>
        <v/>
      </c>
      <c r="DKX83" s="248" t="str">
        <f t="shared" si="52"/>
        <v/>
      </c>
      <c r="DKY83" s="248" t="str">
        <f t="shared" si="52"/>
        <v/>
      </c>
      <c r="DKZ83" s="248" t="str">
        <f t="shared" si="52"/>
        <v/>
      </c>
      <c r="DLA83" s="248" t="str">
        <f t="shared" si="52"/>
        <v/>
      </c>
      <c r="DLB83" s="248" t="str">
        <f t="shared" si="52"/>
        <v/>
      </c>
      <c r="DLC83" s="248" t="str">
        <f t="shared" si="52"/>
        <v/>
      </c>
      <c r="DLD83" s="248" t="str">
        <f t="shared" si="52"/>
        <v/>
      </c>
      <c r="DLE83" s="248" t="str">
        <f t="shared" si="52"/>
        <v/>
      </c>
      <c r="DLF83" s="248" t="str">
        <f t="shared" si="52"/>
        <v/>
      </c>
      <c r="DLG83" s="248" t="str">
        <f t="shared" si="52"/>
        <v/>
      </c>
      <c r="DLH83" s="248" t="str">
        <f t="shared" si="52"/>
        <v/>
      </c>
      <c r="DLI83" s="248" t="str">
        <f t="shared" si="52"/>
        <v/>
      </c>
      <c r="DLJ83" s="248" t="str">
        <f t="shared" si="52"/>
        <v/>
      </c>
      <c r="DLK83" s="248" t="str">
        <f t="shared" si="52"/>
        <v/>
      </c>
      <c r="DLL83" s="248" t="str">
        <f t="shared" si="52"/>
        <v/>
      </c>
      <c r="DLM83" s="248" t="str">
        <f t="shared" si="52"/>
        <v/>
      </c>
      <c r="DLN83" s="248" t="str">
        <f t="shared" si="52"/>
        <v/>
      </c>
      <c r="DLO83" s="248" t="str">
        <f t="shared" si="52"/>
        <v/>
      </c>
      <c r="DLP83" s="248" t="str">
        <f t="shared" si="52"/>
        <v/>
      </c>
      <c r="DLQ83" s="248" t="str">
        <f t="shared" si="52"/>
        <v/>
      </c>
      <c r="DLR83" s="248" t="str">
        <f t="shared" si="52"/>
        <v/>
      </c>
      <c r="DLS83" s="248" t="str">
        <f t="shared" si="52"/>
        <v/>
      </c>
      <c r="DLT83" s="248" t="str">
        <f t="shared" si="52"/>
        <v/>
      </c>
      <c r="DLU83" s="248" t="str">
        <f t="shared" si="52"/>
        <v/>
      </c>
      <c r="DLV83" s="248" t="str">
        <f t="shared" si="52"/>
        <v/>
      </c>
      <c r="DLW83" s="248" t="str">
        <f t="shared" ref="DLW83:DOH83" si="53">UPPER(DLU83)</f>
        <v/>
      </c>
      <c r="DLX83" s="248" t="str">
        <f t="shared" si="53"/>
        <v/>
      </c>
      <c r="DLY83" s="248" t="str">
        <f t="shared" si="53"/>
        <v/>
      </c>
      <c r="DLZ83" s="248" t="str">
        <f t="shared" si="53"/>
        <v/>
      </c>
      <c r="DMA83" s="248" t="str">
        <f t="shared" si="53"/>
        <v/>
      </c>
      <c r="DMB83" s="248" t="str">
        <f t="shared" si="53"/>
        <v/>
      </c>
      <c r="DMC83" s="248" t="str">
        <f t="shared" si="53"/>
        <v/>
      </c>
      <c r="DMD83" s="248" t="str">
        <f t="shared" si="53"/>
        <v/>
      </c>
      <c r="DME83" s="248" t="str">
        <f t="shared" si="53"/>
        <v/>
      </c>
      <c r="DMF83" s="248" t="str">
        <f t="shared" si="53"/>
        <v/>
      </c>
      <c r="DMG83" s="248" t="str">
        <f t="shared" si="53"/>
        <v/>
      </c>
      <c r="DMH83" s="248" t="str">
        <f t="shared" si="53"/>
        <v/>
      </c>
      <c r="DMI83" s="248" t="str">
        <f t="shared" si="53"/>
        <v/>
      </c>
      <c r="DMJ83" s="248" t="str">
        <f t="shared" si="53"/>
        <v/>
      </c>
      <c r="DMK83" s="248" t="str">
        <f t="shared" si="53"/>
        <v/>
      </c>
      <c r="DML83" s="248" t="str">
        <f t="shared" si="53"/>
        <v/>
      </c>
      <c r="DMM83" s="248" t="str">
        <f t="shared" si="53"/>
        <v/>
      </c>
      <c r="DMN83" s="248" t="str">
        <f t="shared" si="53"/>
        <v/>
      </c>
      <c r="DMO83" s="248" t="str">
        <f t="shared" si="53"/>
        <v/>
      </c>
      <c r="DMP83" s="248" t="str">
        <f t="shared" si="53"/>
        <v/>
      </c>
      <c r="DMQ83" s="248" t="str">
        <f t="shared" si="53"/>
        <v/>
      </c>
      <c r="DMR83" s="248" t="str">
        <f t="shared" si="53"/>
        <v/>
      </c>
      <c r="DMS83" s="248" t="str">
        <f t="shared" si="53"/>
        <v/>
      </c>
      <c r="DMT83" s="248" t="str">
        <f t="shared" si="53"/>
        <v/>
      </c>
      <c r="DMU83" s="248" t="str">
        <f t="shared" si="53"/>
        <v/>
      </c>
      <c r="DMV83" s="248" t="str">
        <f t="shared" si="53"/>
        <v/>
      </c>
      <c r="DMW83" s="248" t="str">
        <f t="shared" si="53"/>
        <v/>
      </c>
      <c r="DMX83" s="248" t="str">
        <f t="shared" si="53"/>
        <v/>
      </c>
      <c r="DMY83" s="248" t="str">
        <f t="shared" si="53"/>
        <v/>
      </c>
      <c r="DMZ83" s="248" t="str">
        <f t="shared" si="53"/>
        <v/>
      </c>
      <c r="DNA83" s="248" t="str">
        <f t="shared" si="53"/>
        <v/>
      </c>
      <c r="DNB83" s="248" t="str">
        <f t="shared" si="53"/>
        <v/>
      </c>
      <c r="DNC83" s="248" t="str">
        <f t="shared" si="53"/>
        <v/>
      </c>
      <c r="DND83" s="248" t="str">
        <f t="shared" si="53"/>
        <v/>
      </c>
      <c r="DNE83" s="248" t="str">
        <f t="shared" si="53"/>
        <v/>
      </c>
      <c r="DNF83" s="248" t="str">
        <f t="shared" si="53"/>
        <v/>
      </c>
      <c r="DNG83" s="248" t="str">
        <f t="shared" si="53"/>
        <v/>
      </c>
      <c r="DNH83" s="248" t="str">
        <f t="shared" si="53"/>
        <v/>
      </c>
      <c r="DNI83" s="248" t="str">
        <f t="shared" si="53"/>
        <v/>
      </c>
      <c r="DNJ83" s="248" t="str">
        <f t="shared" si="53"/>
        <v/>
      </c>
      <c r="DNK83" s="248" t="str">
        <f t="shared" si="53"/>
        <v/>
      </c>
      <c r="DNL83" s="248" t="str">
        <f t="shared" si="53"/>
        <v/>
      </c>
      <c r="DNM83" s="248" t="str">
        <f t="shared" si="53"/>
        <v/>
      </c>
      <c r="DNN83" s="248" t="str">
        <f t="shared" si="53"/>
        <v/>
      </c>
      <c r="DNO83" s="248" t="str">
        <f t="shared" si="53"/>
        <v/>
      </c>
      <c r="DNP83" s="248" t="str">
        <f t="shared" si="53"/>
        <v/>
      </c>
      <c r="DNQ83" s="248" t="str">
        <f t="shared" si="53"/>
        <v/>
      </c>
      <c r="DNR83" s="248" t="str">
        <f t="shared" si="53"/>
        <v/>
      </c>
      <c r="DNS83" s="248" t="str">
        <f t="shared" si="53"/>
        <v/>
      </c>
      <c r="DNT83" s="248" t="str">
        <f t="shared" si="53"/>
        <v/>
      </c>
      <c r="DNU83" s="248" t="str">
        <f t="shared" si="53"/>
        <v/>
      </c>
      <c r="DNV83" s="248" t="str">
        <f t="shared" si="53"/>
        <v/>
      </c>
      <c r="DNW83" s="248" t="str">
        <f t="shared" si="53"/>
        <v/>
      </c>
      <c r="DNX83" s="248" t="str">
        <f t="shared" si="53"/>
        <v/>
      </c>
      <c r="DNY83" s="248" t="str">
        <f t="shared" si="53"/>
        <v/>
      </c>
      <c r="DNZ83" s="248" t="str">
        <f t="shared" si="53"/>
        <v/>
      </c>
      <c r="DOA83" s="248" t="str">
        <f t="shared" si="53"/>
        <v/>
      </c>
      <c r="DOB83" s="248" t="str">
        <f t="shared" si="53"/>
        <v/>
      </c>
      <c r="DOC83" s="248" t="str">
        <f t="shared" si="53"/>
        <v/>
      </c>
      <c r="DOD83" s="248" t="str">
        <f t="shared" si="53"/>
        <v/>
      </c>
      <c r="DOE83" s="248" t="str">
        <f t="shared" si="53"/>
        <v/>
      </c>
      <c r="DOF83" s="248" t="str">
        <f t="shared" si="53"/>
        <v/>
      </c>
      <c r="DOG83" s="248" t="str">
        <f t="shared" si="53"/>
        <v/>
      </c>
      <c r="DOH83" s="248" t="str">
        <f t="shared" si="53"/>
        <v/>
      </c>
      <c r="DOI83" s="248" t="str">
        <f t="shared" ref="DOI83:DQT83" si="54">UPPER(DOG83)</f>
        <v/>
      </c>
      <c r="DOJ83" s="248" t="str">
        <f t="shared" si="54"/>
        <v/>
      </c>
      <c r="DOK83" s="248" t="str">
        <f t="shared" si="54"/>
        <v/>
      </c>
      <c r="DOL83" s="248" t="str">
        <f t="shared" si="54"/>
        <v/>
      </c>
      <c r="DOM83" s="248" t="str">
        <f t="shared" si="54"/>
        <v/>
      </c>
      <c r="DON83" s="248" t="str">
        <f t="shared" si="54"/>
        <v/>
      </c>
      <c r="DOO83" s="248" t="str">
        <f t="shared" si="54"/>
        <v/>
      </c>
      <c r="DOP83" s="248" t="str">
        <f t="shared" si="54"/>
        <v/>
      </c>
      <c r="DOQ83" s="248" t="str">
        <f t="shared" si="54"/>
        <v/>
      </c>
      <c r="DOR83" s="248" t="str">
        <f t="shared" si="54"/>
        <v/>
      </c>
      <c r="DOS83" s="248" t="str">
        <f t="shared" si="54"/>
        <v/>
      </c>
      <c r="DOT83" s="248" t="str">
        <f t="shared" si="54"/>
        <v/>
      </c>
      <c r="DOU83" s="248" t="str">
        <f t="shared" si="54"/>
        <v/>
      </c>
      <c r="DOV83" s="248" t="str">
        <f t="shared" si="54"/>
        <v/>
      </c>
      <c r="DOW83" s="248" t="str">
        <f t="shared" si="54"/>
        <v/>
      </c>
      <c r="DOX83" s="248" t="str">
        <f t="shared" si="54"/>
        <v/>
      </c>
      <c r="DOY83" s="248" t="str">
        <f t="shared" si="54"/>
        <v/>
      </c>
      <c r="DOZ83" s="248" t="str">
        <f t="shared" si="54"/>
        <v/>
      </c>
      <c r="DPA83" s="248" t="str">
        <f t="shared" si="54"/>
        <v/>
      </c>
      <c r="DPB83" s="248" t="str">
        <f t="shared" si="54"/>
        <v/>
      </c>
      <c r="DPC83" s="248" t="str">
        <f t="shared" si="54"/>
        <v/>
      </c>
      <c r="DPD83" s="248" t="str">
        <f t="shared" si="54"/>
        <v/>
      </c>
      <c r="DPE83" s="248" t="str">
        <f t="shared" si="54"/>
        <v/>
      </c>
      <c r="DPF83" s="248" t="str">
        <f t="shared" si="54"/>
        <v/>
      </c>
      <c r="DPG83" s="248" t="str">
        <f t="shared" si="54"/>
        <v/>
      </c>
      <c r="DPH83" s="248" t="str">
        <f t="shared" si="54"/>
        <v/>
      </c>
      <c r="DPI83" s="248" t="str">
        <f t="shared" si="54"/>
        <v/>
      </c>
      <c r="DPJ83" s="248" t="str">
        <f t="shared" si="54"/>
        <v/>
      </c>
      <c r="DPK83" s="248" t="str">
        <f t="shared" si="54"/>
        <v/>
      </c>
      <c r="DPL83" s="248" t="str">
        <f t="shared" si="54"/>
        <v/>
      </c>
      <c r="DPM83" s="248" t="str">
        <f t="shared" si="54"/>
        <v/>
      </c>
      <c r="DPN83" s="248" t="str">
        <f t="shared" si="54"/>
        <v/>
      </c>
      <c r="DPO83" s="248" t="str">
        <f t="shared" si="54"/>
        <v/>
      </c>
      <c r="DPP83" s="248" t="str">
        <f t="shared" si="54"/>
        <v/>
      </c>
      <c r="DPQ83" s="248" t="str">
        <f t="shared" si="54"/>
        <v/>
      </c>
      <c r="DPR83" s="248" t="str">
        <f t="shared" si="54"/>
        <v/>
      </c>
      <c r="DPS83" s="248" t="str">
        <f t="shared" si="54"/>
        <v/>
      </c>
      <c r="DPT83" s="248" t="str">
        <f t="shared" si="54"/>
        <v/>
      </c>
      <c r="DPU83" s="248" t="str">
        <f t="shared" si="54"/>
        <v/>
      </c>
      <c r="DPV83" s="248" t="str">
        <f t="shared" si="54"/>
        <v/>
      </c>
      <c r="DPW83" s="248" t="str">
        <f t="shared" si="54"/>
        <v/>
      </c>
      <c r="DPX83" s="248" t="str">
        <f t="shared" si="54"/>
        <v/>
      </c>
      <c r="DPY83" s="248" t="str">
        <f t="shared" si="54"/>
        <v/>
      </c>
      <c r="DPZ83" s="248" t="str">
        <f t="shared" si="54"/>
        <v/>
      </c>
      <c r="DQA83" s="248" t="str">
        <f t="shared" si="54"/>
        <v/>
      </c>
      <c r="DQB83" s="248" t="str">
        <f t="shared" si="54"/>
        <v/>
      </c>
      <c r="DQC83" s="248" t="str">
        <f t="shared" si="54"/>
        <v/>
      </c>
      <c r="DQD83" s="248" t="str">
        <f t="shared" si="54"/>
        <v/>
      </c>
      <c r="DQE83" s="248" t="str">
        <f t="shared" si="54"/>
        <v/>
      </c>
      <c r="DQF83" s="248" t="str">
        <f t="shared" si="54"/>
        <v/>
      </c>
      <c r="DQG83" s="248" t="str">
        <f t="shared" si="54"/>
        <v/>
      </c>
      <c r="DQH83" s="248" t="str">
        <f t="shared" si="54"/>
        <v/>
      </c>
      <c r="DQI83" s="248" t="str">
        <f t="shared" si="54"/>
        <v/>
      </c>
      <c r="DQJ83" s="248" t="str">
        <f t="shared" si="54"/>
        <v/>
      </c>
      <c r="DQK83" s="248" t="str">
        <f t="shared" si="54"/>
        <v/>
      </c>
      <c r="DQL83" s="248" t="str">
        <f t="shared" si="54"/>
        <v/>
      </c>
      <c r="DQM83" s="248" t="str">
        <f t="shared" si="54"/>
        <v/>
      </c>
      <c r="DQN83" s="248" t="str">
        <f t="shared" si="54"/>
        <v/>
      </c>
      <c r="DQO83" s="248" t="str">
        <f t="shared" si="54"/>
        <v/>
      </c>
      <c r="DQP83" s="248" t="str">
        <f t="shared" si="54"/>
        <v/>
      </c>
      <c r="DQQ83" s="248" t="str">
        <f t="shared" si="54"/>
        <v/>
      </c>
      <c r="DQR83" s="248" t="str">
        <f t="shared" si="54"/>
        <v/>
      </c>
      <c r="DQS83" s="248" t="str">
        <f t="shared" si="54"/>
        <v/>
      </c>
      <c r="DQT83" s="248" t="str">
        <f t="shared" si="54"/>
        <v/>
      </c>
      <c r="DQU83" s="248" t="str">
        <f t="shared" ref="DQU83:DTF83" si="55">UPPER(DQS83)</f>
        <v/>
      </c>
      <c r="DQV83" s="248" t="str">
        <f t="shared" si="55"/>
        <v/>
      </c>
      <c r="DQW83" s="248" t="str">
        <f t="shared" si="55"/>
        <v/>
      </c>
      <c r="DQX83" s="248" t="str">
        <f t="shared" si="55"/>
        <v/>
      </c>
      <c r="DQY83" s="248" t="str">
        <f t="shared" si="55"/>
        <v/>
      </c>
      <c r="DQZ83" s="248" t="str">
        <f t="shared" si="55"/>
        <v/>
      </c>
      <c r="DRA83" s="248" t="str">
        <f t="shared" si="55"/>
        <v/>
      </c>
      <c r="DRB83" s="248" t="str">
        <f t="shared" si="55"/>
        <v/>
      </c>
      <c r="DRC83" s="248" t="str">
        <f t="shared" si="55"/>
        <v/>
      </c>
      <c r="DRD83" s="248" t="str">
        <f t="shared" si="55"/>
        <v/>
      </c>
      <c r="DRE83" s="248" t="str">
        <f t="shared" si="55"/>
        <v/>
      </c>
      <c r="DRF83" s="248" t="str">
        <f t="shared" si="55"/>
        <v/>
      </c>
      <c r="DRG83" s="248" t="str">
        <f t="shared" si="55"/>
        <v/>
      </c>
      <c r="DRH83" s="248" t="str">
        <f t="shared" si="55"/>
        <v/>
      </c>
      <c r="DRI83" s="248" t="str">
        <f t="shared" si="55"/>
        <v/>
      </c>
      <c r="DRJ83" s="248" t="str">
        <f t="shared" si="55"/>
        <v/>
      </c>
      <c r="DRK83" s="248" t="str">
        <f t="shared" si="55"/>
        <v/>
      </c>
      <c r="DRL83" s="248" t="str">
        <f t="shared" si="55"/>
        <v/>
      </c>
      <c r="DRM83" s="248" t="str">
        <f t="shared" si="55"/>
        <v/>
      </c>
      <c r="DRN83" s="248" t="str">
        <f t="shared" si="55"/>
        <v/>
      </c>
      <c r="DRO83" s="248" t="str">
        <f t="shared" si="55"/>
        <v/>
      </c>
      <c r="DRP83" s="248" t="str">
        <f t="shared" si="55"/>
        <v/>
      </c>
      <c r="DRQ83" s="248" t="str">
        <f t="shared" si="55"/>
        <v/>
      </c>
      <c r="DRR83" s="248" t="str">
        <f t="shared" si="55"/>
        <v/>
      </c>
      <c r="DRS83" s="248" t="str">
        <f t="shared" si="55"/>
        <v/>
      </c>
      <c r="DRT83" s="248" t="str">
        <f t="shared" si="55"/>
        <v/>
      </c>
      <c r="DRU83" s="248" t="str">
        <f t="shared" si="55"/>
        <v/>
      </c>
      <c r="DRV83" s="248" t="str">
        <f t="shared" si="55"/>
        <v/>
      </c>
      <c r="DRW83" s="248" t="str">
        <f t="shared" si="55"/>
        <v/>
      </c>
      <c r="DRX83" s="248" t="str">
        <f t="shared" si="55"/>
        <v/>
      </c>
      <c r="DRY83" s="248" t="str">
        <f t="shared" si="55"/>
        <v/>
      </c>
      <c r="DRZ83" s="248" t="str">
        <f t="shared" si="55"/>
        <v/>
      </c>
      <c r="DSA83" s="248" t="str">
        <f t="shared" si="55"/>
        <v/>
      </c>
      <c r="DSB83" s="248" t="str">
        <f t="shared" si="55"/>
        <v/>
      </c>
      <c r="DSC83" s="248" t="str">
        <f t="shared" si="55"/>
        <v/>
      </c>
      <c r="DSD83" s="248" t="str">
        <f t="shared" si="55"/>
        <v/>
      </c>
      <c r="DSE83" s="248" t="str">
        <f t="shared" si="55"/>
        <v/>
      </c>
      <c r="DSF83" s="248" t="str">
        <f t="shared" si="55"/>
        <v/>
      </c>
      <c r="DSG83" s="248" t="str">
        <f t="shared" si="55"/>
        <v/>
      </c>
      <c r="DSH83" s="248" t="str">
        <f t="shared" si="55"/>
        <v/>
      </c>
      <c r="DSI83" s="248" t="str">
        <f t="shared" si="55"/>
        <v/>
      </c>
      <c r="DSJ83" s="248" t="str">
        <f t="shared" si="55"/>
        <v/>
      </c>
      <c r="DSK83" s="248" t="str">
        <f t="shared" si="55"/>
        <v/>
      </c>
      <c r="DSL83" s="248" t="str">
        <f t="shared" si="55"/>
        <v/>
      </c>
      <c r="DSM83" s="248" t="str">
        <f t="shared" si="55"/>
        <v/>
      </c>
      <c r="DSN83" s="248" t="str">
        <f t="shared" si="55"/>
        <v/>
      </c>
      <c r="DSO83" s="248" t="str">
        <f t="shared" si="55"/>
        <v/>
      </c>
      <c r="DSP83" s="248" t="str">
        <f t="shared" si="55"/>
        <v/>
      </c>
      <c r="DSQ83" s="248" t="str">
        <f t="shared" si="55"/>
        <v/>
      </c>
      <c r="DSR83" s="248" t="str">
        <f t="shared" si="55"/>
        <v/>
      </c>
      <c r="DSS83" s="248" t="str">
        <f t="shared" si="55"/>
        <v/>
      </c>
      <c r="DST83" s="248" t="str">
        <f t="shared" si="55"/>
        <v/>
      </c>
      <c r="DSU83" s="248" t="str">
        <f t="shared" si="55"/>
        <v/>
      </c>
      <c r="DSV83" s="248" t="str">
        <f t="shared" si="55"/>
        <v/>
      </c>
      <c r="DSW83" s="248" t="str">
        <f t="shared" si="55"/>
        <v/>
      </c>
      <c r="DSX83" s="248" t="str">
        <f t="shared" si="55"/>
        <v/>
      </c>
      <c r="DSY83" s="248" t="str">
        <f t="shared" si="55"/>
        <v/>
      </c>
      <c r="DSZ83" s="248" t="str">
        <f t="shared" si="55"/>
        <v/>
      </c>
      <c r="DTA83" s="248" t="str">
        <f t="shared" si="55"/>
        <v/>
      </c>
      <c r="DTB83" s="248" t="str">
        <f t="shared" si="55"/>
        <v/>
      </c>
      <c r="DTC83" s="248" t="str">
        <f t="shared" si="55"/>
        <v/>
      </c>
      <c r="DTD83" s="248" t="str">
        <f t="shared" si="55"/>
        <v/>
      </c>
      <c r="DTE83" s="248" t="str">
        <f t="shared" si="55"/>
        <v/>
      </c>
      <c r="DTF83" s="248" t="str">
        <f t="shared" si="55"/>
        <v/>
      </c>
      <c r="DTG83" s="248" t="str">
        <f t="shared" ref="DTG83:DVR83" si="56">UPPER(DTE83)</f>
        <v/>
      </c>
      <c r="DTH83" s="248" t="str">
        <f t="shared" si="56"/>
        <v/>
      </c>
      <c r="DTI83" s="248" t="str">
        <f t="shared" si="56"/>
        <v/>
      </c>
      <c r="DTJ83" s="248" t="str">
        <f t="shared" si="56"/>
        <v/>
      </c>
      <c r="DTK83" s="248" t="str">
        <f t="shared" si="56"/>
        <v/>
      </c>
      <c r="DTL83" s="248" t="str">
        <f t="shared" si="56"/>
        <v/>
      </c>
      <c r="DTM83" s="248" t="str">
        <f t="shared" si="56"/>
        <v/>
      </c>
      <c r="DTN83" s="248" t="str">
        <f t="shared" si="56"/>
        <v/>
      </c>
      <c r="DTO83" s="248" t="str">
        <f t="shared" si="56"/>
        <v/>
      </c>
      <c r="DTP83" s="248" t="str">
        <f t="shared" si="56"/>
        <v/>
      </c>
      <c r="DTQ83" s="248" t="str">
        <f t="shared" si="56"/>
        <v/>
      </c>
      <c r="DTR83" s="248" t="str">
        <f t="shared" si="56"/>
        <v/>
      </c>
      <c r="DTS83" s="248" t="str">
        <f t="shared" si="56"/>
        <v/>
      </c>
      <c r="DTT83" s="248" t="str">
        <f t="shared" si="56"/>
        <v/>
      </c>
      <c r="DTU83" s="248" t="str">
        <f t="shared" si="56"/>
        <v/>
      </c>
      <c r="DTV83" s="248" t="str">
        <f t="shared" si="56"/>
        <v/>
      </c>
      <c r="DTW83" s="248" t="str">
        <f t="shared" si="56"/>
        <v/>
      </c>
      <c r="DTX83" s="248" t="str">
        <f t="shared" si="56"/>
        <v/>
      </c>
      <c r="DTY83" s="248" t="str">
        <f t="shared" si="56"/>
        <v/>
      </c>
      <c r="DTZ83" s="248" t="str">
        <f t="shared" si="56"/>
        <v/>
      </c>
      <c r="DUA83" s="248" t="str">
        <f t="shared" si="56"/>
        <v/>
      </c>
      <c r="DUB83" s="248" t="str">
        <f t="shared" si="56"/>
        <v/>
      </c>
      <c r="DUC83" s="248" t="str">
        <f t="shared" si="56"/>
        <v/>
      </c>
      <c r="DUD83" s="248" t="str">
        <f t="shared" si="56"/>
        <v/>
      </c>
      <c r="DUE83" s="248" t="str">
        <f t="shared" si="56"/>
        <v/>
      </c>
      <c r="DUF83" s="248" t="str">
        <f t="shared" si="56"/>
        <v/>
      </c>
      <c r="DUG83" s="248" t="str">
        <f t="shared" si="56"/>
        <v/>
      </c>
      <c r="DUH83" s="248" t="str">
        <f t="shared" si="56"/>
        <v/>
      </c>
      <c r="DUI83" s="248" t="str">
        <f t="shared" si="56"/>
        <v/>
      </c>
      <c r="DUJ83" s="248" t="str">
        <f t="shared" si="56"/>
        <v/>
      </c>
      <c r="DUK83" s="248" t="str">
        <f t="shared" si="56"/>
        <v/>
      </c>
      <c r="DUL83" s="248" t="str">
        <f t="shared" si="56"/>
        <v/>
      </c>
      <c r="DUM83" s="248" t="str">
        <f t="shared" si="56"/>
        <v/>
      </c>
      <c r="DUN83" s="248" t="str">
        <f t="shared" si="56"/>
        <v/>
      </c>
      <c r="DUO83" s="248" t="str">
        <f t="shared" si="56"/>
        <v/>
      </c>
      <c r="DUP83" s="248" t="str">
        <f t="shared" si="56"/>
        <v/>
      </c>
      <c r="DUQ83" s="248" t="str">
        <f t="shared" si="56"/>
        <v/>
      </c>
      <c r="DUR83" s="248" t="str">
        <f t="shared" si="56"/>
        <v/>
      </c>
      <c r="DUS83" s="248" t="str">
        <f t="shared" si="56"/>
        <v/>
      </c>
      <c r="DUT83" s="248" t="str">
        <f t="shared" si="56"/>
        <v/>
      </c>
      <c r="DUU83" s="248" t="str">
        <f t="shared" si="56"/>
        <v/>
      </c>
      <c r="DUV83" s="248" t="str">
        <f t="shared" si="56"/>
        <v/>
      </c>
      <c r="DUW83" s="248" t="str">
        <f t="shared" si="56"/>
        <v/>
      </c>
      <c r="DUX83" s="248" t="str">
        <f t="shared" si="56"/>
        <v/>
      </c>
      <c r="DUY83" s="248" t="str">
        <f t="shared" si="56"/>
        <v/>
      </c>
      <c r="DUZ83" s="248" t="str">
        <f t="shared" si="56"/>
        <v/>
      </c>
      <c r="DVA83" s="248" t="str">
        <f t="shared" si="56"/>
        <v/>
      </c>
      <c r="DVB83" s="248" t="str">
        <f t="shared" si="56"/>
        <v/>
      </c>
      <c r="DVC83" s="248" t="str">
        <f t="shared" si="56"/>
        <v/>
      </c>
      <c r="DVD83" s="248" t="str">
        <f t="shared" si="56"/>
        <v/>
      </c>
      <c r="DVE83" s="248" t="str">
        <f t="shared" si="56"/>
        <v/>
      </c>
      <c r="DVF83" s="248" t="str">
        <f t="shared" si="56"/>
        <v/>
      </c>
      <c r="DVG83" s="248" t="str">
        <f t="shared" si="56"/>
        <v/>
      </c>
      <c r="DVH83" s="248" t="str">
        <f t="shared" si="56"/>
        <v/>
      </c>
      <c r="DVI83" s="248" t="str">
        <f t="shared" si="56"/>
        <v/>
      </c>
      <c r="DVJ83" s="248" t="str">
        <f t="shared" si="56"/>
        <v/>
      </c>
      <c r="DVK83" s="248" t="str">
        <f t="shared" si="56"/>
        <v/>
      </c>
      <c r="DVL83" s="248" t="str">
        <f t="shared" si="56"/>
        <v/>
      </c>
      <c r="DVM83" s="248" t="str">
        <f t="shared" si="56"/>
        <v/>
      </c>
      <c r="DVN83" s="248" t="str">
        <f t="shared" si="56"/>
        <v/>
      </c>
      <c r="DVO83" s="248" t="str">
        <f t="shared" si="56"/>
        <v/>
      </c>
      <c r="DVP83" s="248" t="str">
        <f t="shared" si="56"/>
        <v/>
      </c>
      <c r="DVQ83" s="248" t="str">
        <f t="shared" si="56"/>
        <v/>
      </c>
      <c r="DVR83" s="248" t="str">
        <f t="shared" si="56"/>
        <v/>
      </c>
      <c r="DVS83" s="248" t="str">
        <f t="shared" ref="DVS83:DYD83" si="57">UPPER(DVQ83)</f>
        <v/>
      </c>
      <c r="DVT83" s="248" t="str">
        <f t="shared" si="57"/>
        <v/>
      </c>
      <c r="DVU83" s="248" t="str">
        <f t="shared" si="57"/>
        <v/>
      </c>
      <c r="DVV83" s="248" t="str">
        <f t="shared" si="57"/>
        <v/>
      </c>
      <c r="DVW83" s="248" t="str">
        <f t="shared" si="57"/>
        <v/>
      </c>
      <c r="DVX83" s="248" t="str">
        <f t="shared" si="57"/>
        <v/>
      </c>
      <c r="DVY83" s="248" t="str">
        <f t="shared" si="57"/>
        <v/>
      </c>
      <c r="DVZ83" s="248" t="str">
        <f t="shared" si="57"/>
        <v/>
      </c>
      <c r="DWA83" s="248" t="str">
        <f t="shared" si="57"/>
        <v/>
      </c>
      <c r="DWB83" s="248" t="str">
        <f t="shared" si="57"/>
        <v/>
      </c>
      <c r="DWC83" s="248" t="str">
        <f t="shared" si="57"/>
        <v/>
      </c>
      <c r="DWD83" s="248" t="str">
        <f t="shared" si="57"/>
        <v/>
      </c>
      <c r="DWE83" s="248" t="str">
        <f t="shared" si="57"/>
        <v/>
      </c>
      <c r="DWF83" s="248" t="str">
        <f t="shared" si="57"/>
        <v/>
      </c>
      <c r="DWG83" s="248" t="str">
        <f t="shared" si="57"/>
        <v/>
      </c>
      <c r="DWH83" s="248" t="str">
        <f t="shared" si="57"/>
        <v/>
      </c>
      <c r="DWI83" s="248" t="str">
        <f t="shared" si="57"/>
        <v/>
      </c>
      <c r="DWJ83" s="248" t="str">
        <f t="shared" si="57"/>
        <v/>
      </c>
      <c r="DWK83" s="248" t="str">
        <f t="shared" si="57"/>
        <v/>
      </c>
      <c r="DWL83" s="248" t="str">
        <f t="shared" si="57"/>
        <v/>
      </c>
      <c r="DWM83" s="248" t="str">
        <f t="shared" si="57"/>
        <v/>
      </c>
      <c r="DWN83" s="248" t="str">
        <f t="shared" si="57"/>
        <v/>
      </c>
      <c r="DWO83" s="248" t="str">
        <f t="shared" si="57"/>
        <v/>
      </c>
      <c r="DWP83" s="248" t="str">
        <f t="shared" si="57"/>
        <v/>
      </c>
      <c r="DWQ83" s="248" t="str">
        <f t="shared" si="57"/>
        <v/>
      </c>
      <c r="DWR83" s="248" t="str">
        <f t="shared" si="57"/>
        <v/>
      </c>
      <c r="DWS83" s="248" t="str">
        <f t="shared" si="57"/>
        <v/>
      </c>
      <c r="DWT83" s="248" t="str">
        <f t="shared" si="57"/>
        <v/>
      </c>
      <c r="DWU83" s="248" t="str">
        <f t="shared" si="57"/>
        <v/>
      </c>
      <c r="DWV83" s="248" t="str">
        <f t="shared" si="57"/>
        <v/>
      </c>
      <c r="DWW83" s="248" t="str">
        <f t="shared" si="57"/>
        <v/>
      </c>
      <c r="DWX83" s="248" t="str">
        <f t="shared" si="57"/>
        <v/>
      </c>
      <c r="DWY83" s="248" t="str">
        <f t="shared" si="57"/>
        <v/>
      </c>
      <c r="DWZ83" s="248" t="str">
        <f t="shared" si="57"/>
        <v/>
      </c>
      <c r="DXA83" s="248" t="str">
        <f t="shared" si="57"/>
        <v/>
      </c>
      <c r="DXB83" s="248" t="str">
        <f t="shared" si="57"/>
        <v/>
      </c>
      <c r="DXC83" s="248" t="str">
        <f t="shared" si="57"/>
        <v/>
      </c>
      <c r="DXD83" s="248" t="str">
        <f t="shared" si="57"/>
        <v/>
      </c>
      <c r="DXE83" s="248" t="str">
        <f t="shared" si="57"/>
        <v/>
      </c>
      <c r="DXF83" s="248" t="str">
        <f t="shared" si="57"/>
        <v/>
      </c>
      <c r="DXG83" s="248" t="str">
        <f t="shared" si="57"/>
        <v/>
      </c>
      <c r="DXH83" s="248" t="str">
        <f t="shared" si="57"/>
        <v/>
      </c>
      <c r="DXI83" s="248" t="str">
        <f t="shared" si="57"/>
        <v/>
      </c>
      <c r="DXJ83" s="248" t="str">
        <f t="shared" si="57"/>
        <v/>
      </c>
      <c r="DXK83" s="248" t="str">
        <f t="shared" si="57"/>
        <v/>
      </c>
      <c r="DXL83" s="248" t="str">
        <f t="shared" si="57"/>
        <v/>
      </c>
      <c r="DXM83" s="248" t="str">
        <f t="shared" si="57"/>
        <v/>
      </c>
      <c r="DXN83" s="248" t="str">
        <f t="shared" si="57"/>
        <v/>
      </c>
      <c r="DXO83" s="248" t="str">
        <f t="shared" si="57"/>
        <v/>
      </c>
      <c r="DXP83" s="248" t="str">
        <f t="shared" si="57"/>
        <v/>
      </c>
      <c r="DXQ83" s="248" t="str">
        <f t="shared" si="57"/>
        <v/>
      </c>
      <c r="DXR83" s="248" t="str">
        <f t="shared" si="57"/>
        <v/>
      </c>
      <c r="DXS83" s="248" t="str">
        <f t="shared" si="57"/>
        <v/>
      </c>
      <c r="DXT83" s="248" t="str">
        <f t="shared" si="57"/>
        <v/>
      </c>
      <c r="DXU83" s="248" t="str">
        <f t="shared" si="57"/>
        <v/>
      </c>
      <c r="DXV83" s="248" t="str">
        <f t="shared" si="57"/>
        <v/>
      </c>
      <c r="DXW83" s="248" t="str">
        <f t="shared" si="57"/>
        <v/>
      </c>
      <c r="DXX83" s="248" t="str">
        <f t="shared" si="57"/>
        <v/>
      </c>
      <c r="DXY83" s="248" t="str">
        <f t="shared" si="57"/>
        <v/>
      </c>
      <c r="DXZ83" s="248" t="str">
        <f t="shared" si="57"/>
        <v/>
      </c>
      <c r="DYA83" s="248" t="str">
        <f t="shared" si="57"/>
        <v/>
      </c>
      <c r="DYB83" s="248" t="str">
        <f t="shared" si="57"/>
        <v/>
      </c>
      <c r="DYC83" s="248" t="str">
        <f t="shared" si="57"/>
        <v/>
      </c>
      <c r="DYD83" s="248" t="str">
        <f t="shared" si="57"/>
        <v/>
      </c>
      <c r="DYE83" s="248" t="str">
        <f t="shared" ref="DYE83:EAP83" si="58">UPPER(DYC83)</f>
        <v/>
      </c>
      <c r="DYF83" s="248" t="str">
        <f t="shared" si="58"/>
        <v/>
      </c>
      <c r="DYG83" s="248" t="str">
        <f t="shared" si="58"/>
        <v/>
      </c>
      <c r="DYH83" s="248" t="str">
        <f t="shared" si="58"/>
        <v/>
      </c>
      <c r="DYI83" s="248" t="str">
        <f t="shared" si="58"/>
        <v/>
      </c>
      <c r="DYJ83" s="248" t="str">
        <f t="shared" si="58"/>
        <v/>
      </c>
      <c r="DYK83" s="248" t="str">
        <f t="shared" si="58"/>
        <v/>
      </c>
      <c r="DYL83" s="248" t="str">
        <f t="shared" si="58"/>
        <v/>
      </c>
      <c r="DYM83" s="248" t="str">
        <f t="shared" si="58"/>
        <v/>
      </c>
      <c r="DYN83" s="248" t="str">
        <f t="shared" si="58"/>
        <v/>
      </c>
      <c r="DYO83" s="248" t="str">
        <f t="shared" si="58"/>
        <v/>
      </c>
      <c r="DYP83" s="248" t="str">
        <f t="shared" si="58"/>
        <v/>
      </c>
      <c r="DYQ83" s="248" t="str">
        <f t="shared" si="58"/>
        <v/>
      </c>
      <c r="DYR83" s="248" t="str">
        <f t="shared" si="58"/>
        <v/>
      </c>
      <c r="DYS83" s="248" t="str">
        <f t="shared" si="58"/>
        <v/>
      </c>
      <c r="DYT83" s="248" t="str">
        <f t="shared" si="58"/>
        <v/>
      </c>
      <c r="DYU83" s="248" t="str">
        <f t="shared" si="58"/>
        <v/>
      </c>
      <c r="DYV83" s="248" t="str">
        <f t="shared" si="58"/>
        <v/>
      </c>
      <c r="DYW83" s="248" t="str">
        <f t="shared" si="58"/>
        <v/>
      </c>
      <c r="DYX83" s="248" t="str">
        <f t="shared" si="58"/>
        <v/>
      </c>
      <c r="DYY83" s="248" t="str">
        <f t="shared" si="58"/>
        <v/>
      </c>
      <c r="DYZ83" s="248" t="str">
        <f t="shared" si="58"/>
        <v/>
      </c>
      <c r="DZA83" s="248" t="str">
        <f t="shared" si="58"/>
        <v/>
      </c>
      <c r="DZB83" s="248" t="str">
        <f t="shared" si="58"/>
        <v/>
      </c>
      <c r="DZC83" s="248" t="str">
        <f t="shared" si="58"/>
        <v/>
      </c>
      <c r="DZD83" s="248" t="str">
        <f t="shared" si="58"/>
        <v/>
      </c>
      <c r="DZE83" s="248" t="str">
        <f t="shared" si="58"/>
        <v/>
      </c>
      <c r="DZF83" s="248" t="str">
        <f t="shared" si="58"/>
        <v/>
      </c>
      <c r="DZG83" s="248" t="str">
        <f t="shared" si="58"/>
        <v/>
      </c>
      <c r="DZH83" s="248" t="str">
        <f t="shared" si="58"/>
        <v/>
      </c>
      <c r="DZI83" s="248" t="str">
        <f t="shared" si="58"/>
        <v/>
      </c>
      <c r="DZJ83" s="248" t="str">
        <f t="shared" si="58"/>
        <v/>
      </c>
      <c r="DZK83" s="248" t="str">
        <f t="shared" si="58"/>
        <v/>
      </c>
      <c r="DZL83" s="248" t="str">
        <f t="shared" si="58"/>
        <v/>
      </c>
      <c r="DZM83" s="248" t="str">
        <f t="shared" si="58"/>
        <v/>
      </c>
      <c r="DZN83" s="248" t="str">
        <f t="shared" si="58"/>
        <v/>
      </c>
      <c r="DZO83" s="248" t="str">
        <f t="shared" si="58"/>
        <v/>
      </c>
      <c r="DZP83" s="248" t="str">
        <f t="shared" si="58"/>
        <v/>
      </c>
      <c r="DZQ83" s="248" t="str">
        <f t="shared" si="58"/>
        <v/>
      </c>
      <c r="DZR83" s="248" t="str">
        <f t="shared" si="58"/>
        <v/>
      </c>
      <c r="DZS83" s="248" t="str">
        <f t="shared" si="58"/>
        <v/>
      </c>
      <c r="DZT83" s="248" t="str">
        <f t="shared" si="58"/>
        <v/>
      </c>
      <c r="DZU83" s="248" t="str">
        <f t="shared" si="58"/>
        <v/>
      </c>
      <c r="DZV83" s="248" t="str">
        <f t="shared" si="58"/>
        <v/>
      </c>
      <c r="DZW83" s="248" t="str">
        <f t="shared" si="58"/>
        <v/>
      </c>
      <c r="DZX83" s="248" t="str">
        <f t="shared" si="58"/>
        <v/>
      </c>
      <c r="DZY83" s="248" t="str">
        <f t="shared" si="58"/>
        <v/>
      </c>
      <c r="DZZ83" s="248" t="str">
        <f t="shared" si="58"/>
        <v/>
      </c>
      <c r="EAA83" s="248" t="str">
        <f t="shared" si="58"/>
        <v/>
      </c>
      <c r="EAB83" s="248" t="str">
        <f t="shared" si="58"/>
        <v/>
      </c>
      <c r="EAC83" s="248" t="str">
        <f t="shared" si="58"/>
        <v/>
      </c>
      <c r="EAD83" s="248" t="str">
        <f t="shared" si="58"/>
        <v/>
      </c>
      <c r="EAE83" s="248" t="str">
        <f t="shared" si="58"/>
        <v/>
      </c>
      <c r="EAF83" s="248" t="str">
        <f t="shared" si="58"/>
        <v/>
      </c>
      <c r="EAG83" s="248" t="str">
        <f t="shared" si="58"/>
        <v/>
      </c>
      <c r="EAH83" s="248" t="str">
        <f t="shared" si="58"/>
        <v/>
      </c>
      <c r="EAI83" s="248" t="str">
        <f t="shared" si="58"/>
        <v/>
      </c>
      <c r="EAJ83" s="248" t="str">
        <f t="shared" si="58"/>
        <v/>
      </c>
      <c r="EAK83" s="248" t="str">
        <f t="shared" si="58"/>
        <v/>
      </c>
      <c r="EAL83" s="248" t="str">
        <f t="shared" si="58"/>
        <v/>
      </c>
      <c r="EAM83" s="248" t="str">
        <f t="shared" si="58"/>
        <v/>
      </c>
      <c r="EAN83" s="248" t="str">
        <f t="shared" si="58"/>
        <v/>
      </c>
      <c r="EAO83" s="248" t="str">
        <f t="shared" si="58"/>
        <v/>
      </c>
      <c r="EAP83" s="248" t="str">
        <f t="shared" si="58"/>
        <v/>
      </c>
      <c r="EAQ83" s="248" t="str">
        <f t="shared" ref="EAQ83:EDB83" si="59">UPPER(EAO83)</f>
        <v/>
      </c>
      <c r="EAR83" s="248" t="str">
        <f t="shared" si="59"/>
        <v/>
      </c>
      <c r="EAS83" s="248" t="str">
        <f t="shared" si="59"/>
        <v/>
      </c>
      <c r="EAT83" s="248" t="str">
        <f t="shared" si="59"/>
        <v/>
      </c>
      <c r="EAU83" s="248" t="str">
        <f t="shared" si="59"/>
        <v/>
      </c>
      <c r="EAV83" s="248" t="str">
        <f t="shared" si="59"/>
        <v/>
      </c>
      <c r="EAW83" s="248" t="str">
        <f t="shared" si="59"/>
        <v/>
      </c>
      <c r="EAX83" s="248" t="str">
        <f t="shared" si="59"/>
        <v/>
      </c>
      <c r="EAY83" s="248" t="str">
        <f t="shared" si="59"/>
        <v/>
      </c>
      <c r="EAZ83" s="248" t="str">
        <f t="shared" si="59"/>
        <v/>
      </c>
      <c r="EBA83" s="248" t="str">
        <f t="shared" si="59"/>
        <v/>
      </c>
      <c r="EBB83" s="248" t="str">
        <f t="shared" si="59"/>
        <v/>
      </c>
      <c r="EBC83" s="248" t="str">
        <f t="shared" si="59"/>
        <v/>
      </c>
      <c r="EBD83" s="248" t="str">
        <f t="shared" si="59"/>
        <v/>
      </c>
      <c r="EBE83" s="248" t="str">
        <f t="shared" si="59"/>
        <v/>
      </c>
      <c r="EBF83" s="248" t="str">
        <f t="shared" si="59"/>
        <v/>
      </c>
      <c r="EBG83" s="248" t="str">
        <f t="shared" si="59"/>
        <v/>
      </c>
      <c r="EBH83" s="248" t="str">
        <f t="shared" si="59"/>
        <v/>
      </c>
      <c r="EBI83" s="248" t="str">
        <f t="shared" si="59"/>
        <v/>
      </c>
      <c r="EBJ83" s="248" t="str">
        <f t="shared" si="59"/>
        <v/>
      </c>
      <c r="EBK83" s="248" t="str">
        <f t="shared" si="59"/>
        <v/>
      </c>
      <c r="EBL83" s="248" t="str">
        <f t="shared" si="59"/>
        <v/>
      </c>
      <c r="EBM83" s="248" t="str">
        <f t="shared" si="59"/>
        <v/>
      </c>
      <c r="EBN83" s="248" t="str">
        <f t="shared" si="59"/>
        <v/>
      </c>
      <c r="EBO83" s="248" t="str">
        <f t="shared" si="59"/>
        <v/>
      </c>
      <c r="EBP83" s="248" t="str">
        <f t="shared" si="59"/>
        <v/>
      </c>
      <c r="EBQ83" s="248" t="str">
        <f t="shared" si="59"/>
        <v/>
      </c>
      <c r="EBR83" s="248" t="str">
        <f t="shared" si="59"/>
        <v/>
      </c>
      <c r="EBS83" s="248" t="str">
        <f t="shared" si="59"/>
        <v/>
      </c>
      <c r="EBT83" s="248" t="str">
        <f t="shared" si="59"/>
        <v/>
      </c>
      <c r="EBU83" s="248" t="str">
        <f t="shared" si="59"/>
        <v/>
      </c>
      <c r="EBV83" s="248" t="str">
        <f t="shared" si="59"/>
        <v/>
      </c>
      <c r="EBW83" s="248" t="str">
        <f t="shared" si="59"/>
        <v/>
      </c>
      <c r="EBX83" s="248" t="str">
        <f t="shared" si="59"/>
        <v/>
      </c>
      <c r="EBY83" s="248" t="str">
        <f t="shared" si="59"/>
        <v/>
      </c>
      <c r="EBZ83" s="248" t="str">
        <f t="shared" si="59"/>
        <v/>
      </c>
      <c r="ECA83" s="248" t="str">
        <f t="shared" si="59"/>
        <v/>
      </c>
      <c r="ECB83" s="248" t="str">
        <f t="shared" si="59"/>
        <v/>
      </c>
      <c r="ECC83" s="248" t="str">
        <f t="shared" si="59"/>
        <v/>
      </c>
      <c r="ECD83" s="248" t="str">
        <f t="shared" si="59"/>
        <v/>
      </c>
      <c r="ECE83" s="248" t="str">
        <f t="shared" si="59"/>
        <v/>
      </c>
      <c r="ECF83" s="248" t="str">
        <f t="shared" si="59"/>
        <v/>
      </c>
      <c r="ECG83" s="248" t="str">
        <f t="shared" si="59"/>
        <v/>
      </c>
      <c r="ECH83" s="248" t="str">
        <f t="shared" si="59"/>
        <v/>
      </c>
      <c r="ECI83" s="248" t="str">
        <f t="shared" si="59"/>
        <v/>
      </c>
      <c r="ECJ83" s="248" t="str">
        <f t="shared" si="59"/>
        <v/>
      </c>
      <c r="ECK83" s="248" t="str">
        <f t="shared" si="59"/>
        <v/>
      </c>
      <c r="ECL83" s="248" t="str">
        <f t="shared" si="59"/>
        <v/>
      </c>
      <c r="ECM83" s="248" t="str">
        <f t="shared" si="59"/>
        <v/>
      </c>
      <c r="ECN83" s="248" t="str">
        <f t="shared" si="59"/>
        <v/>
      </c>
      <c r="ECO83" s="248" t="str">
        <f t="shared" si="59"/>
        <v/>
      </c>
      <c r="ECP83" s="248" t="str">
        <f t="shared" si="59"/>
        <v/>
      </c>
      <c r="ECQ83" s="248" t="str">
        <f t="shared" si="59"/>
        <v/>
      </c>
      <c r="ECR83" s="248" t="str">
        <f t="shared" si="59"/>
        <v/>
      </c>
      <c r="ECS83" s="248" t="str">
        <f t="shared" si="59"/>
        <v/>
      </c>
      <c r="ECT83" s="248" t="str">
        <f t="shared" si="59"/>
        <v/>
      </c>
      <c r="ECU83" s="248" t="str">
        <f t="shared" si="59"/>
        <v/>
      </c>
      <c r="ECV83" s="248" t="str">
        <f t="shared" si="59"/>
        <v/>
      </c>
      <c r="ECW83" s="248" t="str">
        <f t="shared" si="59"/>
        <v/>
      </c>
      <c r="ECX83" s="248" t="str">
        <f t="shared" si="59"/>
        <v/>
      </c>
      <c r="ECY83" s="248" t="str">
        <f t="shared" si="59"/>
        <v/>
      </c>
      <c r="ECZ83" s="248" t="str">
        <f t="shared" si="59"/>
        <v/>
      </c>
      <c r="EDA83" s="248" t="str">
        <f t="shared" si="59"/>
        <v/>
      </c>
      <c r="EDB83" s="248" t="str">
        <f t="shared" si="59"/>
        <v/>
      </c>
      <c r="EDC83" s="248" t="str">
        <f t="shared" ref="EDC83:EFN83" si="60">UPPER(EDA83)</f>
        <v/>
      </c>
      <c r="EDD83" s="248" t="str">
        <f t="shared" si="60"/>
        <v/>
      </c>
      <c r="EDE83" s="248" t="str">
        <f t="shared" si="60"/>
        <v/>
      </c>
      <c r="EDF83" s="248" t="str">
        <f t="shared" si="60"/>
        <v/>
      </c>
      <c r="EDG83" s="248" t="str">
        <f t="shared" si="60"/>
        <v/>
      </c>
      <c r="EDH83" s="248" t="str">
        <f t="shared" si="60"/>
        <v/>
      </c>
      <c r="EDI83" s="248" t="str">
        <f t="shared" si="60"/>
        <v/>
      </c>
      <c r="EDJ83" s="248" t="str">
        <f t="shared" si="60"/>
        <v/>
      </c>
      <c r="EDK83" s="248" t="str">
        <f t="shared" si="60"/>
        <v/>
      </c>
      <c r="EDL83" s="248" t="str">
        <f t="shared" si="60"/>
        <v/>
      </c>
      <c r="EDM83" s="248" t="str">
        <f t="shared" si="60"/>
        <v/>
      </c>
      <c r="EDN83" s="248" t="str">
        <f t="shared" si="60"/>
        <v/>
      </c>
      <c r="EDO83" s="248" t="str">
        <f t="shared" si="60"/>
        <v/>
      </c>
      <c r="EDP83" s="248" t="str">
        <f t="shared" si="60"/>
        <v/>
      </c>
      <c r="EDQ83" s="248" t="str">
        <f t="shared" si="60"/>
        <v/>
      </c>
      <c r="EDR83" s="248" t="str">
        <f t="shared" si="60"/>
        <v/>
      </c>
      <c r="EDS83" s="248" t="str">
        <f t="shared" si="60"/>
        <v/>
      </c>
      <c r="EDT83" s="248" t="str">
        <f t="shared" si="60"/>
        <v/>
      </c>
      <c r="EDU83" s="248" t="str">
        <f t="shared" si="60"/>
        <v/>
      </c>
      <c r="EDV83" s="248" t="str">
        <f t="shared" si="60"/>
        <v/>
      </c>
      <c r="EDW83" s="248" t="str">
        <f t="shared" si="60"/>
        <v/>
      </c>
      <c r="EDX83" s="248" t="str">
        <f t="shared" si="60"/>
        <v/>
      </c>
      <c r="EDY83" s="248" t="str">
        <f t="shared" si="60"/>
        <v/>
      </c>
      <c r="EDZ83" s="248" t="str">
        <f t="shared" si="60"/>
        <v/>
      </c>
      <c r="EEA83" s="248" t="str">
        <f t="shared" si="60"/>
        <v/>
      </c>
      <c r="EEB83" s="248" t="str">
        <f t="shared" si="60"/>
        <v/>
      </c>
      <c r="EEC83" s="248" t="str">
        <f t="shared" si="60"/>
        <v/>
      </c>
      <c r="EED83" s="248" t="str">
        <f t="shared" si="60"/>
        <v/>
      </c>
      <c r="EEE83" s="248" t="str">
        <f t="shared" si="60"/>
        <v/>
      </c>
      <c r="EEF83" s="248" t="str">
        <f t="shared" si="60"/>
        <v/>
      </c>
      <c r="EEG83" s="248" t="str">
        <f t="shared" si="60"/>
        <v/>
      </c>
      <c r="EEH83" s="248" t="str">
        <f t="shared" si="60"/>
        <v/>
      </c>
      <c r="EEI83" s="248" t="str">
        <f t="shared" si="60"/>
        <v/>
      </c>
      <c r="EEJ83" s="248" t="str">
        <f t="shared" si="60"/>
        <v/>
      </c>
      <c r="EEK83" s="248" t="str">
        <f t="shared" si="60"/>
        <v/>
      </c>
      <c r="EEL83" s="248" t="str">
        <f t="shared" si="60"/>
        <v/>
      </c>
      <c r="EEM83" s="248" t="str">
        <f t="shared" si="60"/>
        <v/>
      </c>
      <c r="EEN83" s="248" t="str">
        <f t="shared" si="60"/>
        <v/>
      </c>
      <c r="EEO83" s="248" t="str">
        <f t="shared" si="60"/>
        <v/>
      </c>
      <c r="EEP83" s="248" t="str">
        <f t="shared" si="60"/>
        <v/>
      </c>
      <c r="EEQ83" s="248" t="str">
        <f t="shared" si="60"/>
        <v/>
      </c>
      <c r="EER83" s="248" t="str">
        <f t="shared" si="60"/>
        <v/>
      </c>
      <c r="EES83" s="248" t="str">
        <f t="shared" si="60"/>
        <v/>
      </c>
      <c r="EET83" s="248" t="str">
        <f t="shared" si="60"/>
        <v/>
      </c>
      <c r="EEU83" s="248" t="str">
        <f t="shared" si="60"/>
        <v/>
      </c>
      <c r="EEV83" s="248" t="str">
        <f t="shared" si="60"/>
        <v/>
      </c>
      <c r="EEW83" s="248" t="str">
        <f t="shared" si="60"/>
        <v/>
      </c>
      <c r="EEX83" s="248" t="str">
        <f t="shared" si="60"/>
        <v/>
      </c>
      <c r="EEY83" s="248" t="str">
        <f t="shared" si="60"/>
        <v/>
      </c>
      <c r="EEZ83" s="248" t="str">
        <f t="shared" si="60"/>
        <v/>
      </c>
      <c r="EFA83" s="248" t="str">
        <f t="shared" si="60"/>
        <v/>
      </c>
      <c r="EFB83" s="248" t="str">
        <f t="shared" si="60"/>
        <v/>
      </c>
      <c r="EFC83" s="248" t="str">
        <f t="shared" si="60"/>
        <v/>
      </c>
      <c r="EFD83" s="248" t="str">
        <f t="shared" si="60"/>
        <v/>
      </c>
      <c r="EFE83" s="248" t="str">
        <f t="shared" si="60"/>
        <v/>
      </c>
      <c r="EFF83" s="248" t="str">
        <f t="shared" si="60"/>
        <v/>
      </c>
      <c r="EFG83" s="248" t="str">
        <f t="shared" si="60"/>
        <v/>
      </c>
      <c r="EFH83" s="248" t="str">
        <f t="shared" si="60"/>
        <v/>
      </c>
      <c r="EFI83" s="248" t="str">
        <f t="shared" si="60"/>
        <v/>
      </c>
      <c r="EFJ83" s="248" t="str">
        <f t="shared" si="60"/>
        <v/>
      </c>
      <c r="EFK83" s="248" t="str">
        <f t="shared" si="60"/>
        <v/>
      </c>
      <c r="EFL83" s="248" t="str">
        <f t="shared" si="60"/>
        <v/>
      </c>
      <c r="EFM83" s="248" t="str">
        <f t="shared" si="60"/>
        <v/>
      </c>
      <c r="EFN83" s="248" t="str">
        <f t="shared" si="60"/>
        <v/>
      </c>
      <c r="EFO83" s="248" t="str">
        <f t="shared" ref="EFO83:EHZ83" si="61">UPPER(EFM83)</f>
        <v/>
      </c>
      <c r="EFP83" s="248" t="str">
        <f t="shared" si="61"/>
        <v/>
      </c>
      <c r="EFQ83" s="248" t="str">
        <f t="shared" si="61"/>
        <v/>
      </c>
      <c r="EFR83" s="248" t="str">
        <f t="shared" si="61"/>
        <v/>
      </c>
      <c r="EFS83" s="248" t="str">
        <f t="shared" si="61"/>
        <v/>
      </c>
      <c r="EFT83" s="248" t="str">
        <f t="shared" si="61"/>
        <v/>
      </c>
      <c r="EFU83" s="248" t="str">
        <f t="shared" si="61"/>
        <v/>
      </c>
      <c r="EFV83" s="248" t="str">
        <f t="shared" si="61"/>
        <v/>
      </c>
      <c r="EFW83" s="248" t="str">
        <f t="shared" si="61"/>
        <v/>
      </c>
      <c r="EFX83" s="248" t="str">
        <f t="shared" si="61"/>
        <v/>
      </c>
      <c r="EFY83" s="248" t="str">
        <f t="shared" si="61"/>
        <v/>
      </c>
      <c r="EFZ83" s="248" t="str">
        <f t="shared" si="61"/>
        <v/>
      </c>
      <c r="EGA83" s="248" t="str">
        <f t="shared" si="61"/>
        <v/>
      </c>
      <c r="EGB83" s="248" t="str">
        <f t="shared" si="61"/>
        <v/>
      </c>
      <c r="EGC83" s="248" t="str">
        <f t="shared" si="61"/>
        <v/>
      </c>
      <c r="EGD83" s="248" t="str">
        <f t="shared" si="61"/>
        <v/>
      </c>
      <c r="EGE83" s="248" t="str">
        <f t="shared" si="61"/>
        <v/>
      </c>
      <c r="EGF83" s="248" t="str">
        <f t="shared" si="61"/>
        <v/>
      </c>
      <c r="EGG83" s="248" t="str">
        <f t="shared" si="61"/>
        <v/>
      </c>
      <c r="EGH83" s="248" t="str">
        <f t="shared" si="61"/>
        <v/>
      </c>
      <c r="EGI83" s="248" t="str">
        <f t="shared" si="61"/>
        <v/>
      </c>
      <c r="EGJ83" s="248" t="str">
        <f t="shared" si="61"/>
        <v/>
      </c>
      <c r="EGK83" s="248" t="str">
        <f t="shared" si="61"/>
        <v/>
      </c>
      <c r="EGL83" s="248" t="str">
        <f t="shared" si="61"/>
        <v/>
      </c>
      <c r="EGM83" s="248" t="str">
        <f t="shared" si="61"/>
        <v/>
      </c>
      <c r="EGN83" s="248" t="str">
        <f t="shared" si="61"/>
        <v/>
      </c>
      <c r="EGO83" s="248" t="str">
        <f t="shared" si="61"/>
        <v/>
      </c>
      <c r="EGP83" s="248" t="str">
        <f t="shared" si="61"/>
        <v/>
      </c>
      <c r="EGQ83" s="248" t="str">
        <f t="shared" si="61"/>
        <v/>
      </c>
      <c r="EGR83" s="248" t="str">
        <f t="shared" si="61"/>
        <v/>
      </c>
      <c r="EGS83" s="248" t="str">
        <f t="shared" si="61"/>
        <v/>
      </c>
      <c r="EGT83" s="248" t="str">
        <f t="shared" si="61"/>
        <v/>
      </c>
      <c r="EGU83" s="248" t="str">
        <f t="shared" si="61"/>
        <v/>
      </c>
      <c r="EGV83" s="248" t="str">
        <f t="shared" si="61"/>
        <v/>
      </c>
      <c r="EGW83" s="248" t="str">
        <f t="shared" si="61"/>
        <v/>
      </c>
      <c r="EGX83" s="248" t="str">
        <f t="shared" si="61"/>
        <v/>
      </c>
      <c r="EGY83" s="248" t="str">
        <f t="shared" si="61"/>
        <v/>
      </c>
      <c r="EGZ83" s="248" t="str">
        <f t="shared" si="61"/>
        <v/>
      </c>
      <c r="EHA83" s="248" t="str">
        <f t="shared" si="61"/>
        <v/>
      </c>
      <c r="EHB83" s="248" t="str">
        <f t="shared" si="61"/>
        <v/>
      </c>
      <c r="EHC83" s="248" t="str">
        <f t="shared" si="61"/>
        <v/>
      </c>
      <c r="EHD83" s="248" t="str">
        <f t="shared" si="61"/>
        <v/>
      </c>
      <c r="EHE83" s="248" t="str">
        <f t="shared" si="61"/>
        <v/>
      </c>
      <c r="EHF83" s="248" t="str">
        <f t="shared" si="61"/>
        <v/>
      </c>
      <c r="EHG83" s="248" t="str">
        <f t="shared" si="61"/>
        <v/>
      </c>
      <c r="EHH83" s="248" t="str">
        <f t="shared" si="61"/>
        <v/>
      </c>
      <c r="EHI83" s="248" t="str">
        <f t="shared" si="61"/>
        <v/>
      </c>
      <c r="EHJ83" s="248" t="str">
        <f t="shared" si="61"/>
        <v/>
      </c>
      <c r="EHK83" s="248" t="str">
        <f t="shared" si="61"/>
        <v/>
      </c>
      <c r="EHL83" s="248" t="str">
        <f t="shared" si="61"/>
        <v/>
      </c>
      <c r="EHM83" s="248" t="str">
        <f t="shared" si="61"/>
        <v/>
      </c>
      <c r="EHN83" s="248" t="str">
        <f t="shared" si="61"/>
        <v/>
      </c>
      <c r="EHO83" s="248" t="str">
        <f t="shared" si="61"/>
        <v/>
      </c>
      <c r="EHP83" s="248" t="str">
        <f t="shared" si="61"/>
        <v/>
      </c>
      <c r="EHQ83" s="248" t="str">
        <f t="shared" si="61"/>
        <v/>
      </c>
      <c r="EHR83" s="248" t="str">
        <f t="shared" si="61"/>
        <v/>
      </c>
      <c r="EHS83" s="248" t="str">
        <f t="shared" si="61"/>
        <v/>
      </c>
      <c r="EHT83" s="248" t="str">
        <f t="shared" si="61"/>
        <v/>
      </c>
      <c r="EHU83" s="248" t="str">
        <f t="shared" si="61"/>
        <v/>
      </c>
      <c r="EHV83" s="248" t="str">
        <f t="shared" si="61"/>
        <v/>
      </c>
      <c r="EHW83" s="248" t="str">
        <f t="shared" si="61"/>
        <v/>
      </c>
      <c r="EHX83" s="248" t="str">
        <f t="shared" si="61"/>
        <v/>
      </c>
      <c r="EHY83" s="248" t="str">
        <f t="shared" si="61"/>
        <v/>
      </c>
      <c r="EHZ83" s="248" t="str">
        <f t="shared" si="61"/>
        <v/>
      </c>
      <c r="EIA83" s="248" t="str">
        <f t="shared" ref="EIA83:EKL83" si="62">UPPER(EHY83)</f>
        <v/>
      </c>
      <c r="EIB83" s="248" t="str">
        <f t="shared" si="62"/>
        <v/>
      </c>
      <c r="EIC83" s="248" t="str">
        <f t="shared" si="62"/>
        <v/>
      </c>
      <c r="EID83" s="248" t="str">
        <f t="shared" si="62"/>
        <v/>
      </c>
      <c r="EIE83" s="248" t="str">
        <f t="shared" si="62"/>
        <v/>
      </c>
      <c r="EIF83" s="248" t="str">
        <f t="shared" si="62"/>
        <v/>
      </c>
      <c r="EIG83" s="248" t="str">
        <f t="shared" si="62"/>
        <v/>
      </c>
      <c r="EIH83" s="248" t="str">
        <f t="shared" si="62"/>
        <v/>
      </c>
      <c r="EII83" s="248" t="str">
        <f t="shared" si="62"/>
        <v/>
      </c>
      <c r="EIJ83" s="248" t="str">
        <f t="shared" si="62"/>
        <v/>
      </c>
      <c r="EIK83" s="248" t="str">
        <f t="shared" si="62"/>
        <v/>
      </c>
      <c r="EIL83" s="248" t="str">
        <f t="shared" si="62"/>
        <v/>
      </c>
      <c r="EIM83" s="248" t="str">
        <f t="shared" si="62"/>
        <v/>
      </c>
      <c r="EIN83" s="248" t="str">
        <f t="shared" si="62"/>
        <v/>
      </c>
      <c r="EIO83" s="248" t="str">
        <f t="shared" si="62"/>
        <v/>
      </c>
      <c r="EIP83" s="248" t="str">
        <f t="shared" si="62"/>
        <v/>
      </c>
      <c r="EIQ83" s="248" t="str">
        <f t="shared" si="62"/>
        <v/>
      </c>
      <c r="EIR83" s="248" t="str">
        <f t="shared" si="62"/>
        <v/>
      </c>
      <c r="EIS83" s="248" t="str">
        <f t="shared" si="62"/>
        <v/>
      </c>
      <c r="EIT83" s="248" t="str">
        <f t="shared" si="62"/>
        <v/>
      </c>
      <c r="EIU83" s="248" t="str">
        <f t="shared" si="62"/>
        <v/>
      </c>
      <c r="EIV83" s="248" t="str">
        <f t="shared" si="62"/>
        <v/>
      </c>
      <c r="EIW83" s="248" t="str">
        <f t="shared" si="62"/>
        <v/>
      </c>
      <c r="EIX83" s="248" t="str">
        <f t="shared" si="62"/>
        <v/>
      </c>
      <c r="EIY83" s="248" t="str">
        <f t="shared" si="62"/>
        <v/>
      </c>
      <c r="EIZ83" s="248" t="str">
        <f t="shared" si="62"/>
        <v/>
      </c>
      <c r="EJA83" s="248" t="str">
        <f t="shared" si="62"/>
        <v/>
      </c>
      <c r="EJB83" s="248" t="str">
        <f t="shared" si="62"/>
        <v/>
      </c>
      <c r="EJC83" s="248" t="str">
        <f t="shared" si="62"/>
        <v/>
      </c>
      <c r="EJD83" s="248" t="str">
        <f t="shared" si="62"/>
        <v/>
      </c>
      <c r="EJE83" s="248" t="str">
        <f t="shared" si="62"/>
        <v/>
      </c>
      <c r="EJF83" s="248" t="str">
        <f t="shared" si="62"/>
        <v/>
      </c>
      <c r="EJG83" s="248" t="str">
        <f t="shared" si="62"/>
        <v/>
      </c>
      <c r="EJH83" s="248" t="str">
        <f t="shared" si="62"/>
        <v/>
      </c>
      <c r="EJI83" s="248" t="str">
        <f t="shared" si="62"/>
        <v/>
      </c>
      <c r="EJJ83" s="248" t="str">
        <f t="shared" si="62"/>
        <v/>
      </c>
      <c r="EJK83" s="248" t="str">
        <f t="shared" si="62"/>
        <v/>
      </c>
      <c r="EJL83" s="248" t="str">
        <f t="shared" si="62"/>
        <v/>
      </c>
      <c r="EJM83" s="248" t="str">
        <f t="shared" si="62"/>
        <v/>
      </c>
      <c r="EJN83" s="248" t="str">
        <f t="shared" si="62"/>
        <v/>
      </c>
      <c r="EJO83" s="248" t="str">
        <f t="shared" si="62"/>
        <v/>
      </c>
      <c r="EJP83" s="248" t="str">
        <f t="shared" si="62"/>
        <v/>
      </c>
      <c r="EJQ83" s="248" t="str">
        <f t="shared" si="62"/>
        <v/>
      </c>
      <c r="EJR83" s="248" t="str">
        <f t="shared" si="62"/>
        <v/>
      </c>
      <c r="EJS83" s="248" t="str">
        <f t="shared" si="62"/>
        <v/>
      </c>
      <c r="EJT83" s="248" t="str">
        <f t="shared" si="62"/>
        <v/>
      </c>
      <c r="EJU83" s="248" t="str">
        <f t="shared" si="62"/>
        <v/>
      </c>
      <c r="EJV83" s="248" t="str">
        <f t="shared" si="62"/>
        <v/>
      </c>
      <c r="EJW83" s="248" t="str">
        <f t="shared" si="62"/>
        <v/>
      </c>
      <c r="EJX83" s="248" t="str">
        <f t="shared" si="62"/>
        <v/>
      </c>
      <c r="EJY83" s="248" t="str">
        <f t="shared" si="62"/>
        <v/>
      </c>
      <c r="EJZ83" s="248" t="str">
        <f t="shared" si="62"/>
        <v/>
      </c>
      <c r="EKA83" s="248" t="str">
        <f t="shared" si="62"/>
        <v/>
      </c>
      <c r="EKB83" s="248" t="str">
        <f t="shared" si="62"/>
        <v/>
      </c>
      <c r="EKC83" s="248" t="str">
        <f t="shared" si="62"/>
        <v/>
      </c>
      <c r="EKD83" s="248" t="str">
        <f t="shared" si="62"/>
        <v/>
      </c>
      <c r="EKE83" s="248" t="str">
        <f t="shared" si="62"/>
        <v/>
      </c>
      <c r="EKF83" s="248" t="str">
        <f t="shared" si="62"/>
        <v/>
      </c>
      <c r="EKG83" s="248" t="str">
        <f t="shared" si="62"/>
        <v/>
      </c>
      <c r="EKH83" s="248" t="str">
        <f t="shared" si="62"/>
        <v/>
      </c>
      <c r="EKI83" s="248" t="str">
        <f t="shared" si="62"/>
        <v/>
      </c>
      <c r="EKJ83" s="248" t="str">
        <f t="shared" si="62"/>
        <v/>
      </c>
      <c r="EKK83" s="248" t="str">
        <f t="shared" si="62"/>
        <v/>
      </c>
      <c r="EKL83" s="248" t="str">
        <f t="shared" si="62"/>
        <v/>
      </c>
      <c r="EKM83" s="248" t="str">
        <f t="shared" ref="EKM83:EMX83" si="63">UPPER(EKK83)</f>
        <v/>
      </c>
      <c r="EKN83" s="248" t="str">
        <f t="shared" si="63"/>
        <v/>
      </c>
      <c r="EKO83" s="248" t="str">
        <f t="shared" si="63"/>
        <v/>
      </c>
      <c r="EKP83" s="248" t="str">
        <f t="shared" si="63"/>
        <v/>
      </c>
      <c r="EKQ83" s="248" t="str">
        <f t="shared" si="63"/>
        <v/>
      </c>
      <c r="EKR83" s="248" t="str">
        <f t="shared" si="63"/>
        <v/>
      </c>
      <c r="EKS83" s="248" t="str">
        <f t="shared" si="63"/>
        <v/>
      </c>
      <c r="EKT83" s="248" t="str">
        <f t="shared" si="63"/>
        <v/>
      </c>
      <c r="EKU83" s="248" t="str">
        <f t="shared" si="63"/>
        <v/>
      </c>
      <c r="EKV83" s="248" t="str">
        <f t="shared" si="63"/>
        <v/>
      </c>
      <c r="EKW83" s="248" t="str">
        <f t="shared" si="63"/>
        <v/>
      </c>
      <c r="EKX83" s="248" t="str">
        <f t="shared" si="63"/>
        <v/>
      </c>
      <c r="EKY83" s="248" t="str">
        <f t="shared" si="63"/>
        <v/>
      </c>
      <c r="EKZ83" s="248" t="str">
        <f t="shared" si="63"/>
        <v/>
      </c>
      <c r="ELA83" s="248" t="str">
        <f t="shared" si="63"/>
        <v/>
      </c>
      <c r="ELB83" s="248" t="str">
        <f t="shared" si="63"/>
        <v/>
      </c>
      <c r="ELC83" s="248" t="str">
        <f t="shared" si="63"/>
        <v/>
      </c>
      <c r="ELD83" s="248" t="str">
        <f t="shared" si="63"/>
        <v/>
      </c>
      <c r="ELE83" s="248" t="str">
        <f t="shared" si="63"/>
        <v/>
      </c>
      <c r="ELF83" s="248" t="str">
        <f t="shared" si="63"/>
        <v/>
      </c>
      <c r="ELG83" s="248" t="str">
        <f t="shared" si="63"/>
        <v/>
      </c>
      <c r="ELH83" s="248" t="str">
        <f t="shared" si="63"/>
        <v/>
      </c>
      <c r="ELI83" s="248" t="str">
        <f t="shared" si="63"/>
        <v/>
      </c>
      <c r="ELJ83" s="248" t="str">
        <f t="shared" si="63"/>
        <v/>
      </c>
      <c r="ELK83" s="248" t="str">
        <f t="shared" si="63"/>
        <v/>
      </c>
      <c r="ELL83" s="248" t="str">
        <f t="shared" si="63"/>
        <v/>
      </c>
      <c r="ELM83" s="248" t="str">
        <f t="shared" si="63"/>
        <v/>
      </c>
      <c r="ELN83" s="248" t="str">
        <f t="shared" si="63"/>
        <v/>
      </c>
      <c r="ELO83" s="248" t="str">
        <f t="shared" si="63"/>
        <v/>
      </c>
      <c r="ELP83" s="248" t="str">
        <f t="shared" si="63"/>
        <v/>
      </c>
      <c r="ELQ83" s="248" t="str">
        <f t="shared" si="63"/>
        <v/>
      </c>
      <c r="ELR83" s="248" t="str">
        <f t="shared" si="63"/>
        <v/>
      </c>
      <c r="ELS83" s="248" t="str">
        <f t="shared" si="63"/>
        <v/>
      </c>
      <c r="ELT83" s="248" t="str">
        <f t="shared" si="63"/>
        <v/>
      </c>
      <c r="ELU83" s="248" t="str">
        <f t="shared" si="63"/>
        <v/>
      </c>
      <c r="ELV83" s="248" t="str">
        <f t="shared" si="63"/>
        <v/>
      </c>
      <c r="ELW83" s="248" t="str">
        <f t="shared" si="63"/>
        <v/>
      </c>
      <c r="ELX83" s="248" t="str">
        <f t="shared" si="63"/>
        <v/>
      </c>
      <c r="ELY83" s="248" t="str">
        <f t="shared" si="63"/>
        <v/>
      </c>
      <c r="ELZ83" s="248" t="str">
        <f t="shared" si="63"/>
        <v/>
      </c>
      <c r="EMA83" s="248" t="str">
        <f t="shared" si="63"/>
        <v/>
      </c>
      <c r="EMB83" s="248" t="str">
        <f t="shared" si="63"/>
        <v/>
      </c>
      <c r="EMC83" s="248" t="str">
        <f t="shared" si="63"/>
        <v/>
      </c>
      <c r="EMD83" s="248" t="str">
        <f t="shared" si="63"/>
        <v/>
      </c>
      <c r="EME83" s="248" t="str">
        <f t="shared" si="63"/>
        <v/>
      </c>
      <c r="EMF83" s="248" t="str">
        <f t="shared" si="63"/>
        <v/>
      </c>
      <c r="EMG83" s="248" t="str">
        <f t="shared" si="63"/>
        <v/>
      </c>
      <c r="EMH83" s="248" t="str">
        <f t="shared" si="63"/>
        <v/>
      </c>
      <c r="EMI83" s="248" t="str">
        <f t="shared" si="63"/>
        <v/>
      </c>
      <c r="EMJ83" s="248" t="str">
        <f t="shared" si="63"/>
        <v/>
      </c>
      <c r="EMK83" s="248" t="str">
        <f t="shared" si="63"/>
        <v/>
      </c>
      <c r="EML83" s="248" t="str">
        <f t="shared" si="63"/>
        <v/>
      </c>
      <c r="EMM83" s="248" t="str">
        <f t="shared" si="63"/>
        <v/>
      </c>
      <c r="EMN83" s="248" t="str">
        <f t="shared" si="63"/>
        <v/>
      </c>
      <c r="EMO83" s="248" t="str">
        <f t="shared" si="63"/>
        <v/>
      </c>
      <c r="EMP83" s="248" t="str">
        <f t="shared" si="63"/>
        <v/>
      </c>
      <c r="EMQ83" s="248" t="str">
        <f t="shared" si="63"/>
        <v/>
      </c>
      <c r="EMR83" s="248" t="str">
        <f t="shared" si="63"/>
        <v/>
      </c>
      <c r="EMS83" s="248" t="str">
        <f t="shared" si="63"/>
        <v/>
      </c>
      <c r="EMT83" s="248" t="str">
        <f t="shared" si="63"/>
        <v/>
      </c>
      <c r="EMU83" s="248" t="str">
        <f t="shared" si="63"/>
        <v/>
      </c>
      <c r="EMV83" s="248" t="str">
        <f t="shared" si="63"/>
        <v/>
      </c>
      <c r="EMW83" s="248" t="str">
        <f t="shared" si="63"/>
        <v/>
      </c>
      <c r="EMX83" s="248" t="str">
        <f t="shared" si="63"/>
        <v/>
      </c>
      <c r="EMY83" s="248" t="str">
        <f t="shared" ref="EMY83:EPJ83" si="64">UPPER(EMW83)</f>
        <v/>
      </c>
      <c r="EMZ83" s="248" t="str">
        <f t="shared" si="64"/>
        <v/>
      </c>
      <c r="ENA83" s="248" t="str">
        <f t="shared" si="64"/>
        <v/>
      </c>
      <c r="ENB83" s="248" t="str">
        <f t="shared" si="64"/>
        <v/>
      </c>
      <c r="ENC83" s="248" t="str">
        <f t="shared" si="64"/>
        <v/>
      </c>
      <c r="END83" s="248" t="str">
        <f t="shared" si="64"/>
        <v/>
      </c>
      <c r="ENE83" s="248" t="str">
        <f t="shared" si="64"/>
        <v/>
      </c>
      <c r="ENF83" s="248" t="str">
        <f t="shared" si="64"/>
        <v/>
      </c>
      <c r="ENG83" s="248" t="str">
        <f t="shared" si="64"/>
        <v/>
      </c>
      <c r="ENH83" s="248" t="str">
        <f t="shared" si="64"/>
        <v/>
      </c>
      <c r="ENI83" s="248" t="str">
        <f t="shared" si="64"/>
        <v/>
      </c>
      <c r="ENJ83" s="248" t="str">
        <f t="shared" si="64"/>
        <v/>
      </c>
      <c r="ENK83" s="248" t="str">
        <f t="shared" si="64"/>
        <v/>
      </c>
      <c r="ENL83" s="248" t="str">
        <f t="shared" si="64"/>
        <v/>
      </c>
      <c r="ENM83" s="248" t="str">
        <f t="shared" si="64"/>
        <v/>
      </c>
      <c r="ENN83" s="248" t="str">
        <f t="shared" si="64"/>
        <v/>
      </c>
      <c r="ENO83" s="248" t="str">
        <f t="shared" si="64"/>
        <v/>
      </c>
      <c r="ENP83" s="248" t="str">
        <f t="shared" si="64"/>
        <v/>
      </c>
      <c r="ENQ83" s="248" t="str">
        <f t="shared" si="64"/>
        <v/>
      </c>
      <c r="ENR83" s="248" t="str">
        <f t="shared" si="64"/>
        <v/>
      </c>
      <c r="ENS83" s="248" t="str">
        <f t="shared" si="64"/>
        <v/>
      </c>
      <c r="ENT83" s="248" t="str">
        <f t="shared" si="64"/>
        <v/>
      </c>
      <c r="ENU83" s="248" t="str">
        <f t="shared" si="64"/>
        <v/>
      </c>
      <c r="ENV83" s="248" t="str">
        <f t="shared" si="64"/>
        <v/>
      </c>
      <c r="ENW83" s="248" t="str">
        <f t="shared" si="64"/>
        <v/>
      </c>
      <c r="ENX83" s="248" t="str">
        <f t="shared" si="64"/>
        <v/>
      </c>
      <c r="ENY83" s="248" t="str">
        <f t="shared" si="64"/>
        <v/>
      </c>
      <c r="ENZ83" s="248" t="str">
        <f t="shared" si="64"/>
        <v/>
      </c>
      <c r="EOA83" s="248" t="str">
        <f t="shared" si="64"/>
        <v/>
      </c>
      <c r="EOB83" s="248" t="str">
        <f t="shared" si="64"/>
        <v/>
      </c>
      <c r="EOC83" s="248" t="str">
        <f t="shared" si="64"/>
        <v/>
      </c>
      <c r="EOD83" s="248" t="str">
        <f t="shared" si="64"/>
        <v/>
      </c>
      <c r="EOE83" s="248" t="str">
        <f t="shared" si="64"/>
        <v/>
      </c>
      <c r="EOF83" s="248" t="str">
        <f t="shared" si="64"/>
        <v/>
      </c>
      <c r="EOG83" s="248" t="str">
        <f t="shared" si="64"/>
        <v/>
      </c>
      <c r="EOH83" s="248" t="str">
        <f t="shared" si="64"/>
        <v/>
      </c>
      <c r="EOI83" s="248" t="str">
        <f t="shared" si="64"/>
        <v/>
      </c>
      <c r="EOJ83" s="248" t="str">
        <f t="shared" si="64"/>
        <v/>
      </c>
      <c r="EOK83" s="248" t="str">
        <f t="shared" si="64"/>
        <v/>
      </c>
      <c r="EOL83" s="248" t="str">
        <f t="shared" si="64"/>
        <v/>
      </c>
      <c r="EOM83" s="248" t="str">
        <f t="shared" si="64"/>
        <v/>
      </c>
      <c r="EON83" s="248" t="str">
        <f t="shared" si="64"/>
        <v/>
      </c>
      <c r="EOO83" s="248" t="str">
        <f t="shared" si="64"/>
        <v/>
      </c>
      <c r="EOP83" s="248" t="str">
        <f t="shared" si="64"/>
        <v/>
      </c>
      <c r="EOQ83" s="248" t="str">
        <f t="shared" si="64"/>
        <v/>
      </c>
      <c r="EOR83" s="248" t="str">
        <f t="shared" si="64"/>
        <v/>
      </c>
      <c r="EOS83" s="248" t="str">
        <f t="shared" si="64"/>
        <v/>
      </c>
      <c r="EOT83" s="248" t="str">
        <f t="shared" si="64"/>
        <v/>
      </c>
      <c r="EOU83" s="248" t="str">
        <f t="shared" si="64"/>
        <v/>
      </c>
      <c r="EOV83" s="248" t="str">
        <f t="shared" si="64"/>
        <v/>
      </c>
      <c r="EOW83" s="248" t="str">
        <f t="shared" si="64"/>
        <v/>
      </c>
      <c r="EOX83" s="248" t="str">
        <f t="shared" si="64"/>
        <v/>
      </c>
      <c r="EOY83" s="248" t="str">
        <f t="shared" si="64"/>
        <v/>
      </c>
      <c r="EOZ83" s="248" t="str">
        <f t="shared" si="64"/>
        <v/>
      </c>
      <c r="EPA83" s="248" t="str">
        <f t="shared" si="64"/>
        <v/>
      </c>
      <c r="EPB83" s="248" t="str">
        <f t="shared" si="64"/>
        <v/>
      </c>
      <c r="EPC83" s="248" t="str">
        <f t="shared" si="64"/>
        <v/>
      </c>
      <c r="EPD83" s="248" t="str">
        <f t="shared" si="64"/>
        <v/>
      </c>
      <c r="EPE83" s="248" t="str">
        <f t="shared" si="64"/>
        <v/>
      </c>
      <c r="EPF83" s="248" t="str">
        <f t="shared" si="64"/>
        <v/>
      </c>
      <c r="EPG83" s="248" t="str">
        <f t="shared" si="64"/>
        <v/>
      </c>
      <c r="EPH83" s="248" t="str">
        <f t="shared" si="64"/>
        <v/>
      </c>
      <c r="EPI83" s="248" t="str">
        <f t="shared" si="64"/>
        <v/>
      </c>
      <c r="EPJ83" s="248" t="str">
        <f t="shared" si="64"/>
        <v/>
      </c>
      <c r="EPK83" s="248" t="str">
        <f t="shared" ref="EPK83:ERV83" si="65">UPPER(EPI83)</f>
        <v/>
      </c>
      <c r="EPL83" s="248" t="str">
        <f t="shared" si="65"/>
        <v/>
      </c>
      <c r="EPM83" s="248" t="str">
        <f t="shared" si="65"/>
        <v/>
      </c>
      <c r="EPN83" s="248" t="str">
        <f t="shared" si="65"/>
        <v/>
      </c>
      <c r="EPO83" s="248" t="str">
        <f t="shared" si="65"/>
        <v/>
      </c>
      <c r="EPP83" s="248" t="str">
        <f t="shared" si="65"/>
        <v/>
      </c>
      <c r="EPQ83" s="248" t="str">
        <f t="shared" si="65"/>
        <v/>
      </c>
      <c r="EPR83" s="248" t="str">
        <f t="shared" si="65"/>
        <v/>
      </c>
      <c r="EPS83" s="248" t="str">
        <f t="shared" si="65"/>
        <v/>
      </c>
      <c r="EPT83" s="248" t="str">
        <f t="shared" si="65"/>
        <v/>
      </c>
      <c r="EPU83" s="248" t="str">
        <f t="shared" si="65"/>
        <v/>
      </c>
      <c r="EPV83" s="248" t="str">
        <f t="shared" si="65"/>
        <v/>
      </c>
      <c r="EPW83" s="248" t="str">
        <f t="shared" si="65"/>
        <v/>
      </c>
      <c r="EPX83" s="248" t="str">
        <f t="shared" si="65"/>
        <v/>
      </c>
      <c r="EPY83" s="248" t="str">
        <f t="shared" si="65"/>
        <v/>
      </c>
      <c r="EPZ83" s="248" t="str">
        <f t="shared" si="65"/>
        <v/>
      </c>
      <c r="EQA83" s="248" t="str">
        <f t="shared" si="65"/>
        <v/>
      </c>
      <c r="EQB83" s="248" t="str">
        <f t="shared" si="65"/>
        <v/>
      </c>
      <c r="EQC83" s="248" t="str">
        <f t="shared" si="65"/>
        <v/>
      </c>
      <c r="EQD83" s="248" t="str">
        <f t="shared" si="65"/>
        <v/>
      </c>
      <c r="EQE83" s="248" t="str">
        <f t="shared" si="65"/>
        <v/>
      </c>
      <c r="EQF83" s="248" t="str">
        <f t="shared" si="65"/>
        <v/>
      </c>
      <c r="EQG83" s="248" t="str">
        <f t="shared" si="65"/>
        <v/>
      </c>
      <c r="EQH83" s="248" t="str">
        <f t="shared" si="65"/>
        <v/>
      </c>
      <c r="EQI83" s="248" t="str">
        <f t="shared" si="65"/>
        <v/>
      </c>
      <c r="EQJ83" s="248" t="str">
        <f t="shared" si="65"/>
        <v/>
      </c>
      <c r="EQK83" s="248" t="str">
        <f t="shared" si="65"/>
        <v/>
      </c>
      <c r="EQL83" s="248" t="str">
        <f t="shared" si="65"/>
        <v/>
      </c>
      <c r="EQM83" s="248" t="str">
        <f t="shared" si="65"/>
        <v/>
      </c>
      <c r="EQN83" s="248" t="str">
        <f t="shared" si="65"/>
        <v/>
      </c>
      <c r="EQO83" s="248" t="str">
        <f t="shared" si="65"/>
        <v/>
      </c>
      <c r="EQP83" s="248" t="str">
        <f t="shared" si="65"/>
        <v/>
      </c>
      <c r="EQQ83" s="248" t="str">
        <f t="shared" si="65"/>
        <v/>
      </c>
      <c r="EQR83" s="248" t="str">
        <f t="shared" si="65"/>
        <v/>
      </c>
      <c r="EQS83" s="248" t="str">
        <f t="shared" si="65"/>
        <v/>
      </c>
      <c r="EQT83" s="248" t="str">
        <f t="shared" si="65"/>
        <v/>
      </c>
      <c r="EQU83" s="248" t="str">
        <f t="shared" si="65"/>
        <v/>
      </c>
      <c r="EQV83" s="248" t="str">
        <f t="shared" si="65"/>
        <v/>
      </c>
      <c r="EQW83" s="248" t="str">
        <f t="shared" si="65"/>
        <v/>
      </c>
      <c r="EQX83" s="248" t="str">
        <f t="shared" si="65"/>
        <v/>
      </c>
      <c r="EQY83" s="248" t="str">
        <f t="shared" si="65"/>
        <v/>
      </c>
      <c r="EQZ83" s="248" t="str">
        <f t="shared" si="65"/>
        <v/>
      </c>
      <c r="ERA83" s="248" t="str">
        <f t="shared" si="65"/>
        <v/>
      </c>
      <c r="ERB83" s="248" t="str">
        <f t="shared" si="65"/>
        <v/>
      </c>
      <c r="ERC83" s="248" t="str">
        <f t="shared" si="65"/>
        <v/>
      </c>
      <c r="ERD83" s="248" t="str">
        <f t="shared" si="65"/>
        <v/>
      </c>
      <c r="ERE83" s="248" t="str">
        <f t="shared" si="65"/>
        <v/>
      </c>
      <c r="ERF83" s="248" t="str">
        <f t="shared" si="65"/>
        <v/>
      </c>
      <c r="ERG83" s="248" t="str">
        <f t="shared" si="65"/>
        <v/>
      </c>
      <c r="ERH83" s="248" t="str">
        <f t="shared" si="65"/>
        <v/>
      </c>
      <c r="ERI83" s="248" t="str">
        <f t="shared" si="65"/>
        <v/>
      </c>
      <c r="ERJ83" s="248" t="str">
        <f t="shared" si="65"/>
        <v/>
      </c>
      <c r="ERK83" s="248" t="str">
        <f t="shared" si="65"/>
        <v/>
      </c>
      <c r="ERL83" s="248" t="str">
        <f t="shared" si="65"/>
        <v/>
      </c>
      <c r="ERM83" s="248" t="str">
        <f t="shared" si="65"/>
        <v/>
      </c>
      <c r="ERN83" s="248" t="str">
        <f t="shared" si="65"/>
        <v/>
      </c>
      <c r="ERO83" s="248" t="str">
        <f t="shared" si="65"/>
        <v/>
      </c>
      <c r="ERP83" s="248" t="str">
        <f t="shared" si="65"/>
        <v/>
      </c>
      <c r="ERQ83" s="248" t="str">
        <f t="shared" si="65"/>
        <v/>
      </c>
      <c r="ERR83" s="248" t="str">
        <f t="shared" si="65"/>
        <v/>
      </c>
      <c r="ERS83" s="248" t="str">
        <f t="shared" si="65"/>
        <v/>
      </c>
      <c r="ERT83" s="248" t="str">
        <f t="shared" si="65"/>
        <v/>
      </c>
      <c r="ERU83" s="248" t="str">
        <f t="shared" si="65"/>
        <v/>
      </c>
      <c r="ERV83" s="248" t="str">
        <f t="shared" si="65"/>
        <v/>
      </c>
      <c r="ERW83" s="248" t="str">
        <f t="shared" ref="ERW83:EUH83" si="66">UPPER(ERU83)</f>
        <v/>
      </c>
      <c r="ERX83" s="248" t="str">
        <f t="shared" si="66"/>
        <v/>
      </c>
      <c r="ERY83" s="248" t="str">
        <f t="shared" si="66"/>
        <v/>
      </c>
      <c r="ERZ83" s="248" t="str">
        <f t="shared" si="66"/>
        <v/>
      </c>
      <c r="ESA83" s="248" t="str">
        <f t="shared" si="66"/>
        <v/>
      </c>
      <c r="ESB83" s="248" t="str">
        <f t="shared" si="66"/>
        <v/>
      </c>
      <c r="ESC83" s="248" t="str">
        <f t="shared" si="66"/>
        <v/>
      </c>
      <c r="ESD83" s="248" t="str">
        <f t="shared" si="66"/>
        <v/>
      </c>
      <c r="ESE83" s="248" t="str">
        <f t="shared" si="66"/>
        <v/>
      </c>
      <c r="ESF83" s="248" t="str">
        <f t="shared" si="66"/>
        <v/>
      </c>
      <c r="ESG83" s="248" t="str">
        <f t="shared" si="66"/>
        <v/>
      </c>
      <c r="ESH83" s="248" t="str">
        <f t="shared" si="66"/>
        <v/>
      </c>
      <c r="ESI83" s="248" t="str">
        <f t="shared" si="66"/>
        <v/>
      </c>
      <c r="ESJ83" s="248" t="str">
        <f t="shared" si="66"/>
        <v/>
      </c>
      <c r="ESK83" s="248" t="str">
        <f t="shared" si="66"/>
        <v/>
      </c>
      <c r="ESL83" s="248" t="str">
        <f t="shared" si="66"/>
        <v/>
      </c>
      <c r="ESM83" s="248" t="str">
        <f t="shared" si="66"/>
        <v/>
      </c>
      <c r="ESN83" s="248" t="str">
        <f t="shared" si="66"/>
        <v/>
      </c>
      <c r="ESO83" s="248" t="str">
        <f t="shared" si="66"/>
        <v/>
      </c>
      <c r="ESP83" s="248" t="str">
        <f t="shared" si="66"/>
        <v/>
      </c>
      <c r="ESQ83" s="248" t="str">
        <f t="shared" si="66"/>
        <v/>
      </c>
      <c r="ESR83" s="248" t="str">
        <f t="shared" si="66"/>
        <v/>
      </c>
      <c r="ESS83" s="248" t="str">
        <f t="shared" si="66"/>
        <v/>
      </c>
      <c r="EST83" s="248" t="str">
        <f t="shared" si="66"/>
        <v/>
      </c>
      <c r="ESU83" s="248" t="str">
        <f t="shared" si="66"/>
        <v/>
      </c>
      <c r="ESV83" s="248" t="str">
        <f t="shared" si="66"/>
        <v/>
      </c>
      <c r="ESW83" s="248" t="str">
        <f t="shared" si="66"/>
        <v/>
      </c>
      <c r="ESX83" s="248" t="str">
        <f t="shared" si="66"/>
        <v/>
      </c>
      <c r="ESY83" s="248" t="str">
        <f t="shared" si="66"/>
        <v/>
      </c>
      <c r="ESZ83" s="248" t="str">
        <f t="shared" si="66"/>
        <v/>
      </c>
      <c r="ETA83" s="248" t="str">
        <f t="shared" si="66"/>
        <v/>
      </c>
      <c r="ETB83" s="248" t="str">
        <f t="shared" si="66"/>
        <v/>
      </c>
      <c r="ETC83" s="248" t="str">
        <f t="shared" si="66"/>
        <v/>
      </c>
      <c r="ETD83" s="248" t="str">
        <f t="shared" si="66"/>
        <v/>
      </c>
      <c r="ETE83" s="248" t="str">
        <f t="shared" si="66"/>
        <v/>
      </c>
      <c r="ETF83" s="248" t="str">
        <f t="shared" si="66"/>
        <v/>
      </c>
      <c r="ETG83" s="248" t="str">
        <f t="shared" si="66"/>
        <v/>
      </c>
      <c r="ETH83" s="248" t="str">
        <f t="shared" si="66"/>
        <v/>
      </c>
      <c r="ETI83" s="248" t="str">
        <f t="shared" si="66"/>
        <v/>
      </c>
      <c r="ETJ83" s="248" t="str">
        <f t="shared" si="66"/>
        <v/>
      </c>
      <c r="ETK83" s="248" t="str">
        <f t="shared" si="66"/>
        <v/>
      </c>
      <c r="ETL83" s="248" t="str">
        <f t="shared" si="66"/>
        <v/>
      </c>
      <c r="ETM83" s="248" t="str">
        <f t="shared" si="66"/>
        <v/>
      </c>
      <c r="ETN83" s="248" t="str">
        <f t="shared" si="66"/>
        <v/>
      </c>
      <c r="ETO83" s="248" t="str">
        <f t="shared" si="66"/>
        <v/>
      </c>
      <c r="ETP83" s="248" t="str">
        <f t="shared" si="66"/>
        <v/>
      </c>
      <c r="ETQ83" s="248" t="str">
        <f t="shared" si="66"/>
        <v/>
      </c>
      <c r="ETR83" s="248" t="str">
        <f t="shared" si="66"/>
        <v/>
      </c>
      <c r="ETS83" s="248" t="str">
        <f t="shared" si="66"/>
        <v/>
      </c>
      <c r="ETT83" s="248" t="str">
        <f t="shared" si="66"/>
        <v/>
      </c>
      <c r="ETU83" s="248" t="str">
        <f t="shared" si="66"/>
        <v/>
      </c>
      <c r="ETV83" s="248" t="str">
        <f t="shared" si="66"/>
        <v/>
      </c>
      <c r="ETW83" s="248" t="str">
        <f t="shared" si="66"/>
        <v/>
      </c>
      <c r="ETX83" s="248" t="str">
        <f t="shared" si="66"/>
        <v/>
      </c>
      <c r="ETY83" s="248" t="str">
        <f t="shared" si="66"/>
        <v/>
      </c>
      <c r="ETZ83" s="248" t="str">
        <f t="shared" si="66"/>
        <v/>
      </c>
      <c r="EUA83" s="248" t="str">
        <f t="shared" si="66"/>
        <v/>
      </c>
      <c r="EUB83" s="248" t="str">
        <f t="shared" si="66"/>
        <v/>
      </c>
      <c r="EUC83" s="248" t="str">
        <f t="shared" si="66"/>
        <v/>
      </c>
      <c r="EUD83" s="248" t="str">
        <f t="shared" si="66"/>
        <v/>
      </c>
      <c r="EUE83" s="248" t="str">
        <f t="shared" si="66"/>
        <v/>
      </c>
      <c r="EUF83" s="248" t="str">
        <f t="shared" si="66"/>
        <v/>
      </c>
      <c r="EUG83" s="248" t="str">
        <f t="shared" si="66"/>
        <v/>
      </c>
      <c r="EUH83" s="248" t="str">
        <f t="shared" si="66"/>
        <v/>
      </c>
      <c r="EUI83" s="248" t="str">
        <f t="shared" ref="EUI83:EWT83" si="67">UPPER(EUG83)</f>
        <v/>
      </c>
      <c r="EUJ83" s="248" t="str">
        <f t="shared" si="67"/>
        <v/>
      </c>
      <c r="EUK83" s="248" t="str">
        <f t="shared" si="67"/>
        <v/>
      </c>
      <c r="EUL83" s="248" t="str">
        <f t="shared" si="67"/>
        <v/>
      </c>
      <c r="EUM83" s="248" t="str">
        <f t="shared" si="67"/>
        <v/>
      </c>
      <c r="EUN83" s="248" t="str">
        <f t="shared" si="67"/>
        <v/>
      </c>
      <c r="EUO83" s="248" t="str">
        <f t="shared" si="67"/>
        <v/>
      </c>
      <c r="EUP83" s="248" t="str">
        <f t="shared" si="67"/>
        <v/>
      </c>
      <c r="EUQ83" s="248" t="str">
        <f t="shared" si="67"/>
        <v/>
      </c>
      <c r="EUR83" s="248" t="str">
        <f t="shared" si="67"/>
        <v/>
      </c>
      <c r="EUS83" s="248" t="str">
        <f t="shared" si="67"/>
        <v/>
      </c>
      <c r="EUT83" s="248" t="str">
        <f t="shared" si="67"/>
        <v/>
      </c>
      <c r="EUU83" s="248" t="str">
        <f t="shared" si="67"/>
        <v/>
      </c>
      <c r="EUV83" s="248" t="str">
        <f t="shared" si="67"/>
        <v/>
      </c>
      <c r="EUW83" s="248" t="str">
        <f t="shared" si="67"/>
        <v/>
      </c>
      <c r="EUX83" s="248" t="str">
        <f t="shared" si="67"/>
        <v/>
      </c>
      <c r="EUY83" s="248" t="str">
        <f t="shared" si="67"/>
        <v/>
      </c>
      <c r="EUZ83" s="248" t="str">
        <f t="shared" si="67"/>
        <v/>
      </c>
      <c r="EVA83" s="248" t="str">
        <f t="shared" si="67"/>
        <v/>
      </c>
      <c r="EVB83" s="248" t="str">
        <f t="shared" si="67"/>
        <v/>
      </c>
      <c r="EVC83" s="248" t="str">
        <f t="shared" si="67"/>
        <v/>
      </c>
      <c r="EVD83" s="248" t="str">
        <f t="shared" si="67"/>
        <v/>
      </c>
      <c r="EVE83" s="248" t="str">
        <f t="shared" si="67"/>
        <v/>
      </c>
      <c r="EVF83" s="248" t="str">
        <f t="shared" si="67"/>
        <v/>
      </c>
      <c r="EVG83" s="248" t="str">
        <f t="shared" si="67"/>
        <v/>
      </c>
      <c r="EVH83" s="248" t="str">
        <f t="shared" si="67"/>
        <v/>
      </c>
      <c r="EVI83" s="248" t="str">
        <f t="shared" si="67"/>
        <v/>
      </c>
      <c r="EVJ83" s="248" t="str">
        <f t="shared" si="67"/>
        <v/>
      </c>
      <c r="EVK83" s="248" t="str">
        <f t="shared" si="67"/>
        <v/>
      </c>
      <c r="EVL83" s="248" t="str">
        <f t="shared" si="67"/>
        <v/>
      </c>
      <c r="EVM83" s="248" t="str">
        <f t="shared" si="67"/>
        <v/>
      </c>
      <c r="EVN83" s="248" t="str">
        <f t="shared" si="67"/>
        <v/>
      </c>
      <c r="EVO83" s="248" t="str">
        <f t="shared" si="67"/>
        <v/>
      </c>
      <c r="EVP83" s="248" t="str">
        <f t="shared" si="67"/>
        <v/>
      </c>
      <c r="EVQ83" s="248" t="str">
        <f t="shared" si="67"/>
        <v/>
      </c>
      <c r="EVR83" s="248" t="str">
        <f t="shared" si="67"/>
        <v/>
      </c>
      <c r="EVS83" s="248" t="str">
        <f t="shared" si="67"/>
        <v/>
      </c>
      <c r="EVT83" s="248" t="str">
        <f t="shared" si="67"/>
        <v/>
      </c>
      <c r="EVU83" s="248" t="str">
        <f t="shared" si="67"/>
        <v/>
      </c>
      <c r="EVV83" s="248" t="str">
        <f t="shared" si="67"/>
        <v/>
      </c>
      <c r="EVW83" s="248" t="str">
        <f t="shared" si="67"/>
        <v/>
      </c>
      <c r="EVX83" s="248" t="str">
        <f t="shared" si="67"/>
        <v/>
      </c>
      <c r="EVY83" s="248" t="str">
        <f t="shared" si="67"/>
        <v/>
      </c>
      <c r="EVZ83" s="248" t="str">
        <f t="shared" si="67"/>
        <v/>
      </c>
      <c r="EWA83" s="248" t="str">
        <f t="shared" si="67"/>
        <v/>
      </c>
      <c r="EWB83" s="248" t="str">
        <f t="shared" si="67"/>
        <v/>
      </c>
      <c r="EWC83" s="248" t="str">
        <f t="shared" si="67"/>
        <v/>
      </c>
      <c r="EWD83" s="248" t="str">
        <f t="shared" si="67"/>
        <v/>
      </c>
      <c r="EWE83" s="248" t="str">
        <f t="shared" si="67"/>
        <v/>
      </c>
      <c r="EWF83" s="248" t="str">
        <f t="shared" si="67"/>
        <v/>
      </c>
      <c r="EWG83" s="248" t="str">
        <f t="shared" si="67"/>
        <v/>
      </c>
      <c r="EWH83" s="248" t="str">
        <f t="shared" si="67"/>
        <v/>
      </c>
      <c r="EWI83" s="248" t="str">
        <f t="shared" si="67"/>
        <v/>
      </c>
      <c r="EWJ83" s="248" t="str">
        <f t="shared" si="67"/>
        <v/>
      </c>
      <c r="EWK83" s="248" t="str">
        <f t="shared" si="67"/>
        <v/>
      </c>
      <c r="EWL83" s="248" t="str">
        <f t="shared" si="67"/>
        <v/>
      </c>
      <c r="EWM83" s="248" t="str">
        <f t="shared" si="67"/>
        <v/>
      </c>
      <c r="EWN83" s="248" t="str">
        <f t="shared" si="67"/>
        <v/>
      </c>
      <c r="EWO83" s="248" t="str">
        <f t="shared" si="67"/>
        <v/>
      </c>
      <c r="EWP83" s="248" t="str">
        <f t="shared" si="67"/>
        <v/>
      </c>
      <c r="EWQ83" s="248" t="str">
        <f t="shared" si="67"/>
        <v/>
      </c>
      <c r="EWR83" s="248" t="str">
        <f t="shared" si="67"/>
        <v/>
      </c>
      <c r="EWS83" s="248" t="str">
        <f t="shared" si="67"/>
        <v/>
      </c>
      <c r="EWT83" s="248" t="str">
        <f t="shared" si="67"/>
        <v/>
      </c>
      <c r="EWU83" s="248" t="str">
        <f t="shared" ref="EWU83:EZF83" si="68">UPPER(EWS83)</f>
        <v/>
      </c>
      <c r="EWV83" s="248" t="str">
        <f t="shared" si="68"/>
        <v/>
      </c>
      <c r="EWW83" s="248" t="str">
        <f t="shared" si="68"/>
        <v/>
      </c>
      <c r="EWX83" s="248" t="str">
        <f t="shared" si="68"/>
        <v/>
      </c>
      <c r="EWY83" s="248" t="str">
        <f t="shared" si="68"/>
        <v/>
      </c>
      <c r="EWZ83" s="248" t="str">
        <f t="shared" si="68"/>
        <v/>
      </c>
      <c r="EXA83" s="248" t="str">
        <f t="shared" si="68"/>
        <v/>
      </c>
      <c r="EXB83" s="248" t="str">
        <f t="shared" si="68"/>
        <v/>
      </c>
      <c r="EXC83" s="248" t="str">
        <f t="shared" si="68"/>
        <v/>
      </c>
      <c r="EXD83" s="248" t="str">
        <f t="shared" si="68"/>
        <v/>
      </c>
      <c r="EXE83" s="248" t="str">
        <f t="shared" si="68"/>
        <v/>
      </c>
      <c r="EXF83" s="248" t="str">
        <f t="shared" si="68"/>
        <v/>
      </c>
      <c r="EXG83" s="248" t="str">
        <f t="shared" si="68"/>
        <v/>
      </c>
      <c r="EXH83" s="248" t="str">
        <f t="shared" si="68"/>
        <v/>
      </c>
      <c r="EXI83" s="248" t="str">
        <f t="shared" si="68"/>
        <v/>
      </c>
      <c r="EXJ83" s="248" t="str">
        <f t="shared" si="68"/>
        <v/>
      </c>
      <c r="EXK83" s="248" t="str">
        <f t="shared" si="68"/>
        <v/>
      </c>
      <c r="EXL83" s="248" t="str">
        <f t="shared" si="68"/>
        <v/>
      </c>
      <c r="EXM83" s="248" t="str">
        <f t="shared" si="68"/>
        <v/>
      </c>
      <c r="EXN83" s="248" t="str">
        <f t="shared" si="68"/>
        <v/>
      </c>
      <c r="EXO83" s="248" t="str">
        <f t="shared" si="68"/>
        <v/>
      </c>
      <c r="EXP83" s="248" t="str">
        <f t="shared" si="68"/>
        <v/>
      </c>
      <c r="EXQ83" s="248" t="str">
        <f t="shared" si="68"/>
        <v/>
      </c>
      <c r="EXR83" s="248" t="str">
        <f t="shared" si="68"/>
        <v/>
      </c>
      <c r="EXS83" s="248" t="str">
        <f t="shared" si="68"/>
        <v/>
      </c>
      <c r="EXT83" s="248" t="str">
        <f t="shared" si="68"/>
        <v/>
      </c>
      <c r="EXU83" s="248" t="str">
        <f t="shared" si="68"/>
        <v/>
      </c>
      <c r="EXV83" s="248" t="str">
        <f t="shared" si="68"/>
        <v/>
      </c>
      <c r="EXW83" s="248" t="str">
        <f t="shared" si="68"/>
        <v/>
      </c>
      <c r="EXX83" s="248" t="str">
        <f t="shared" si="68"/>
        <v/>
      </c>
      <c r="EXY83" s="248" t="str">
        <f t="shared" si="68"/>
        <v/>
      </c>
      <c r="EXZ83" s="248" t="str">
        <f t="shared" si="68"/>
        <v/>
      </c>
      <c r="EYA83" s="248" t="str">
        <f t="shared" si="68"/>
        <v/>
      </c>
      <c r="EYB83" s="248" t="str">
        <f t="shared" si="68"/>
        <v/>
      </c>
      <c r="EYC83" s="248" t="str">
        <f t="shared" si="68"/>
        <v/>
      </c>
      <c r="EYD83" s="248" t="str">
        <f t="shared" si="68"/>
        <v/>
      </c>
      <c r="EYE83" s="248" t="str">
        <f t="shared" si="68"/>
        <v/>
      </c>
      <c r="EYF83" s="248" t="str">
        <f t="shared" si="68"/>
        <v/>
      </c>
      <c r="EYG83" s="248" t="str">
        <f t="shared" si="68"/>
        <v/>
      </c>
      <c r="EYH83" s="248" t="str">
        <f t="shared" si="68"/>
        <v/>
      </c>
      <c r="EYI83" s="248" t="str">
        <f t="shared" si="68"/>
        <v/>
      </c>
      <c r="EYJ83" s="248" t="str">
        <f t="shared" si="68"/>
        <v/>
      </c>
      <c r="EYK83" s="248" t="str">
        <f t="shared" si="68"/>
        <v/>
      </c>
      <c r="EYL83" s="248" t="str">
        <f t="shared" si="68"/>
        <v/>
      </c>
      <c r="EYM83" s="248" t="str">
        <f t="shared" si="68"/>
        <v/>
      </c>
      <c r="EYN83" s="248" t="str">
        <f t="shared" si="68"/>
        <v/>
      </c>
      <c r="EYO83" s="248" t="str">
        <f t="shared" si="68"/>
        <v/>
      </c>
      <c r="EYP83" s="248" t="str">
        <f t="shared" si="68"/>
        <v/>
      </c>
      <c r="EYQ83" s="248" t="str">
        <f t="shared" si="68"/>
        <v/>
      </c>
      <c r="EYR83" s="248" t="str">
        <f t="shared" si="68"/>
        <v/>
      </c>
      <c r="EYS83" s="248" t="str">
        <f t="shared" si="68"/>
        <v/>
      </c>
      <c r="EYT83" s="248" t="str">
        <f t="shared" si="68"/>
        <v/>
      </c>
      <c r="EYU83" s="248" t="str">
        <f t="shared" si="68"/>
        <v/>
      </c>
      <c r="EYV83" s="248" t="str">
        <f t="shared" si="68"/>
        <v/>
      </c>
      <c r="EYW83" s="248" t="str">
        <f t="shared" si="68"/>
        <v/>
      </c>
      <c r="EYX83" s="248" t="str">
        <f t="shared" si="68"/>
        <v/>
      </c>
      <c r="EYY83" s="248" t="str">
        <f t="shared" si="68"/>
        <v/>
      </c>
      <c r="EYZ83" s="248" t="str">
        <f t="shared" si="68"/>
        <v/>
      </c>
      <c r="EZA83" s="248" t="str">
        <f t="shared" si="68"/>
        <v/>
      </c>
      <c r="EZB83" s="248" t="str">
        <f t="shared" si="68"/>
        <v/>
      </c>
      <c r="EZC83" s="248" t="str">
        <f t="shared" si="68"/>
        <v/>
      </c>
      <c r="EZD83" s="248" t="str">
        <f t="shared" si="68"/>
        <v/>
      </c>
      <c r="EZE83" s="248" t="str">
        <f t="shared" si="68"/>
        <v/>
      </c>
      <c r="EZF83" s="248" t="str">
        <f t="shared" si="68"/>
        <v/>
      </c>
      <c r="EZG83" s="248" t="str">
        <f t="shared" ref="EZG83:FBR83" si="69">UPPER(EZE83)</f>
        <v/>
      </c>
      <c r="EZH83" s="248" t="str">
        <f t="shared" si="69"/>
        <v/>
      </c>
      <c r="EZI83" s="248" t="str">
        <f t="shared" si="69"/>
        <v/>
      </c>
      <c r="EZJ83" s="248" t="str">
        <f t="shared" si="69"/>
        <v/>
      </c>
      <c r="EZK83" s="248" t="str">
        <f t="shared" si="69"/>
        <v/>
      </c>
      <c r="EZL83" s="248" t="str">
        <f t="shared" si="69"/>
        <v/>
      </c>
      <c r="EZM83" s="248" t="str">
        <f t="shared" si="69"/>
        <v/>
      </c>
      <c r="EZN83" s="248" t="str">
        <f t="shared" si="69"/>
        <v/>
      </c>
      <c r="EZO83" s="248" t="str">
        <f t="shared" si="69"/>
        <v/>
      </c>
      <c r="EZP83" s="248" t="str">
        <f t="shared" si="69"/>
        <v/>
      </c>
      <c r="EZQ83" s="248" t="str">
        <f t="shared" si="69"/>
        <v/>
      </c>
      <c r="EZR83" s="248" t="str">
        <f t="shared" si="69"/>
        <v/>
      </c>
      <c r="EZS83" s="248" t="str">
        <f t="shared" si="69"/>
        <v/>
      </c>
      <c r="EZT83" s="248" t="str">
        <f t="shared" si="69"/>
        <v/>
      </c>
      <c r="EZU83" s="248" t="str">
        <f t="shared" si="69"/>
        <v/>
      </c>
      <c r="EZV83" s="248" t="str">
        <f t="shared" si="69"/>
        <v/>
      </c>
      <c r="EZW83" s="248" t="str">
        <f t="shared" si="69"/>
        <v/>
      </c>
      <c r="EZX83" s="248" t="str">
        <f t="shared" si="69"/>
        <v/>
      </c>
      <c r="EZY83" s="248" t="str">
        <f t="shared" si="69"/>
        <v/>
      </c>
      <c r="EZZ83" s="248" t="str">
        <f t="shared" si="69"/>
        <v/>
      </c>
      <c r="FAA83" s="248" t="str">
        <f t="shared" si="69"/>
        <v/>
      </c>
      <c r="FAB83" s="248" t="str">
        <f t="shared" si="69"/>
        <v/>
      </c>
      <c r="FAC83" s="248" t="str">
        <f t="shared" si="69"/>
        <v/>
      </c>
      <c r="FAD83" s="248" t="str">
        <f t="shared" si="69"/>
        <v/>
      </c>
      <c r="FAE83" s="248" t="str">
        <f t="shared" si="69"/>
        <v/>
      </c>
      <c r="FAF83" s="248" t="str">
        <f t="shared" si="69"/>
        <v/>
      </c>
      <c r="FAG83" s="248" t="str">
        <f t="shared" si="69"/>
        <v/>
      </c>
      <c r="FAH83" s="248" t="str">
        <f t="shared" si="69"/>
        <v/>
      </c>
      <c r="FAI83" s="248" t="str">
        <f t="shared" si="69"/>
        <v/>
      </c>
      <c r="FAJ83" s="248" t="str">
        <f t="shared" si="69"/>
        <v/>
      </c>
      <c r="FAK83" s="248" t="str">
        <f t="shared" si="69"/>
        <v/>
      </c>
      <c r="FAL83" s="248" t="str">
        <f t="shared" si="69"/>
        <v/>
      </c>
      <c r="FAM83" s="248" t="str">
        <f t="shared" si="69"/>
        <v/>
      </c>
      <c r="FAN83" s="248" t="str">
        <f t="shared" si="69"/>
        <v/>
      </c>
      <c r="FAO83" s="248" t="str">
        <f t="shared" si="69"/>
        <v/>
      </c>
      <c r="FAP83" s="248" t="str">
        <f t="shared" si="69"/>
        <v/>
      </c>
      <c r="FAQ83" s="248" t="str">
        <f t="shared" si="69"/>
        <v/>
      </c>
      <c r="FAR83" s="248" t="str">
        <f t="shared" si="69"/>
        <v/>
      </c>
      <c r="FAS83" s="248" t="str">
        <f t="shared" si="69"/>
        <v/>
      </c>
      <c r="FAT83" s="248" t="str">
        <f t="shared" si="69"/>
        <v/>
      </c>
      <c r="FAU83" s="248" t="str">
        <f t="shared" si="69"/>
        <v/>
      </c>
      <c r="FAV83" s="248" t="str">
        <f t="shared" si="69"/>
        <v/>
      </c>
      <c r="FAW83" s="248" t="str">
        <f t="shared" si="69"/>
        <v/>
      </c>
      <c r="FAX83" s="248" t="str">
        <f t="shared" si="69"/>
        <v/>
      </c>
      <c r="FAY83" s="248" t="str">
        <f t="shared" si="69"/>
        <v/>
      </c>
      <c r="FAZ83" s="248" t="str">
        <f t="shared" si="69"/>
        <v/>
      </c>
      <c r="FBA83" s="248" t="str">
        <f t="shared" si="69"/>
        <v/>
      </c>
      <c r="FBB83" s="248" t="str">
        <f t="shared" si="69"/>
        <v/>
      </c>
      <c r="FBC83" s="248" t="str">
        <f t="shared" si="69"/>
        <v/>
      </c>
      <c r="FBD83" s="248" t="str">
        <f t="shared" si="69"/>
        <v/>
      </c>
      <c r="FBE83" s="248" t="str">
        <f t="shared" si="69"/>
        <v/>
      </c>
      <c r="FBF83" s="248" t="str">
        <f t="shared" si="69"/>
        <v/>
      </c>
      <c r="FBG83" s="248" t="str">
        <f t="shared" si="69"/>
        <v/>
      </c>
      <c r="FBH83" s="248" t="str">
        <f t="shared" si="69"/>
        <v/>
      </c>
      <c r="FBI83" s="248" t="str">
        <f t="shared" si="69"/>
        <v/>
      </c>
      <c r="FBJ83" s="248" t="str">
        <f t="shared" si="69"/>
        <v/>
      </c>
      <c r="FBK83" s="248" t="str">
        <f t="shared" si="69"/>
        <v/>
      </c>
      <c r="FBL83" s="248" t="str">
        <f t="shared" si="69"/>
        <v/>
      </c>
      <c r="FBM83" s="248" t="str">
        <f t="shared" si="69"/>
        <v/>
      </c>
      <c r="FBN83" s="248" t="str">
        <f t="shared" si="69"/>
        <v/>
      </c>
      <c r="FBO83" s="248" t="str">
        <f t="shared" si="69"/>
        <v/>
      </c>
      <c r="FBP83" s="248" t="str">
        <f t="shared" si="69"/>
        <v/>
      </c>
      <c r="FBQ83" s="248" t="str">
        <f t="shared" si="69"/>
        <v/>
      </c>
      <c r="FBR83" s="248" t="str">
        <f t="shared" si="69"/>
        <v/>
      </c>
      <c r="FBS83" s="248" t="str">
        <f t="shared" ref="FBS83:FED83" si="70">UPPER(FBQ83)</f>
        <v/>
      </c>
      <c r="FBT83" s="248" t="str">
        <f t="shared" si="70"/>
        <v/>
      </c>
      <c r="FBU83" s="248" t="str">
        <f t="shared" si="70"/>
        <v/>
      </c>
      <c r="FBV83" s="248" t="str">
        <f t="shared" si="70"/>
        <v/>
      </c>
      <c r="FBW83" s="248" t="str">
        <f t="shared" si="70"/>
        <v/>
      </c>
      <c r="FBX83" s="248" t="str">
        <f t="shared" si="70"/>
        <v/>
      </c>
      <c r="FBY83" s="248" t="str">
        <f t="shared" si="70"/>
        <v/>
      </c>
      <c r="FBZ83" s="248" t="str">
        <f t="shared" si="70"/>
        <v/>
      </c>
      <c r="FCA83" s="248" t="str">
        <f t="shared" si="70"/>
        <v/>
      </c>
      <c r="FCB83" s="248" t="str">
        <f t="shared" si="70"/>
        <v/>
      </c>
      <c r="FCC83" s="248" t="str">
        <f t="shared" si="70"/>
        <v/>
      </c>
      <c r="FCD83" s="248" t="str">
        <f t="shared" si="70"/>
        <v/>
      </c>
      <c r="FCE83" s="248" t="str">
        <f t="shared" si="70"/>
        <v/>
      </c>
      <c r="FCF83" s="248" t="str">
        <f t="shared" si="70"/>
        <v/>
      </c>
      <c r="FCG83" s="248" t="str">
        <f t="shared" si="70"/>
        <v/>
      </c>
      <c r="FCH83" s="248" t="str">
        <f t="shared" si="70"/>
        <v/>
      </c>
      <c r="FCI83" s="248" t="str">
        <f t="shared" si="70"/>
        <v/>
      </c>
      <c r="FCJ83" s="248" t="str">
        <f t="shared" si="70"/>
        <v/>
      </c>
      <c r="FCK83" s="248" t="str">
        <f t="shared" si="70"/>
        <v/>
      </c>
      <c r="FCL83" s="248" t="str">
        <f t="shared" si="70"/>
        <v/>
      </c>
      <c r="FCM83" s="248" t="str">
        <f t="shared" si="70"/>
        <v/>
      </c>
      <c r="FCN83" s="248" t="str">
        <f t="shared" si="70"/>
        <v/>
      </c>
      <c r="FCO83" s="248" t="str">
        <f t="shared" si="70"/>
        <v/>
      </c>
      <c r="FCP83" s="248" t="str">
        <f t="shared" si="70"/>
        <v/>
      </c>
      <c r="FCQ83" s="248" t="str">
        <f t="shared" si="70"/>
        <v/>
      </c>
      <c r="FCR83" s="248" t="str">
        <f t="shared" si="70"/>
        <v/>
      </c>
      <c r="FCS83" s="248" t="str">
        <f t="shared" si="70"/>
        <v/>
      </c>
      <c r="FCT83" s="248" t="str">
        <f t="shared" si="70"/>
        <v/>
      </c>
      <c r="FCU83" s="248" t="str">
        <f t="shared" si="70"/>
        <v/>
      </c>
      <c r="FCV83" s="248" t="str">
        <f t="shared" si="70"/>
        <v/>
      </c>
      <c r="FCW83" s="248" t="str">
        <f t="shared" si="70"/>
        <v/>
      </c>
      <c r="FCX83" s="248" t="str">
        <f t="shared" si="70"/>
        <v/>
      </c>
      <c r="FCY83" s="248" t="str">
        <f t="shared" si="70"/>
        <v/>
      </c>
      <c r="FCZ83" s="248" t="str">
        <f t="shared" si="70"/>
        <v/>
      </c>
      <c r="FDA83" s="248" t="str">
        <f t="shared" si="70"/>
        <v/>
      </c>
      <c r="FDB83" s="248" t="str">
        <f t="shared" si="70"/>
        <v/>
      </c>
      <c r="FDC83" s="248" t="str">
        <f t="shared" si="70"/>
        <v/>
      </c>
      <c r="FDD83" s="248" t="str">
        <f t="shared" si="70"/>
        <v/>
      </c>
      <c r="FDE83" s="248" t="str">
        <f t="shared" si="70"/>
        <v/>
      </c>
      <c r="FDF83" s="248" t="str">
        <f t="shared" si="70"/>
        <v/>
      </c>
      <c r="FDG83" s="248" t="str">
        <f t="shared" si="70"/>
        <v/>
      </c>
      <c r="FDH83" s="248" t="str">
        <f t="shared" si="70"/>
        <v/>
      </c>
      <c r="FDI83" s="248" t="str">
        <f t="shared" si="70"/>
        <v/>
      </c>
      <c r="FDJ83" s="248" t="str">
        <f t="shared" si="70"/>
        <v/>
      </c>
      <c r="FDK83" s="248" t="str">
        <f t="shared" si="70"/>
        <v/>
      </c>
      <c r="FDL83" s="248" t="str">
        <f t="shared" si="70"/>
        <v/>
      </c>
      <c r="FDM83" s="248" t="str">
        <f t="shared" si="70"/>
        <v/>
      </c>
      <c r="FDN83" s="248" t="str">
        <f t="shared" si="70"/>
        <v/>
      </c>
      <c r="FDO83" s="248" t="str">
        <f t="shared" si="70"/>
        <v/>
      </c>
      <c r="FDP83" s="248" t="str">
        <f t="shared" si="70"/>
        <v/>
      </c>
      <c r="FDQ83" s="248" t="str">
        <f t="shared" si="70"/>
        <v/>
      </c>
      <c r="FDR83" s="248" t="str">
        <f t="shared" si="70"/>
        <v/>
      </c>
      <c r="FDS83" s="248" t="str">
        <f t="shared" si="70"/>
        <v/>
      </c>
      <c r="FDT83" s="248" t="str">
        <f t="shared" si="70"/>
        <v/>
      </c>
      <c r="FDU83" s="248" t="str">
        <f t="shared" si="70"/>
        <v/>
      </c>
      <c r="FDV83" s="248" t="str">
        <f t="shared" si="70"/>
        <v/>
      </c>
      <c r="FDW83" s="248" t="str">
        <f t="shared" si="70"/>
        <v/>
      </c>
      <c r="FDX83" s="248" t="str">
        <f t="shared" si="70"/>
        <v/>
      </c>
      <c r="FDY83" s="248" t="str">
        <f t="shared" si="70"/>
        <v/>
      </c>
      <c r="FDZ83" s="248" t="str">
        <f t="shared" si="70"/>
        <v/>
      </c>
      <c r="FEA83" s="248" t="str">
        <f t="shared" si="70"/>
        <v/>
      </c>
      <c r="FEB83" s="248" t="str">
        <f t="shared" si="70"/>
        <v/>
      </c>
      <c r="FEC83" s="248" t="str">
        <f t="shared" si="70"/>
        <v/>
      </c>
      <c r="FED83" s="248" t="str">
        <f t="shared" si="70"/>
        <v/>
      </c>
      <c r="FEE83" s="248" t="str">
        <f t="shared" ref="FEE83:FGP83" si="71">UPPER(FEC83)</f>
        <v/>
      </c>
      <c r="FEF83" s="248" t="str">
        <f t="shared" si="71"/>
        <v/>
      </c>
      <c r="FEG83" s="248" t="str">
        <f t="shared" si="71"/>
        <v/>
      </c>
      <c r="FEH83" s="248" t="str">
        <f t="shared" si="71"/>
        <v/>
      </c>
      <c r="FEI83" s="248" t="str">
        <f t="shared" si="71"/>
        <v/>
      </c>
      <c r="FEJ83" s="248" t="str">
        <f t="shared" si="71"/>
        <v/>
      </c>
      <c r="FEK83" s="248" t="str">
        <f t="shared" si="71"/>
        <v/>
      </c>
      <c r="FEL83" s="248" t="str">
        <f t="shared" si="71"/>
        <v/>
      </c>
      <c r="FEM83" s="248" t="str">
        <f t="shared" si="71"/>
        <v/>
      </c>
      <c r="FEN83" s="248" t="str">
        <f t="shared" si="71"/>
        <v/>
      </c>
      <c r="FEO83" s="248" t="str">
        <f t="shared" si="71"/>
        <v/>
      </c>
      <c r="FEP83" s="248" t="str">
        <f t="shared" si="71"/>
        <v/>
      </c>
      <c r="FEQ83" s="248" t="str">
        <f t="shared" si="71"/>
        <v/>
      </c>
      <c r="FER83" s="248" t="str">
        <f t="shared" si="71"/>
        <v/>
      </c>
      <c r="FES83" s="248" t="str">
        <f t="shared" si="71"/>
        <v/>
      </c>
      <c r="FET83" s="248" t="str">
        <f t="shared" si="71"/>
        <v/>
      </c>
      <c r="FEU83" s="248" t="str">
        <f t="shared" si="71"/>
        <v/>
      </c>
      <c r="FEV83" s="248" t="str">
        <f t="shared" si="71"/>
        <v/>
      </c>
      <c r="FEW83" s="248" t="str">
        <f t="shared" si="71"/>
        <v/>
      </c>
      <c r="FEX83" s="248" t="str">
        <f t="shared" si="71"/>
        <v/>
      </c>
      <c r="FEY83" s="248" t="str">
        <f t="shared" si="71"/>
        <v/>
      </c>
      <c r="FEZ83" s="248" t="str">
        <f t="shared" si="71"/>
        <v/>
      </c>
      <c r="FFA83" s="248" t="str">
        <f t="shared" si="71"/>
        <v/>
      </c>
      <c r="FFB83" s="248" t="str">
        <f t="shared" si="71"/>
        <v/>
      </c>
      <c r="FFC83" s="248" t="str">
        <f t="shared" si="71"/>
        <v/>
      </c>
      <c r="FFD83" s="248" t="str">
        <f t="shared" si="71"/>
        <v/>
      </c>
      <c r="FFE83" s="248" t="str">
        <f t="shared" si="71"/>
        <v/>
      </c>
      <c r="FFF83" s="248" t="str">
        <f t="shared" si="71"/>
        <v/>
      </c>
      <c r="FFG83" s="248" t="str">
        <f t="shared" si="71"/>
        <v/>
      </c>
      <c r="FFH83" s="248" t="str">
        <f t="shared" si="71"/>
        <v/>
      </c>
      <c r="FFI83" s="248" t="str">
        <f t="shared" si="71"/>
        <v/>
      </c>
      <c r="FFJ83" s="248" t="str">
        <f t="shared" si="71"/>
        <v/>
      </c>
      <c r="FFK83" s="248" t="str">
        <f t="shared" si="71"/>
        <v/>
      </c>
      <c r="FFL83" s="248" t="str">
        <f t="shared" si="71"/>
        <v/>
      </c>
      <c r="FFM83" s="248" t="str">
        <f t="shared" si="71"/>
        <v/>
      </c>
      <c r="FFN83" s="248" t="str">
        <f t="shared" si="71"/>
        <v/>
      </c>
      <c r="FFO83" s="248" t="str">
        <f t="shared" si="71"/>
        <v/>
      </c>
      <c r="FFP83" s="248" t="str">
        <f t="shared" si="71"/>
        <v/>
      </c>
      <c r="FFQ83" s="248" t="str">
        <f t="shared" si="71"/>
        <v/>
      </c>
      <c r="FFR83" s="248" t="str">
        <f t="shared" si="71"/>
        <v/>
      </c>
      <c r="FFS83" s="248" t="str">
        <f t="shared" si="71"/>
        <v/>
      </c>
      <c r="FFT83" s="248" t="str">
        <f t="shared" si="71"/>
        <v/>
      </c>
      <c r="FFU83" s="248" t="str">
        <f t="shared" si="71"/>
        <v/>
      </c>
      <c r="FFV83" s="248" t="str">
        <f t="shared" si="71"/>
        <v/>
      </c>
      <c r="FFW83" s="248" t="str">
        <f t="shared" si="71"/>
        <v/>
      </c>
      <c r="FFX83" s="248" t="str">
        <f t="shared" si="71"/>
        <v/>
      </c>
      <c r="FFY83" s="248" t="str">
        <f t="shared" si="71"/>
        <v/>
      </c>
      <c r="FFZ83" s="248" t="str">
        <f t="shared" si="71"/>
        <v/>
      </c>
      <c r="FGA83" s="248" t="str">
        <f t="shared" si="71"/>
        <v/>
      </c>
      <c r="FGB83" s="248" t="str">
        <f t="shared" si="71"/>
        <v/>
      </c>
      <c r="FGC83" s="248" t="str">
        <f t="shared" si="71"/>
        <v/>
      </c>
      <c r="FGD83" s="248" t="str">
        <f t="shared" si="71"/>
        <v/>
      </c>
      <c r="FGE83" s="248" t="str">
        <f t="shared" si="71"/>
        <v/>
      </c>
      <c r="FGF83" s="248" t="str">
        <f t="shared" si="71"/>
        <v/>
      </c>
      <c r="FGG83" s="248" t="str">
        <f t="shared" si="71"/>
        <v/>
      </c>
      <c r="FGH83" s="248" t="str">
        <f t="shared" si="71"/>
        <v/>
      </c>
      <c r="FGI83" s="248" t="str">
        <f t="shared" si="71"/>
        <v/>
      </c>
      <c r="FGJ83" s="248" t="str">
        <f t="shared" si="71"/>
        <v/>
      </c>
      <c r="FGK83" s="248" t="str">
        <f t="shared" si="71"/>
        <v/>
      </c>
      <c r="FGL83" s="248" t="str">
        <f t="shared" si="71"/>
        <v/>
      </c>
      <c r="FGM83" s="248" t="str">
        <f t="shared" si="71"/>
        <v/>
      </c>
      <c r="FGN83" s="248" t="str">
        <f t="shared" si="71"/>
        <v/>
      </c>
      <c r="FGO83" s="248" t="str">
        <f t="shared" si="71"/>
        <v/>
      </c>
      <c r="FGP83" s="248" t="str">
        <f t="shared" si="71"/>
        <v/>
      </c>
      <c r="FGQ83" s="248" t="str">
        <f t="shared" ref="FGQ83:FJB83" si="72">UPPER(FGO83)</f>
        <v/>
      </c>
      <c r="FGR83" s="248" t="str">
        <f t="shared" si="72"/>
        <v/>
      </c>
      <c r="FGS83" s="248" t="str">
        <f t="shared" si="72"/>
        <v/>
      </c>
      <c r="FGT83" s="248" t="str">
        <f t="shared" si="72"/>
        <v/>
      </c>
      <c r="FGU83" s="248" t="str">
        <f t="shared" si="72"/>
        <v/>
      </c>
      <c r="FGV83" s="248" t="str">
        <f t="shared" si="72"/>
        <v/>
      </c>
      <c r="FGW83" s="248" t="str">
        <f t="shared" si="72"/>
        <v/>
      </c>
      <c r="FGX83" s="248" t="str">
        <f t="shared" si="72"/>
        <v/>
      </c>
      <c r="FGY83" s="248" t="str">
        <f t="shared" si="72"/>
        <v/>
      </c>
      <c r="FGZ83" s="248" t="str">
        <f t="shared" si="72"/>
        <v/>
      </c>
      <c r="FHA83" s="248" t="str">
        <f t="shared" si="72"/>
        <v/>
      </c>
      <c r="FHB83" s="248" t="str">
        <f t="shared" si="72"/>
        <v/>
      </c>
      <c r="FHC83" s="248" t="str">
        <f t="shared" si="72"/>
        <v/>
      </c>
      <c r="FHD83" s="248" t="str">
        <f t="shared" si="72"/>
        <v/>
      </c>
      <c r="FHE83" s="248" t="str">
        <f t="shared" si="72"/>
        <v/>
      </c>
      <c r="FHF83" s="248" t="str">
        <f t="shared" si="72"/>
        <v/>
      </c>
      <c r="FHG83" s="248" t="str">
        <f t="shared" si="72"/>
        <v/>
      </c>
      <c r="FHH83" s="248" t="str">
        <f t="shared" si="72"/>
        <v/>
      </c>
      <c r="FHI83" s="248" t="str">
        <f t="shared" si="72"/>
        <v/>
      </c>
      <c r="FHJ83" s="248" t="str">
        <f t="shared" si="72"/>
        <v/>
      </c>
      <c r="FHK83" s="248" t="str">
        <f t="shared" si="72"/>
        <v/>
      </c>
      <c r="FHL83" s="248" t="str">
        <f t="shared" si="72"/>
        <v/>
      </c>
      <c r="FHM83" s="248" t="str">
        <f t="shared" si="72"/>
        <v/>
      </c>
      <c r="FHN83" s="248" t="str">
        <f t="shared" si="72"/>
        <v/>
      </c>
      <c r="FHO83" s="248" t="str">
        <f t="shared" si="72"/>
        <v/>
      </c>
      <c r="FHP83" s="248" t="str">
        <f t="shared" si="72"/>
        <v/>
      </c>
      <c r="FHQ83" s="248" t="str">
        <f t="shared" si="72"/>
        <v/>
      </c>
      <c r="FHR83" s="248" t="str">
        <f t="shared" si="72"/>
        <v/>
      </c>
      <c r="FHS83" s="248" t="str">
        <f t="shared" si="72"/>
        <v/>
      </c>
      <c r="FHT83" s="248" t="str">
        <f t="shared" si="72"/>
        <v/>
      </c>
      <c r="FHU83" s="248" t="str">
        <f t="shared" si="72"/>
        <v/>
      </c>
      <c r="FHV83" s="248" t="str">
        <f t="shared" si="72"/>
        <v/>
      </c>
      <c r="FHW83" s="248" t="str">
        <f t="shared" si="72"/>
        <v/>
      </c>
      <c r="FHX83" s="248" t="str">
        <f t="shared" si="72"/>
        <v/>
      </c>
      <c r="FHY83" s="248" t="str">
        <f t="shared" si="72"/>
        <v/>
      </c>
      <c r="FHZ83" s="248" t="str">
        <f t="shared" si="72"/>
        <v/>
      </c>
      <c r="FIA83" s="248" t="str">
        <f t="shared" si="72"/>
        <v/>
      </c>
      <c r="FIB83" s="248" t="str">
        <f t="shared" si="72"/>
        <v/>
      </c>
      <c r="FIC83" s="248" t="str">
        <f t="shared" si="72"/>
        <v/>
      </c>
      <c r="FID83" s="248" t="str">
        <f t="shared" si="72"/>
        <v/>
      </c>
      <c r="FIE83" s="248" t="str">
        <f t="shared" si="72"/>
        <v/>
      </c>
      <c r="FIF83" s="248" t="str">
        <f t="shared" si="72"/>
        <v/>
      </c>
      <c r="FIG83" s="248" t="str">
        <f t="shared" si="72"/>
        <v/>
      </c>
      <c r="FIH83" s="248" t="str">
        <f t="shared" si="72"/>
        <v/>
      </c>
      <c r="FII83" s="248" t="str">
        <f t="shared" si="72"/>
        <v/>
      </c>
      <c r="FIJ83" s="248" t="str">
        <f t="shared" si="72"/>
        <v/>
      </c>
      <c r="FIK83" s="248" t="str">
        <f t="shared" si="72"/>
        <v/>
      </c>
      <c r="FIL83" s="248" t="str">
        <f t="shared" si="72"/>
        <v/>
      </c>
      <c r="FIM83" s="248" t="str">
        <f t="shared" si="72"/>
        <v/>
      </c>
      <c r="FIN83" s="248" t="str">
        <f t="shared" si="72"/>
        <v/>
      </c>
      <c r="FIO83" s="248" t="str">
        <f t="shared" si="72"/>
        <v/>
      </c>
      <c r="FIP83" s="248" t="str">
        <f t="shared" si="72"/>
        <v/>
      </c>
      <c r="FIQ83" s="248" t="str">
        <f t="shared" si="72"/>
        <v/>
      </c>
      <c r="FIR83" s="248" t="str">
        <f t="shared" si="72"/>
        <v/>
      </c>
      <c r="FIS83" s="248" t="str">
        <f t="shared" si="72"/>
        <v/>
      </c>
      <c r="FIT83" s="248" t="str">
        <f t="shared" si="72"/>
        <v/>
      </c>
      <c r="FIU83" s="248" t="str">
        <f t="shared" si="72"/>
        <v/>
      </c>
      <c r="FIV83" s="248" t="str">
        <f t="shared" si="72"/>
        <v/>
      </c>
      <c r="FIW83" s="248" t="str">
        <f t="shared" si="72"/>
        <v/>
      </c>
      <c r="FIX83" s="248" t="str">
        <f t="shared" si="72"/>
        <v/>
      </c>
      <c r="FIY83" s="248" t="str">
        <f t="shared" si="72"/>
        <v/>
      </c>
      <c r="FIZ83" s="248" t="str">
        <f t="shared" si="72"/>
        <v/>
      </c>
      <c r="FJA83" s="248" t="str">
        <f t="shared" si="72"/>
        <v/>
      </c>
      <c r="FJB83" s="248" t="str">
        <f t="shared" si="72"/>
        <v/>
      </c>
      <c r="FJC83" s="248" t="str">
        <f t="shared" ref="FJC83:FLN83" si="73">UPPER(FJA83)</f>
        <v/>
      </c>
      <c r="FJD83" s="248" t="str">
        <f t="shared" si="73"/>
        <v/>
      </c>
      <c r="FJE83" s="248" t="str">
        <f t="shared" si="73"/>
        <v/>
      </c>
      <c r="FJF83" s="248" t="str">
        <f t="shared" si="73"/>
        <v/>
      </c>
      <c r="FJG83" s="248" t="str">
        <f t="shared" si="73"/>
        <v/>
      </c>
      <c r="FJH83" s="248" t="str">
        <f t="shared" si="73"/>
        <v/>
      </c>
      <c r="FJI83" s="248" t="str">
        <f t="shared" si="73"/>
        <v/>
      </c>
      <c r="FJJ83" s="248" t="str">
        <f t="shared" si="73"/>
        <v/>
      </c>
      <c r="FJK83" s="248" t="str">
        <f t="shared" si="73"/>
        <v/>
      </c>
      <c r="FJL83" s="248" t="str">
        <f t="shared" si="73"/>
        <v/>
      </c>
      <c r="FJM83" s="248" t="str">
        <f t="shared" si="73"/>
        <v/>
      </c>
      <c r="FJN83" s="248" t="str">
        <f t="shared" si="73"/>
        <v/>
      </c>
      <c r="FJO83" s="248" t="str">
        <f t="shared" si="73"/>
        <v/>
      </c>
      <c r="FJP83" s="248" t="str">
        <f t="shared" si="73"/>
        <v/>
      </c>
      <c r="FJQ83" s="248" t="str">
        <f t="shared" si="73"/>
        <v/>
      </c>
      <c r="FJR83" s="248" t="str">
        <f t="shared" si="73"/>
        <v/>
      </c>
      <c r="FJS83" s="248" t="str">
        <f t="shared" si="73"/>
        <v/>
      </c>
      <c r="FJT83" s="248" t="str">
        <f t="shared" si="73"/>
        <v/>
      </c>
      <c r="FJU83" s="248" t="str">
        <f t="shared" si="73"/>
        <v/>
      </c>
      <c r="FJV83" s="248" t="str">
        <f t="shared" si="73"/>
        <v/>
      </c>
      <c r="FJW83" s="248" t="str">
        <f t="shared" si="73"/>
        <v/>
      </c>
      <c r="FJX83" s="248" t="str">
        <f t="shared" si="73"/>
        <v/>
      </c>
      <c r="FJY83" s="248" t="str">
        <f t="shared" si="73"/>
        <v/>
      </c>
      <c r="FJZ83" s="248" t="str">
        <f t="shared" si="73"/>
        <v/>
      </c>
      <c r="FKA83" s="248" t="str">
        <f t="shared" si="73"/>
        <v/>
      </c>
      <c r="FKB83" s="248" t="str">
        <f t="shared" si="73"/>
        <v/>
      </c>
      <c r="FKC83" s="248" t="str">
        <f t="shared" si="73"/>
        <v/>
      </c>
      <c r="FKD83" s="248" t="str">
        <f t="shared" si="73"/>
        <v/>
      </c>
      <c r="FKE83" s="248" t="str">
        <f t="shared" si="73"/>
        <v/>
      </c>
      <c r="FKF83" s="248" t="str">
        <f t="shared" si="73"/>
        <v/>
      </c>
      <c r="FKG83" s="248" t="str">
        <f t="shared" si="73"/>
        <v/>
      </c>
      <c r="FKH83" s="248" t="str">
        <f t="shared" si="73"/>
        <v/>
      </c>
      <c r="FKI83" s="248" t="str">
        <f t="shared" si="73"/>
        <v/>
      </c>
      <c r="FKJ83" s="248" t="str">
        <f t="shared" si="73"/>
        <v/>
      </c>
      <c r="FKK83" s="248" t="str">
        <f t="shared" si="73"/>
        <v/>
      </c>
      <c r="FKL83" s="248" t="str">
        <f t="shared" si="73"/>
        <v/>
      </c>
      <c r="FKM83" s="248" t="str">
        <f t="shared" si="73"/>
        <v/>
      </c>
      <c r="FKN83" s="248" t="str">
        <f t="shared" si="73"/>
        <v/>
      </c>
      <c r="FKO83" s="248" t="str">
        <f t="shared" si="73"/>
        <v/>
      </c>
      <c r="FKP83" s="248" t="str">
        <f t="shared" si="73"/>
        <v/>
      </c>
      <c r="FKQ83" s="248" t="str">
        <f t="shared" si="73"/>
        <v/>
      </c>
      <c r="FKR83" s="248" t="str">
        <f t="shared" si="73"/>
        <v/>
      </c>
      <c r="FKS83" s="248" t="str">
        <f t="shared" si="73"/>
        <v/>
      </c>
      <c r="FKT83" s="248" t="str">
        <f t="shared" si="73"/>
        <v/>
      </c>
      <c r="FKU83" s="248" t="str">
        <f t="shared" si="73"/>
        <v/>
      </c>
      <c r="FKV83" s="248" t="str">
        <f t="shared" si="73"/>
        <v/>
      </c>
      <c r="FKW83" s="248" t="str">
        <f t="shared" si="73"/>
        <v/>
      </c>
      <c r="FKX83" s="248" t="str">
        <f t="shared" si="73"/>
        <v/>
      </c>
      <c r="FKY83" s="248" t="str">
        <f t="shared" si="73"/>
        <v/>
      </c>
      <c r="FKZ83" s="248" t="str">
        <f t="shared" si="73"/>
        <v/>
      </c>
      <c r="FLA83" s="248" t="str">
        <f t="shared" si="73"/>
        <v/>
      </c>
      <c r="FLB83" s="248" t="str">
        <f t="shared" si="73"/>
        <v/>
      </c>
      <c r="FLC83" s="248" t="str">
        <f t="shared" si="73"/>
        <v/>
      </c>
      <c r="FLD83" s="248" t="str">
        <f t="shared" si="73"/>
        <v/>
      </c>
      <c r="FLE83" s="248" t="str">
        <f t="shared" si="73"/>
        <v/>
      </c>
      <c r="FLF83" s="248" t="str">
        <f t="shared" si="73"/>
        <v/>
      </c>
      <c r="FLG83" s="248" t="str">
        <f t="shared" si="73"/>
        <v/>
      </c>
      <c r="FLH83" s="248" t="str">
        <f t="shared" si="73"/>
        <v/>
      </c>
      <c r="FLI83" s="248" t="str">
        <f t="shared" si="73"/>
        <v/>
      </c>
      <c r="FLJ83" s="248" t="str">
        <f t="shared" si="73"/>
        <v/>
      </c>
      <c r="FLK83" s="248" t="str">
        <f t="shared" si="73"/>
        <v/>
      </c>
      <c r="FLL83" s="248" t="str">
        <f t="shared" si="73"/>
        <v/>
      </c>
      <c r="FLM83" s="248" t="str">
        <f t="shared" si="73"/>
        <v/>
      </c>
      <c r="FLN83" s="248" t="str">
        <f t="shared" si="73"/>
        <v/>
      </c>
      <c r="FLO83" s="248" t="str">
        <f t="shared" ref="FLO83:FNZ83" si="74">UPPER(FLM83)</f>
        <v/>
      </c>
      <c r="FLP83" s="248" t="str">
        <f t="shared" si="74"/>
        <v/>
      </c>
      <c r="FLQ83" s="248" t="str">
        <f t="shared" si="74"/>
        <v/>
      </c>
      <c r="FLR83" s="248" t="str">
        <f t="shared" si="74"/>
        <v/>
      </c>
      <c r="FLS83" s="248" t="str">
        <f t="shared" si="74"/>
        <v/>
      </c>
      <c r="FLT83" s="248" t="str">
        <f t="shared" si="74"/>
        <v/>
      </c>
      <c r="FLU83" s="248" t="str">
        <f t="shared" si="74"/>
        <v/>
      </c>
      <c r="FLV83" s="248" t="str">
        <f t="shared" si="74"/>
        <v/>
      </c>
      <c r="FLW83" s="248" t="str">
        <f t="shared" si="74"/>
        <v/>
      </c>
      <c r="FLX83" s="248" t="str">
        <f t="shared" si="74"/>
        <v/>
      </c>
      <c r="FLY83" s="248" t="str">
        <f t="shared" si="74"/>
        <v/>
      </c>
      <c r="FLZ83" s="248" t="str">
        <f t="shared" si="74"/>
        <v/>
      </c>
      <c r="FMA83" s="248" t="str">
        <f t="shared" si="74"/>
        <v/>
      </c>
      <c r="FMB83" s="248" t="str">
        <f t="shared" si="74"/>
        <v/>
      </c>
      <c r="FMC83" s="248" t="str">
        <f t="shared" si="74"/>
        <v/>
      </c>
      <c r="FMD83" s="248" t="str">
        <f t="shared" si="74"/>
        <v/>
      </c>
      <c r="FME83" s="248" t="str">
        <f t="shared" si="74"/>
        <v/>
      </c>
      <c r="FMF83" s="248" t="str">
        <f t="shared" si="74"/>
        <v/>
      </c>
      <c r="FMG83" s="248" t="str">
        <f t="shared" si="74"/>
        <v/>
      </c>
      <c r="FMH83" s="248" t="str">
        <f t="shared" si="74"/>
        <v/>
      </c>
      <c r="FMI83" s="248" t="str">
        <f t="shared" si="74"/>
        <v/>
      </c>
      <c r="FMJ83" s="248" t="str">
        <f t="shared" si="74"/>
        <v/>
      </c>
      <c r="FMK83" s="248" t="str">
        <f t="shared" si="74"/>
        <v/>
      </c>
      <c r="FML83" s="248" t="str">
        <f t="shared" si="74"/>
        <v/>
      </c>
      <c r="FMM83" s="248" t="str">
        <f t="shared" si="74"/>
        <v/>
      </c>
      <c r="FMN83" s="248" t="str">
        <f t="shared" si="74"/>
        <v/>
      </c>
      <c r="FMO83" s="248" t="str">
        <f t="shared" si="74"/>
        <v/>
      </c>
      <c r="FMP83" s="248" t="str">
        <f t="shared" si="74"/>
        <v/>
      </c>
      <c r="FMQ83" s="248" t="str">
        <f t="shared" si="74"/>
        <v/>
      </c>
      <c r="FMR83" s="248" t="str">
        <f t="shared" si="74"/>
        <v/>
      </c>
      <c r="FMS83" s="248" t="str">
        <f t="shared" si="74"/>
        <v/>
      </c>
      <c r="FMT83" s="248" t="str">
        <f t="shared" si="74"/>
        <v/>
      </c>
      <c r="FMU83" s="248" t="str">
        <f t="shared" si="74"/>
        <v/>
      </c>
      <c r="FMV83" s="248" t="str">
        <f t="shared" si="74"/>
        <v/>
      </c>
      <c r="FMW83" s="248" t="str">
        <f t="shared" si="74"/>
        <v/>
      </c>
      <c r="FMX83" s="248" t="str">
        <f t="shared" si="74"/>
        <v/>
      </c>
      <c r="FMY83" s="248" t="str">
        <f t="shared" si="74"/>
        <v/>
      </c>
      <c r="FMZ83" s="248" t="str">
        <f t="shared" si="74"/>
        <v/>
      </c>
      <c r="FNA83" s="248" t="str">
        <f t="shared" si="74"/>
        <v/>
      </c>
      <c r="FNB83" s="248" t="str">
        <f t="shared" si="74"/>
        <v/>
      </c>
      <c r="FNC83" s="248" t="str">
        <f t="shared" si="74"/>
        <v/>
      </c>
      <c r="FND83" s="248" t="str">
        <f t="shared" si="74"/>
        <v/>
      </c>
      <c r="FNE83" s="248" t="str">
        <f t="shared" si="74"/>
        <v/>
      </c>
      <c r="FNF83" s="248" t="str">
        <f t="shared" si="74"/>
        <v/>
      </c>
      <c r="FNG83" s="248" t="str">
        <f t="shared" si="74"/>
        <v/>
      </c>
      <c r="FNH83" s="248" t="str">
        <f t="shared" si="74"/>
        <v/>
      </c>
      <c r="FNI83" s="248" t="str">
        <f t="shared" si="74"/>
        <v/>
      </c>
      <c r="FNJ83" s="248" t="str">
        <f t="shared" si="74"/>
        <v/>
      </c>
      <c r="FNK83" s="248" t="str">
        <f t="shared" si="74"/>
        <v/>
      </c>
      <c r="FNL83" s="248" t="str">
        <f t="shared" si="74"/>
        <v/>
      </c>
      <c r="FNM83" s="248" t="str">
        <f t="shared" si="74"/>
        <v/>
      </c>
      <c r="FNN83" s="248" t="str">
        <f t="shared" si="74"/>
        <v/>
      </c>
      <c r="FNO83" s="248" t="str">
        <f t="shared" si="74"/>
        <v/>
      </c>
      <c r="FNP83" s="248" t="str">
        <f t="shared" si="74"/>
        <v/>
      </c>
      <c r="FNQ83" s="248" t="str">
        <f t="shared" si="74"/>
        <v/>
      </c>
      <c r="FNR83" s="248" t="str">
        <f t="shared" si="74"/>
        <v/>
      </c>
      <c r="FNS83" s="248" t="str">
        <f t="shared" si="74"/>
        <v/>
      </c>
      <c r="FNT83" s="248" t="str">
        <f t="shared" si="74"/>
        <v/>
      </c>
      <c r="FNU83" s="248" t="str">
        <f t="shared" si="74"/>
        <v/>
      </c>
      <c r="FNV83" s="248" t="str">
        <f t="shared" si="74"/>
        <v/>
      </c>
      <c r="FNW83" s="248" t="str">
        <f t="shared" si="74"/>
        <v/>
      </c>
      <c r="FNX83" s="248" t="str">
        <f t="shared" si="74"/>
        <v/>
      </c>
      <c r="FNY83" s="248" t="str">
        <f t="shared" si="74"/>
        <v/>
      </c>
      <c r="FNZ83" s="248" t="str">
        <f t="shared" si="74"/>
        <v/>
      </c>
      <c r="FOA83" s="248" t="str">
        <f t="shared" ref="FOA83:FQL83" si="75">UPPER(FNY83)</f>
        <v/>
      </c>
      <c r="FOB83" s="248" t="str">
        <f t="shared" si="75"/>
        <v/>
      </c>
      <c r="FOC83" s="248" t="str">
        <f t="shared" si="75"/>
        <v/>
      </c>
      <c r="FOD83" s="248" t="str">
        <f t="shared" si="75"/>
        <v/>
      </c>
      <c r="FOE83" s="248" t="str">
        <f t="shared" si="75"/>
        <v/>
      </c>
      <c r="FOF83" s="248" t="str">
        <f t="shared" si="75"/>
        <v/>
      </c>
      <c r="FOG83" s="248" t="str">
        <f t="shared" si="75"/>
        <v/>
      </c>
      <c r="FOH83" s="248" t="str">
        <f t="shared" si="75"/>
        <v/>
      </c>
      <c r="FOI83" s="248" t="str">
        <f t="shared" si="75"/>
        <v/>
      </c>
      <c r="FOJ83" s="248" t="str">
        <f t="shared" si="75"/>
        <v/>
      </c>
      <c r="FOK83" s="248" t="str">
        <f t="shared" si="75"/>
        <v/>
      </c>
      <c r="FOL83" s="248" t="str">
        <f t="shared" si="75"/>
        <v/>
      </c>
      <c r="FOM83" s="248" t="str">
        <f t="shared" si="75"/>
        <v/>
      </c>
      <c r="FON83" s="248" t="str">
        <f t="shared" si="75"/>
        <v/>
      </c>
      <c r="FOO83" s="248" t="str">
        <f t="shared" si="75"/>
        <v/>
      </c>
      <c r="FOP83" s="248" t="str">
        <f t="shared" si="75"/>
        <v/>
      </c>
      <c r="FOQ83" s="248" t="str">
        <f t="shared" si="75"/>
        <v/>
      </c>
      <c r="FOR83" s="248" t="str">
        <f t="shared" si="75"/>
        <v/>
      </c>
      <c r="FOS83" s="248" t="str">
        <f t="shared" si="75"/>
        <v/>
      </c>
      <c r="FOT83" s="248" t="str">
        <f t="shared" si="75"/>
        <v/>
      </c>
      <c r="FOU83" s="248" t="str">
        <f t="shared" si="75"/>
        <v/>
      </c>
      <c r="FOV83" s="248" t="str">
        <f t="shared" si="75"/>
        <v/>
      </c>
      <c r="FOW83" s="248" t="str">
        <f t="shared" si="75"/>
        <v/>
      </c>
      <c r="FOX83" s="248" t="str">
        <f t="shared" si="75"/>
        <v/>
      </c>
      <c r="FOY83" s="248" t="str">
        <f t="shared" si="75"/>
        <v/>
      </c>
      <c r="FOZ83" s="248" t="str">
        <f t="shared" si="75"/>
        <v/>
      </c>
      <c r="FPA83" s="248" t="str">
        <f t="shared" si="75"/>
        <v/>
      </c>
      <c r="FPB83" s="248" t="str">
        <f t="shared" si="75"/>
        <v/>
      </c>
      <c r="FPC83" s="248" t="str">
        <f t="shared" si="75"/>
        <v/>
      </c>
      <c r="FPD83" s="248" t="str">
        <f t="shared" si="75"/>
        <v/>
      </c>
      <c r="FPE83" s="248" t="str">
        <f t="shared" si="75"/>
        <v/>
      </c>
      <c r="FPF83" s="248" t="str">
        <f t="shared" si="75"/>
        <v/>
      </c>
      <c r="FPG83" s="248" t="str">
        <f t="shared" si="75"/>
        <v/>
      </c>
      <c r="FPH83" s="248" t="str">
        <f t="shared" si="75"/>
        <v/>
      </c>
      <c r="FPI83" s="248" t="str">
        <f t="shared" si="75"/>
        <v/>
      </c>
      <c r="FPJ83" s="248" t="str">
        <f t="shared" si="75"/>
        <v/>
      </c>
      <c r="FPK83" s="248" t="str">
        <f t="shared" si="75"/>
        <v/>
      </c>
      <c r="FPL83" s="248" t="str">
        <f t="shared" si="75"/>
        <v/>
      </c>
      <c r="FPM83" s="248" t="str">
        <f t="shared" si="75"/>
        <v/>
      </c>
      <c r="FPN83" s="248" t="str">
        <f t="shared" si="75"/>
        <v/>
      </c>
      <c r="FPO83" s="248" t="str">
        <f t="shared" si="75"/>
        <v/>
      </c>
      <c r="FPP83" s="248" t="str">
        <f t="shared" si="75"/>
        <v/>
      </c>
      <c r="FPQ83" s="248" t="str">
        <f t="shared" si="75"/>
        <v/>
      </c>
      <c r="FPR83" s="248" t="str">
        <f t="shared" si="75"/>
        <v/>
      </c>
      <c r="FPS83" s="248" t="str">
        <f t="shared" si="75"/>
        <v/>
      </c>
      <c r="FPT83" s="248" t="str">
        <f t="shared" si="75"/>
        <v/>
      </c>
      <c r="FPU83" s="248" t="str">
        <f t="shared" si="75"/>
        <v/>
      </c>
      <c r="FPV83" s="248" t="str">
        <f t="shared" si="75"/>
        <v/>
      </c>
      <c r="FPW83" s="248" t="str">
        <f t="shared" si="75"/>
        <v/>
      </c>
      <c r="FPX83" s="248" t="str">
        <f t="shared" si="75"/>
        <v/>
      </c>
      <c r="FPY83" s="248" t="str">
        <f t="shared" si="75"/>
        <v/>
      </c>
      <c r="FPZ83" s="248" t="str">
        <f t="shared" si="75"/>
        <v/>
      </c>
      <c r="FQA83" s="248" t="str">
        <f t="shared" si="75"/>
        <v/>
      </c>
      <c r="FQB83" s="248" t="str">
        <f t="shared" si="75"/>
        <v/>
      </c>
      <c r="FQC83" s="248" t="str">
        <f t="shared" si="75"/>
        <v/>
      </c>
      <c r="FQD83" s="248" t="str">
        <f t="shared" si="75"/>
        <v/>
      </c>
      <c r="FQE83" s="248" t="str">
        <f t="shared" si="75"/>
        <v/>
      </c>
      <c r="FQF83" s="248" t="str">
        <f t="shared" si="75"/>
        <v/>
      </c>
      <c r="FQG83" s="248" t="str">
        <f t="shared" si="75"/>
        <v/>
      </c>
      <c r="FQH83" s="248" t="str">
        <f t="shared" si="75"/>
        <v/>
      </c>
      <c r="FQI83" s="248" t="str">
        <f t="shared" si="75"/>
        <v/>
      </c>
      <c r="FQJ83" s="248" t="str">
        <f t="shared" si="75"/>
        <v/>
      </c>
      <c r="FQK83" s="248" t="str">
        <f t="shared" si="75"/>
        <v/>
      </c>
      <c r="FQL83" s="248" t="str">
        <f t="shared" si="75"/>
        <v/>
      </c>
      <c r="FQM83" s="248" t="str">
        <f t="shared" ref="FQM83:FSX83" si="76">UPPER(FQK83)</f>
        <v/>
      </c>
      <c r="FQN83" s="248" t="str">
        <f t="shared" si="76"/>
        <v/>
      </c>
      <c r="FQO83" s="248" t="str">
        <f t="shared" si="76"/>
        <v/>
      </c>
      <c r="FQP83" s="248" t="str">
        <f t="shared" si="76"/>
        <v/>
      </c>
      <c r="FQQ83" s="248" t="str">
        <f t="shared" si="76"/>
        <v/>
      </c>
      <c r="FQR83" s="248" t="str">
        <f t="shared" si="76"/>
        <v/>
      </c>
      <c r="FQS83" s="248" t="str">
        <f t="shared" si="76"/>
        <v/>
      </c>
      <c r="FQT83" s="248" t="str">
        <f t="shared" si="76"/>
        <v/>
      </c>
      <c r="FQU83" s="248" t="str">
        <f t="shared" si="76"/>
        <v/>
      </c>
      <c r="FQV83" s="248" t="str">
        <f t="shared" si="76"/>
        <v/>
      </c>
      <c r="FQW83" s="248" t="str">
        <f t="shared" si="76"/>
        <v/>
      </c>
      <c r="FQX83" s="248" t="str">
        <f t="shared" si="76"/>
        <v/>
      </c>
      <c r="FQY83" s="248" t="str">
        <f t="shared" si="76"/>
        <v/>
      </c>
      <c r="FQZ83" s="248" t="str">
        <f t="shared" si="76"/>
        <v/>
      </c>
      <c r="FRA83" s="248" t="str">
        <f t="shared" si="76"/>
        <v/>
      </c>
      <c r="FRB83" s="248" t="str">
        <f t="shared" si="76"/>
        <v/>
      </c>
      <c r="FRC83" s="248" t="str">
        <f t="shared" si="76"/>
        <v/>
      </c>
      <c r="FRD83" s="248" t="str">
        <f t="shared" si="76"/>
        <v/>
      </c>
      <c r="FRE83" s="248" t="str">
        <f t="shared" si="76"/>
        <v/>
      </c>
      <c r="FRF83" s="248" t="str">
        <f t="shared" si="76"/>
        <v/>
      </c>
      <c r="FRG83" s="248" t="str">
        <f t="shared" si="76"/>
        <v/>
      </c>
      <c r="FRH83" s="248" t="str">
        <f t="shared" si="76"/>
        <v/>
      </c>
      <c r="FRI83" s="248" t="str">
        <f t="shared" si="76"/>
        <v/>
      </c>
      <c r="FRJ83" s="248" t="str">
        <f t="shared" si="76"/>
        <v/>
      </c>
      <c r="FRK83" s="248" t="str">
        <f t="shared" si="76"/>
        <v/>
      </c>
      <c r="FRL83" s="248" t="str">
        <f t="shared" si="76"/>
        <v/>
      </c>
      <c r="FRM83" s="248" t="str">
        <f t="shared" si="76"/>
        <v/>
      </c>
      <c r="FRN83" s="248" t="str">
        <f t="shared" si="76"/>
        <v/>
      </c>
      <c r="FRO83" s="248" t="str">
        <f t="shared" si="76"/>
        <v/>
      </c>
      <c r="FRP83" s="248" t="str">
        <f t="shared" si="76"/>
        <v/>
      </c>
      <c r="FRQ83" s="248" t="str">
        <f t="shared" si="76"/>
        <v/>
      </c>
      <c r="FRR83" s="248" t="str">
        <f t="shared" si="76"/>
        <v/>
      </c>
      <c r="FRS83" s="248" t="str">
        <f t="shared" si="76"/>
        <v/>
      </c>
      <c r="FRT83" s="248" t="str">
        <f t="shared" si="76"/>
        <v/>
      </c>
      <c r="FRU83" s="248" t="str">
        <f t="shared" si="76"/>
        <v/>
      </c>
      <c r="FRV83" s="248" t="str">
        <f t="shared" si="76"/>
        <v/>
      </c>
      <c r="FRW83" s="248" t="str">
        <f t="shared" si="76"/>
        <v/>
      </c>
      <c r="FRX83" s="248" t="str">
        <f t="shared" si="76"/>
        <v/>
      </c>
      <c r="FRY83" s="248" t="str">
        <f t="shared" si="76"/>
        <v/>
      </c>
      <c r="FRZ83" s="248" t="str">
        <f t="shared" si="76"/>
        <v/>
      </c>
      <c r="FSA83" s="248" t="str">
        <f t="shared" si="76"/>
        <v/>
      </c>
      <c r="FSB83" s="248" t="str">
        <f t="shared" si="76"/>
        <v/>
      </c>
      <c r="FSC83" s="248" t="str">
        <f t="shared" si="76"/>
        <v/>
      </c>
      <c r="FSD83" s="248" t="str">
        <f t="shared" si="76"/>
        <v/>
      </c>
      <c r="FSE83" s="248" t="str">
        <f t="shared" si="76"/>
        <v/>
      </c>
      <c r="FSF83" s="248" t="str">
        <f t="shared" si="76"/>
        <v/>
      </c>
      <c r="FSG83" s="248" t="str">
        <f t="shared" si="76"/>
        <v/>
      </c>
      <c r="FSH83" s="248" t="str">
        <f t="shared" si="76"/>
        <v/>
      </c>
      <c r="FSI83" s="248" t="str">
        <f t="shared" si="76"/>
        <v/>
      </c>
      <c r="FSJ83" s="248" t="str">
        <f t="shared" si="76"/>
        <v/>
      </c>
      <c r="FSK83" s="248" t="str">
        <f t="shared" si="76"/>
        <v/>
      </c>
      <c r="FSL83" s="248" t="str">
        <f t="shared" si="76"/>
        <v/>
      </c>
      <c r="FSM83" s="248" t="str">
        <f t="shared" si="76"/>
        <v/>
      </c>
      <c r="FSN83" s="248" t="str">
        <f t="shared" si="76"/>
        <v/>
      </c>
      <c r="FSO83" s="248" t="str">
        <f t="shared" si="76"/>
        <v/>
      </c>
      <c r="FSP83" s="248" t="str">
        <f t="shared" si="76"/>
        <v/>
      </c>
      <c r="FSQ83" s="248" t="str">
        <f t="shared" si="76"/>
        <v/>
      </c>
      <c r="FSR83" s="248" t="str">
        <f t="shared" si="76"/>
        <v/>
      </c>
      <c r="FSS83" s="248" t="str">
        <f t="shared" si="76"/>
        <v/>
      </c>
      <c r="FST83" s="248" t="str">
        <f t="shared" si="76"/>
        <v/>
      </c>
      <c r="FSU83" s="248" t="str">
        <f t="shared" si="76"/>
        <v/>
      </c>
      <c r="FSV83" s="248" t="str">
        <f t="shared" si="76"/>
        <v/>
      </c>
      <c r="FSW83" s="248" t="str">
        <f t="shared" si="76"/>
        <v/>
      </c>
      <c r="FSX83" s="248" t="str">
        <f t="shared" si="76"/>
        <v/>
      </c>
      <c r="FSY83" s="248" t="str">
        <f t="shared" ref="FSY83:FVJ83" si="77">UPPER(FSW83)</f>
        <v/>
      </c>
      <c r="FSZ83" s="248" t="str">
        <f t="shared" si="77"/>
        <v/>
      </c>
      <c r="FTA83" s="248" t="str">
        <f t="shared" si="77"/>
        <v/>
      </c>
      <c r="FTB83" s="248" t="str">
        <f t="shared" si="77"/>
        <v/>
      </c>
      <c r="FTC83" s="248" t="str">
        <f t="shared" si="77"/>
        <v/>
      </c>
      <c r="FTD83" s="248" t="str">
        <f t="shared" si="77"/>
        <v/>
      </c>
      <c r="FTE83" s="248" t="str">
        <f t="shared" si="77"/>
        <v/>
      </c>
      <c r="FTF83" s="248" t="str">
        <f t="shared" si="77"/>
        <v/>
      </c>
      <c r="FTG83" s="248" t="str">
        <f t="shared" si="77"/>
        <v/>
      </c>
      <c r="FTH83" s="248" t="str">
        <f t="shared" si="77"/>
        <v/>
      </c>
      <c r="FTI83" s="248" t="str">
        <f t="shared" si="77"/>
        <v/>
      </c>
      <c r="FTJ83" s="248" t="str">
        <f t="shared" si="77"/>
        <v/>
      </c>
      <c r="FTK83" s="248" t="str">
        <f t="shared" si="77"/>
        <v/>
      </c>
      <c r="FTL83" s="248" t="str">
        <f t="shared" si="77"/>
        <v/>
      </c>
      <c r="FTM83" s="248" t="str">
        <f t="shared" si="77"/>
        <v/>
      </c>
      <c r="FTN83" s="248" t="str">
        <f t="shared" si="77"/>
        <v/>
      </c>
      <c r="FTO83" s="248" t="str">
        <f t="shared" si="77"/>
        <v/>
      </c>
      <c r="FTP83" s="248" t="str">
        <f t="shared" si="77"/>
        <v/>
      </c>
      <c r="FTQ83" s="248" t="str">
        <f t="shared" si="77"/>
        <v/>
      </c>
      <c r="FTR83" s="248" t="str">
        <f t="shared" si="77"/>
        <v/>
      </c>
      <c r="FTS83" s="248" t="str">
        <f t="shared" si="77"/>
        <v/>
      </c>
      <c r="FTT83" s="248" t="str">
        <f t="shared" si="77"/>
        <v/>
      </c>
      <c r="FTU83" s="248" t="str">
        <f t="shared" si="77"/>
        <v/>
      </c>
      <c r="FTV83" s="248" t="str">
        <f t="shared" si="77"/>
        <v/>
      </c>
      <c r="FTW83" s="248" t="str">
        <f t="shared" si="77"/>
        <v/>
      </c>
      <c r="FTX83" s="248" t="str">
        <f t="shared" si="77"/>
        <v/>
      </c>
      <c r="FTY83" s="248" t="str">
        <f t="shared" si="77"/>
        <v/>
      </c>
      <c r="FTZ83" s="248" t="str">
        <f t="shared" si="77"/>
        <v/>
      </c>
      <c r="FUA83" s="248" t="str">
        <f t="shared" si="77"/>
        <v/>
      </c>
      <c r="FUB83" s="248" t="str">
        <f t="shared" si="77"/>
        <v/>
      </c>
      <c r="FUC83" s="248" t="str">
        <f t="shared" si="77"/>
        <v/>
      </c>
      <c r="FUD83" s="248" t="str">
        <f t="shared" si="77"/>
        <v/>
      </c>
      <c r="FUE83" s="248" t="str">
        <f t="shared" si="77"/>
        <v/>
      </c>
      <c r="FUF83" s="248" t="str">
        <f t="shared" si="77"/>
        <v/>
      </c>
      <c r="FUG83" s="248" t="str">
        <f t="shared" si="77"/>
        <v/>
      </c>
      <c r="FUH83" s="248" t="str">
        <f t="shared" si="77"/>
        <v/>
      </c>
      <c r="FUI83" s="248" t="str">
        <f t="shared" si="77"/>
        <v/>
      </c>
      <c r="FUJ83" s="248" t="str">
        <f t="shared" si="77"/>
        <v/>
      </c>
      <c r="FUK83" s="248" t="str">
        <f t="shared" si="77"/>
        <v/>
      </c>
      <c r="FUL83" s="248" t="str">
        <f t="shared" si="77"/>
        <v/>
      </c>
      <c r="FUM83" s="248" t="str">
        <f t="shared" si="77"/>
        <v/>
      </c>
      <c r="FUN83" s="248" t="str">
        <f t="shared" si="77"/>
        <v/>
      </c>
      <c r="FUO83" s="248" t="str">
        <f t="shared" si="77"/>
        <v/>
      </c>
      <c r="FUP83" s="248" t="str">
        <f t="shared" si="77"/>
        <v/>
      </c>
      <c r="FUQ83" s="248" t="str">
        <f t="shared" si="77"/>
        <v/>
      </c>
      <c r="FUR83" s="248" t="str">
        <f t="shared" si="77"/>
        <v/>
      </c>
      <c r="FUS83" s="248" t="str">
        <f t="shared" si="77"/>
        <v/>
      </c>
      <c r="FUT83" s="248" t="str">
        <f t="shared" si="77"/>
        <v/>
      </c>
      <c r="FUU83" s="248" t="str">
        <f t="shared" si="77"/>
        <v/>
      </c>
      <c r="FUV83" s="248" t="str">
        <f t="shared" si="77"/>
        <v/>
      </c>
      <c r="FUW83" s="248" t="str">
        <f t="shared" si="77"/>
        <v/>
      </c>
      <c r="FUX83" s="248" t="str">
        <f t="shared" si="77"/>
        <v/>
      </c>
      <c r="FUY83" s="248" t="str">
        <f t="shared" si="77"/>
        <v/>
      </c>
      <c r="FUZ83" s="248" t="str">
        <f t="shared" si="77"/>
        <v/>
      </c>
      <c r="FVA83" s="248" t="str">
        <f t="shared" si="77"/>
        <v/>
      </c>
      <c r="FVB83" s="248" t="str">
        <f t="shared" si="77"/>
        <v/>
      </c>
      <c r="FVC83" s="248" t="str">
        <f t="shared" si="77"/>
        <v/>
      </c>
      <c r="FVD83" s="248" t="str">
        <f t="shared" si="77"/>
        <v/>
      </c>
      <c r="FVE83" s="248" t="str">
        <f t="shared" si="77"/>
        <v/>
      </c>
      <c r="FVF83" s="248" t="str">
        <f t="shared" si="77"/>
        <v/>
      </c>
      <c r="FVG83" s="248" t="str">
        <f t="shared" si="77"/>
        <v/>
      </c>
      <c r="FVH83" s="248" t="str">
        <f t="shared" si="77"/>
        <v/>
      </c>
      <c r="FVI83" s="248" t="str">
        <f t="shared" si="77"/>
        <v/>
      </c>
      <c r="FVJ83" s="248" t="str">
        <f t="shared" si="77"/>
        <v/>
      </c>
      <c r="FVK83" s="248" t="str">
        <f t="shared" ref="FVK83:FXV83" si="78">UPPER(FVI83)</f>
        <v/>
      </c>
      <c r="FVL83" s="248" t="str">
        <f t="shared" si="78"/>
        <v/>
      </c>
      <c r="FVM83" s="248" t="str">
        <f t="shared" si="78"/>
        <v/>
      </c>
      <c r="FVN83" s="248" t="str">
        <f t="shared" si="78"/>
        <v/>
      </c>
      <c r="FVO83" s="248" t="str">
        <f t="shared" si="78"/>
        <v/>
      </c>
      <c r="FVP83" s="248" t="str">
        <f t="shared" si="78"/>
        <v/>
      </c>
      <c r="FVQ83" s="248" t="str">
        <f t="shared" si="78"/>
        <v/>
      </c>
      <c r="FVR83" s="248" t="str">
        <f t="shared" si="78"/>
        <v/>
      </c>
      <c r="FVS83" s="248" t="str">
        <f t="shared" si="78"/>
        <v/>
      </c>
      <c r="FVT83" s="248" t="str">
        <f t="shared" si="78"/>
        <v/>
      </c>
      <c r="FVU83" s="248" t="str">
        <f t="shared" si="78"/>
        <v/>
      </c>
      <c r="FVV83" s="248" t="str">
        <f t="shared" si="78"/>
        <v/>
      </c>
      <c r="FVW83" s="248" t="str">
        <f t="shared" si="78"/>
        <v/>
      </c>
      <c r="FVX83" s="248" t="str">
        <f t="shared" si="78"/>
        <v/>
      </c>
      <c r="FVY83" s="248" t="str">
        <f t="shared" si="78"/>
        <v/>
      </c>
      <c r="FVZ83" s="248" t="str">
        <f t="shared" si="78"/>
        <v/>
      </c>
      <c r="FWA83" s="248" t="str">
        <f t="shared" si="78"/>
        <v/>
      </c>
      <c r="FWB83" s="248" t="str">
        <f t="shared" si="78"/>
        <v/>
      </c>
      <c r="FWC83" s="248" t="str">
        <f t="shared" si="78"/>
        <v/>
      </c>
      <c r="FWD83" s="248" t="str">
        <f t="shared" si="78"/>
        <v/>
      </c>
      <c r="FWE83" s="248" t="str">
        <f t="shared" si="78"/>
        <v/>
      </c>
      <c r="FWF83" s="248" t="str">
        <f t="shared" si="78"/>
        <v/>
      </c>
      <c r="FWG83" s="248" t="str">
        <f t="shared" si="78"/>
        <v/>
      </c>
      <c r="FWH83" s="248" t="str">
        <f t="shared" si="78"/>
        <v/>
      </c>
      <c r="FWI83" s="248" t="str">
        <f t="shared" si="78"/>
        <v/>
      </c>
      <c r="FWJ83" s="248" t="str">
        <f t="shared" si="78"/>
        <v/>
      </c>
      <c r="FWK83" s="248" t="str">
        <f t="shared" si="78"/>
        <v/>
      </c>
      <c r="FWL83" s="248" t="str">
        <f t="shared" si="78"/>
        <v/>
      </c>
      <c r="FWM83" s="248" t="str">
        <f t="shared" si="78"/>
        <v/>
      </c>
      <c r="FWN83" s="248" t="str">
        <f t="shared" si="78"/>
        <v/>
      </c>
      <c r="FWO83" s="248" t="str">
        <f t="shared" si="78"/>
        <v/>
      </c>
      <c r="FWP83" s="248" t="str">
        <f t="shared" si="78"/>
        <v/>
      </c>
      <c r="FWQ83" s="248" t="str">
        <f t="shared" si="78"/>
        <v/>
      </c>
      <c r="FWR83" s="248" t="str">
        <f t="shared" si="78"/>
        <v/>
      </c>
      <c r="FWS83" s="248" t="str">
        <f t="shared" si="78"/>
        <v/>
      </c>
      <c r="FWT83" s="248" t="str">
        <f t="shared" si="78"/>
        <v/>
      </c>
      <c r="FWU83" s="248" t="str">
        <f t="shared" si="78"/>
        <v/>
      </c>
      <c r="FWV83" s="248" t="str">
        <f t="shared" si="78"/>
        <v/>
      </c>
      <c r="FWW83" s="248" t="str">
        <f t="shared" si="78"/>
        <v/>
      </c>
      <c r="FWX83" s="248" t="str">
        <f t="shared" si="78"/>
        <v/>
      </c>
      <c r="FWY83" s="248" t="str">
        <f t="shared" si="78"/>
        <v/>
      </c>
      <c r="FWZ83" s="248" t="str">
        <f t="shared" si="78"/>
        <v/>
      </c>
      <c r="FXA83" s="248" t="str">
        <f t="shared" si="78"/>
        <v/>
      </c>
      <c r="FXB83" s="248" t="str">
        <f t="shared" si="78"/>
        <v/>
      </c>
      <c r="FXC83" s="248" t="str">
        <f t="shared" si="78"/>
        <v/>
      </c>
      <c r="FXD83" s="248" t="str">
        <f t="shared" si="78"/>
        <v/>
      </c>
      <c r="FXE83" s="248" t="str">
        <f t="shared" si="78"/>
        <v/>
      </c>
      <c r="FXF83" s="248" t="str">
        <f t="shared" si="78"/>
        <v/>
      </c>
      <c r="FXG83" s="248" t="str">
        <f t="shared" si="78"/>
        <v/>
      </c>
      <c r="FXH83" s="248" t="str">
        <f t="shared" si="78"/>
        <v/>
      </c>
      <c r="FXI83" s="248" t="str">
        <f t="shared" si="78"/>
        <v/>
      </c>
      <c r="FXJ83" s="248" t="str">
        <f t="shared" si="78"/>
        <v/>
      </c>
      <c r="FXK83" s="248" t="str">
        <f t="shared" si="78"/>
        <v/>
      </c>
      <c r="FXL83" s="248" t="str">
        <f t="shared" si="78"/>
        <v/>
      </c>
      <c r="FXM83" s="248" t="str">
        <f t="shared" si="78"/>
        <v/>
      </c>
      <c r="FXN83" s="248" t="str">
        <f t="shared" si="78"/>
        <v/>
      </c>
      <c r="FXO83" s="248" t="str">
        <f t="shared" si="78"/>
        <v/>
      </c>
      <c r="FXP83" s="248" t="str">
        <f t="shared" si="78"/>
        <v/>
      </c>
      <c r="FXQ83" s="248" t="str">
        <f t="shared" si="78"/>
        <v/>
      </c>
      <c r="FXR83" s="248" t="str">
        <f t="shared" si="78"/>
        <v/>
      </c>
      <c r="FXS83" s="248" t="str">
        <f t="shared" si="78"/>
        <v/>
      </c>
      <c r="FXT83" s="248" t="str">
        <f t="shared" si="78"/>
        <v/>
      </c>
      <c r="FXU83" s="248" t="str">
        <f t="shared" si="78"/>
        <v/>
      </c>
      <c r="FXV83" s="248" t="str">
        <f t="shared" si="78"/>
        <v/>
      </c>
      <c r="FXW83" s="248" t="str">
        <f t="shared" ref="FXW83:GAH83" si="79">UPPER(FXU83)</f>
        <v/>
      </c>
      <c r="FXX83" s="248" t="str">
        <f t="shared" si="79"/>
        <v/>
      </c>
      <c r="FXY83" s="248" t="str">
        <f t="shared" si="79"/>
        <v/>
      </c>
      <c r="FXZ83" s="248" t="str">
        <f t="shared" si="79"/>
        <v/>
      </c>
      <c r="FYA83" s="248" t="str">
        <f t="shared" si="79"/>
        <v/>
      </c>
      <c r="FYB83" s="248" t="str">
        <f t="shared" si="79"/>
        <v/>
      </c>
      <c r="FYC83" s="248" t="str">
        <f t="shared" si="79"/>
        <v/>
      </c>
      <c r="FYD83" s="248" t="str">
        <f t="shared" si="79"/>
        <v/>
      </c>
      <c r="FYE83" s="248" t="str">
        <f t="shared" si="79"/>
        <v/>
      </c>
      <c r="FYF83" s="248" t="str">
        <f t="shared" si="79"/>
        <v/>
      </c>
      <c r="FYG83" s="248" t="str">
        <f t="shared" si="79"/>
        <v/>
      </c>
      <c r="FYH83" s="248" t="str">
        <f t="shared" si="79"/>
        <v/>
      </c>
      <c r="FYI83" s="248" t="str">
        <f t="shared" si="79"/>
        <v/>
      </c>
      <c r="FYJ83" s="248" t="str">
        <f t="shared" si="79"/>
        <v/>
      </c>
      <c r="FYK83" s="248" t="str">
        <f t="shared" si="79"/>
        <v/>
      </c>
      <c r="FYL83" s="248" t="str">
        <f t="shared" si="79"/>
        <v/>
      </c>
      <c r="FYM83" s="248" t="str">
        <f t="shared" si="79"/>
        <v/>
      </c>
      <c r="FYN83" s="248" t="str">
        <f t="shared" si="79"/>
        <v/>
      </c>
      <c r="FYO83" s="248" t="str">
        <f t="shared" si="79"/>
        <v/>
      </c>
      <c r="FYP83" s="248" t="str">
        <f t="shared" si="79"/>
        <v/>
      </c>
      <c r="FYQ83" s="248" t="str">
        <f t="shared" si="79"/>
        <v/>
      </c>
      <c r="FYR83" s="248" t="str">
        <f t="shared" si="79"/>
        <v/>
      </c>
      <c r="FYS83" s="248" t="str">
        <f t="shared" si="79"/>
        <v/>
      </c>
      <c r="FYT83" s="248" t="str">
        <f t="shared" si="79"/>
        <v/>
      </c>
      <c r="FYU83" s="248" t="str">
        <f t="shared" si="79"/>
        <v/>
      </c>
      <c r="FYV83" s="248" t="str">
        <f t="shared" si="79"/>
        <v/>
      </c>
      <c r="FYW83" s="248" t="str">
        <f t="shared" si="79"/>
        <v/>
      </c>
      <c r="FYX83" s="248" t="str">
        <f t="shared" si="79"/>
        <v/>
      </c>
      <c r="FYY83" s="248" t="str">
        <f t="shared" si="79"/>
        <v/>
      </c>
      <c r="FYZ83" s="248" t="str">
        <f t="shared" si="79"/>
        <v/>
      </c>
      <c r="FZA83" s="248" t="str">
        <f t="shared" si="79"/>
        <v/>
      </c>
      <c r="FZB83" s="248" t="str">
        <f t="shared" si="79"/>
        <v/>
      </c>
      <c r="FZC83" s="248" t="str">
        <f t="shared" si="79"/>
        <v/>
      </c>
      <c r="FZD83" s="248" t="str">
        <f t="shared" si="79"/>
        <v/>
      </c>
      <c r="FZE83" s="248" t="str">
        <f t="shared" si="79"/>
        <v/>
      </c>
      <c r="FZF83" s="248" t="str">
        <f t="shared" si="79"/>
        <v/>
      </c>
      <c r="FZG83" s="248" t="str">
        <f t="shared" si="79"/>
        <v/>
      </c>
      <c r="FZH83" s="248" t="str">
        <f t="shared" si="79"/>
        <v/>
      </c>
      <c r="FZI83" s="248" t="str">
        <f t="shared" si="79"/>
        <v/>
      </c>
      <c r="FZJ83" s="248" t="str">
        <f t="shared" si="79"/>
        <v/>
      </c>
      <c r="FZK83" s="248" t="str">
        <f t="shared" si="79"/>
        <v/>
      </c>
      <c r="FZL83" s="248" t="str">
        <f t="shared" si="79"/>
        <v/>
      </c>
      <c r="FZM83" s="248" t="str">
        <f t="shared" si="79"/>
        <v/>
      </c>
      <c r="FZN83" s="248" t="str">
        <f t="shared" si="79"/>
        <v/>
      </c>
      <c r="FZO83" s="248" t="str">
        <f t="shared" si="79"/>
        <v/>
      </c>
      <c r="FZP83" s="248" t="str">
        <f t="shared" si="79"/>
        <v/>
      </c>
      <c r="FZQ83" s="248" t="str">
        <f t="shared" si="79"/>
        <v/>
      </c>
      <c r="FZR83" s="248" t="str">
        <f t="shared" si="79"/>
        <v/>
      </c>
      <c r="FZS83" s="248" t="str">
        <f t="shared" si="79"/>
        <v/>
      </c>
      <c r="FZT83" s="248" t="str">
        <f t="shared" si="79"/>
        <v/>
      </c>
      <c r="FZU83" s="248" t="str">
        <f t="shared" si="79"/>
        <v/>
      </c>
      <c r="FZV83" s="248" t="str">
        <f t="shared" si="79"/>
        <v/>
      </c>
      <c r="FZW83" s="248" t="str">
        <f t="shared" si="79"/>
        <v/>
      </c>
      <c r="FZX83" s="248" t="str">
        <f t="shared" si="79"/>
        <v/>
      </c>
      <c r="FZY83" s="248" t="str">
        <f t="shared" si="79"/>
        <v/>
      </c>
      <c r="FZZ83" s="248" t="str">
        <f t="shared" si="79"/>
        <v/>
      </c>
      <c r="GAA83" s="248" t="str">
        <f t="shared" si="79"/>
        <v/>
      </c>
      <c r="GAB83" s="248" t="str">
        <f t="shared" si="79"/>
        <v/>
      </c>
      <c r="GAC83" s="248" t="str">
        <f t="shared" si="79"/>
        <v/>
      </c>
      <c r="GAD83" s="248" t="str">
        <f t="shared" si="79"/>
        <v/>
      </c>
      <c r="GAE83" s="248" t="str">
        <f t="shared" si="79"/>
        <v/>
      </c>
      <c r="GAF83" s="248" t="str">
        <f t="shared" si="79"/>
        <v/>
      </c>
      <c r="GAG83" s="248" t="str">
        <f t="shared" si="79"/>
        <v/>
      </c>
      <c r="GAH83" s="248" t="str">
        <f t="shared" si="79"/>
        <v/>
      </c>
      <c r="GAI83" s="248" t="str">
        <f t="shared" ref="GAI83:GCT83" si="80">UPPER(GAG83)</f>
        <v/>
      </c>
      <c r="GAJ83" s="248" t="str">
        <f t="shared" si="80"/>
        <v/>
      </c>
      <c r="GAK83" s="248" t="str">
        <f t="shared" si="80"/>
        <v/>
      </c>
      <c r="GAL83" s="248" t="str">
        <f t="shared" si="80"/>
        <v/>
      </c>
      <c r="GAM83" s="248" t="str">
        <f t="shared" si="80"/>
        <v/>
      </c>
      <c r="GAN83" s="248" t="str">
        <f t="shared" si="80"/>
        <v/>
      </c>
      <c r="GAO83" s="248" t="str">
        <f t="shared" si="80"/>
        <v/>
      </c>
      <c r="GAP83" s="248" t="str">
        <f t="shared" si="80"/>
        <v/>
      </c>
      <c r="GAQ83" s="248" t="str">
        <f t="shared" si="80"/>
        <v/>
      </c>
      <c r="GAR83" s="248" t="str">
        <f t="shared" si="80"/>
        <v/>
      </c>
      <c r="GAS83" s="248" t="str">
        <f t="shared" si="80"/>
        <v/>
      </c>
      <c r="GAT83" s="248" t="str">
        <f t="shared" si="80"/>
        <v/>
      </c>
      <c r="GAU83" s="248" t="str">
        <f t="shared" si="80"/>
        <v/>
      </c>
      <c r="GAV83" s="248" t="str">
        <f t="shared" si="80"/>
        <v/>
      </c>
      <c r="GAW83" s="248" t="str">
        <f t="shared" si="80"/>
        <v/>
      </c>
      <c r="GAX83" s="248" t="str">
        <f t="shared" si="80"/>
        <v/>
      </c>
      <c r="GAY83" s="248" t="str">
        <f t="shared" si="80"/>
        <v/>
      </c>
      <c r="GAZ83" s="248" t="str">
        <f t="shared" si="80"/>
        <v/>
      </c>
      <c r="GBA83" s="248" t="str">
        <f t="shared" si="80"/>
        <v/>
      </c>
      <c r="GBB83" s="248" t="str">
        <f t="shared" si="80"/>
        <v/>
      </c>
      <c r="GBC83" s="248" t="str">
        <f t="shared" si="80"/>
        <v/>
      </c>
      <c r="GBD83" s="248" t="str">
        <f t="shared" si="80"/>
        <v/>
      </c>
      <c r="GBE83" s="248" t="str">
        <f t="shared" si="80"/>
        <v/>
      </c>
      <c r="GBF83" s="248" t="str">
        <f t="shared" si="80"/>
        <v/>
      </c>
      <c r="GBG83" s="248" t="str">
        <f t="shared" si="80"/>
        <v/>
      </c>
      <c r="GBH83" s="248" t="str">
        <f t="shared" si="80"/>
        <v/>
      </c>
      <c r="GBI83" s="248" t="str">
        <f t="shared" si="80"/>
        <v/>
      </c>
      <c r="GBJ83" s="248" t="str">
        <f t="shared" si="80"/>
        <v/>
      </c>
      <c r="GBK83" s="248" t="str">
        <f t="shared" si="80"/>
        <v/>
      </c>
      <c r="GBL83" s="248" t="str">
        <f t="shared" si="80"/>
        <v/>
      </c>
      <c r="GBM83" s="248" t="str">
        <f t="shared" si="80"/>
        <v/>
      </c>
      <c r="GBN83" s="248" t="str">
        <f t="shared" si="80"/>
        <v/>
      </c>
      <c r="GBO83" s="248" t="str">
        <f t="shared" si="80"/>
        <v/>
      </c>
      <c r="GBP83" s="248" t="str">
        <f t="shared" si="80"/>
        <v/>
      </c>
      <c r="GBQ83" s="248" t="str">
        <f t="shared" si="80"/>
        <v/>
      </c>
      <c r="GBR83" s="248" t="str">
        <f t="shared" si="80"/>
        <v/>
      </c>
      <c r="GBS83" s="248" t="str">
        <f t="shared" si="80"/>
        <v/>
      </c>
      <c r="GBT83" s="248" t="str">
        <f t="shared" si="80"/>
        <v/>
      </c>
      <c r="GBU83" s="248" t="str">
        <f t="shared" si="80"/>
        <v/>
      </c>
      <c r="GBV83" s="248" t="str">
        <f t="shared" si="80"/>
        <v/>
      </c>
      <c r="GBW83" s="248" t="str">
        <f t="shared" si="80"/>
        <v/>
      </c>
      <c r="GBX83" s="248" t="str">
        <f t="shared" si="80"/>
        <v/>
      </c>
      <c r="GBY83" s="248" t="str">
        <f t="shared" si="80"/>
        <v/>
      </c>
      <c r="GBZ83" s="248" t="str">
        <f t="shared" si="80"/>
        <v/>
      </c>
      <c r="GCA83" s="248" t="str">
        <f t="shared" si="80"/>
        <v/>
      </c>
      <c r="GCB83" s="248" t="str">
        <f t="shared" si="80"/>
        <v/>
      </c>
      <c r="GCC83" s="248" t="str">
        <f t="shared" si="80"/>
        <v/>
      </c>
      <c r="GCD83" s="248" t="str">
        <f t="shared" si="80"/>
        <v/>
      </c>
      <c r="GCE83" s="248" t="str">
        <f t="shared" si="80"/>
        <v/>
      </c>
      <c r="GCF83" s="248" t="str">
        <f t="shared" si="80"/>
        <v/>
      </c>
      <c r="GCG83" s="248" t="str">
        <f t="shared" si="80"/>
        <v/>
      </c>
      <c r="GCH83" s="248" t="str">
        <f t="shared" si="80"/>
        <v/>
      </c>
      <c r="GCI83" s="248" t="str">
        <f t="shared" si="80"/>
        <v/>
      </c>
      <c r="GCJ83" s="248" t="str">
        <f t="shared" si="80"/>
        <v/>
      </c>
      <c r="GCK83" s="248" t="str">
        <f t="shared" si="80"/>
        <v/>
      </c>
      <c r="GCL83" s="248" t="str">
        <f t="shared" si="80"/>
        <v/>
      </c>
      <c r="GCM83" s="248" t="str">
        <f t="shared" si="80"/>
        <v/>
      </c>
      <c r="GCN83" s="248" t="str">
        <f t="shared" si="80"/>
        <v/>
      </c>
      <c r="GCO83" s="248" t="str">
        <f t="shared" si="80"/>
        <v/>
      </c>
      <c r="GCP83" s="248" t="str">
        <f t="shared" si="80"/>
        <v/>
      </c>
      <c r="GCQ83" s="248" t="str">
        <f t="shared" si="80"/>
        <v/>
      </c>
      <c r="GCR83" s="248" t="str">
        <f t="shared" si="80"/>
        <v/>
      </c>
      <c r="GCS83" s="248" t="str">
        <f t="shared" si="80"/>
        <v/>
      </c>
      <c r="GCT83" s="248" t="str">
        <f t="shared" si="80"/>
        <v/>
      </c>
      <c r="GCU83" s="248" t="str">
        <f t="shared" ref="GCU83:GFF83" si="81">UPPER(GCS83)</f>
        <v/>
      </c>
      <c r="GCV83" s="248" t="str">
        <f t="shared" si="81"/>
        <v/>
      </c>
      <c r="GCW83" s="248" t="str">
        <f t="shared" si="81"/>
        <v/>
      </c>
      <c r="GCX83" s="248" t="str">
        <f t="shared" si="81"/>
        <v/>
      </c>
      <c r="GCY83" s="248" t="str">
        <f t="shared" si="81"/>
        <v/>
      </c>
      <c r="GCZ83" s="248" t="str">
        <f t="shared" si="81"/>
        <v/>
      </c>
      <c r="GDA83" s="248" t="str">
        <f t="shared" si="81"/>
        <v/>
      </c>
      <c r="GDB83" s="248" t="str">
        <f t="shared" si="81"/>
        <v/>
      </c>
      <c r="GDC83" s="248" t="str">
        <f t="shared" si="81"/>
        <v/>
      </c>
      <c r="GDD83" s="248" t="str">
        <f t="shared" si="81"/>
        <v/>
      </c>
      <c r="GDE83" s="248" t="str">
        <f t="shared" si="81"/>
        <v/>
      </c>
      <c r="GDF83" s="248" t="str">
        <f t="shared" si="81"/>
        <v/>
      </c>
      <c r="GDG83" s="248" t="str">
        <f t="shared" si="81"/>
        <v/>
      </c>
      <c r="GDH83" s="248" t="str">
        <f t="shared" si="81"/>
        <v/>
      </c>
      <c r="GDI83" s="248" t="str">
        <f t="shared" si="81"/>
        <v/>
      </c>
      <c r="GDJ83" s="248" t="str">
        <f t="shared" si="81"/>
        <v/>
      </c>
      <c r="GDK83" s="248" t="str">
        <f t="shared" si="81"/>
        <v/>
      </c>
      <c r="GDL83" s="248" t="str">
        <f t="shared" si="81"/>
        <v/>
      </c>
      <c r="GDM83" s="248" t="str">
        <f t="shared" si="81"/>
        <v/>
      </c>
      <c r="GDN83" s="248" t="str">
        <f t="shared" si="81"/>
        <v/>
      </c>
      <c r="GDO83" s="248" t="str">
        <f t="shared" si="81"/>
        <v/>
      </c>
      <c r="GDP83" s="248" t="str">
        <f t="shared" si="81"/>
        <v/>
      </c>
      <c r="GDQ83" s="248" t="str">
        <f t="shared" si="81"/>
        <v/>
      </c>
      <c r="GDR83" s="248" t="str">
        <f t="shared" si="81"/>
        <v/>
      </c>
      <c r="GDS83" s="248" t="str">
        <f t="shared" si="81"/>
        <v/>
      </c>
      <c r="GDT83" s="248" t="str">
        <f t="shared" si="81"/>
        <v/>
      </c>
      <c r="GDU83" s="248" t="str">
        <f t="shared" si="81"/>
        <v/>
      </c>
      <c r="GDV83" s="248" t="str">
        <f t="shared" si="81"/>
        <v/>
      </c>
      <c r="GDW83" s="248" t="str">
        <f t="shared" si="81"/>
        <v/>
      </c>
      <c r="GDX83" s="248" t="str">
        <f t="shared" si="81"/>
        <v/>
      </c>
      <c r="GDY83" s="248" t="str">
        <f t="shared" si="81"/>
        <v/>
      </c>
      <c r="GDZ83" s="248" t="str">
        <f t="shared" si="81"/>
        <v/>
      </c>
      <c r="GEA83" s="248" t="str">
        <f t="shared" si="81"/>
        <v/>
      </c>
      <c r="GEB83" s="248" t="str">
        <f t="shared" si="81"/>
        <v/>
      </c>
      <c r="GEC83" s="248" t="str">
        <f t="shared" si="81"/>
        <v/>
      </c>
      <c r="GED83" s="248" t="str">
        <f t="shared" si="81"/>
        <v/>
      </c>
      <c r="GEE83" s="248" t="str">
        <f t="shared" si="81"/>
        <v/>
      </c>
      <c r="GEF83" s="248" t="str">
        <f t="shared" si="81"/>
        <v/>
      </c>
      <c r="GEG83" s="248" t="str">
        <f t="shared" si="81"/>
        <v/>
      </c>
      <c r="GEH83" s="248" t="str">
        <f t="shared" si="81"/>
        <v/>
      </c>
      <c r="GEI83" s="248" t="str">
        <f t="shared" si="81"/>
        <v/>
      </c>
      <c r="GEJ83" s="248" t="str">
        <f t="shared" si="81"/>
        <v/>
      </c>
      <c r="GEK83" s="248" t="str">
        <f t="shared" si="81"/>
        <v/>
      </c>
      <c r="GEL83" s="248" t="str">
        <f t="shared" si="81"/>
        <v/>
      </c>
      <c r="GEM83" s="248" t="str">
        <f t="shared" si="81"/>
        <v/>
      </c>
      <c r="GEN83" s="248" t="str">
        <f t="shared" si="81"/>
        <v/>
      </c>
      <c r="GEO83" s="248" t="str">
        <f t="shared" si="81"/>
        <v/>
      </c>
      <c r="GEP83" s="248" t="str">
        <f t="shared" si="81"/>
        <v/>
      </c>
      <c r="GEQ83" s="248" t="str">
        <f t="shared" si="81"/>
        <v/>
      </c>
      <c r="GER83" s="248" t="str">
        <f t="shared" si="81"/>
        <v/>
      </c>
      <c r="GES83" s="248" t="str">
        <f t="shared" si="81"/>
        <v/>
      </c>
      <c r="GET83" s="248" t="str">
        <f t="shared" si="81"/>
        <v/>
      </c>
      <c r="GEU83" s="248" t="str">
        <f t="shared" si="81"/>
        <v/>
      </c>
      <c r="GEV83" s="248" t="str">
        <f t="shared" si="81"/>
        <v/>
      </c>
      <c r="GEW83" s="248" t="str">
        <f t="shared" si="81"/>
        <v/>
      </c>
      <c r="GEX83" s="248" t="str">
        <f t="shared" si="81"/>
        <v/>
      </c>
      <c r="GEY83" s="248" t="str">
        <f t="shared" si="81"/>
        <v/>
      </c>
      <c r="GEZ83" s="248" t="str">
        <f t="shared" si="81"/>
        <v/>
      </c>
      <c r="GFA83" s="248" t="str">
        <f t="shared" si="81"/>
        <v/>
      </c>
      <c r="GFB83" s="248" t="str">
        <f t="shared" si="81"/>
        <v/>
      </c>
      <c r="GFC83" s="248" t="str">
        <f t="shared" si="81"/>
        <v/>
      </c>
      <c r="GFD83" s="248" t="str">
        <f t="shared" si="81"/>
        <v/>
      </c>
      <c r="GFE83" s="248" t="str">
        <f t="shared" si="81"/>
        <v/>
      </c>
      <c r="GFF83" s="248" t="str">
        <f t="shared" si="81"/>
        <v/>
      </c>
      <c r="GFG83" s="248" t="str">
        <f t="shared" ref="GFG83:GHR83" si="82">UPPER(GFE83)</f>
        <v/>
      </c>
      <c r="GFH83" s="248" t="str">
        <f t="shared" si="82"/>
        <v/>
      </c>
      <c r="GFI83" s="248" t="str">
        <f t="shared" si="82"/>
        <v/>
      </c>
      <c r="GFJ83" s="248" t="str">
        <f t="shared" si="82"/>
        <v/>
      </c>
      <c r="GFK83" s="248" t="str">
        <f t="shared" si="82"/>
        <v/>
      </c>
      <c r="GFL83" s="248" t="str">
        <f t="shared" si="82"/>
        <v/>
      </c>
      <c r="GFM83" s="248" t="str">
        <f t="shared" si="82"/>
        <v/>
      </c>
      <c r="GFN83" s="248" t="str">
        <f t="shared" si="82"/>
        <v/>
      </c>
      <c r="GFO83" s="248" t="str">
        <f t="shared" si="82"/>
        <v/>
      </c>
      <c r="GFP83" s="248" t="str">
        <f t="shared" si="82"/>
        <v/>
      </c>
      <c r="GFQ83" s="248" t="str">
        <f t="shared" si="82"/>
        <v/>
      </c>
      <c r="GFR83" s="248" t="str">
        <f t="shared" si="82"/>
        <v/>
      </c>
      <c r="GFS83" s="248" t="str">
        <f t="shared" si="82"/>
        <v/>
      </c>
      <c r="GFT83" s="248" t="str">
        <f t="shared" si="82"/>
        <v/>
      </c>
      <c r="GFU83" s="248" t="str">
        <f t="shared" si="82"/>
        <v/>
      </c>
      <c r="GFV83" s="248" t="str">
        <f t="shared" si="82"/>
        <v/>
      </c>
      <c r="GFW83" s="248" t="str">
        <f t="shared" si="82"/>
        <v/>
      </c>
      <c r="GFX83" s="248" t="str">
        <f t="shared" si="82"/>
        <v/>
      </c>
      <c r="GFY83" s="248" t="str">
        <f t="shared" si="82"/>
        <v/>
      </c>
      <c r="GFZ83" s="248" t="str">
        <f t="shared" si="82"/>
        <v/>
      </c>
      <c r="GGA83" s="248" t="str">
        <f t="shared" si="82"/>
        <v/>
      </c>
      <c r="GGB83" s="248" t="str">
        <f t="shared" si="82"/>
        <v/>
      </c>
      <c r="GGC83" s="248" t="str">
        <f t="shared" si="82"/>
        <v/>
      </c>
      <c r="GGD83" s="248" t="str">
        <f t="shared" si="82"/>
        <v/>
      </c>
      <c r="GGE83" s="248" t="str">
        <f t="shared" si="82"/>
        <v/>
      </c>
      <c r="GGF83" s="248" t="str">
        <f t="shared" si="82"/>
        <v/>
      </c>
      <c r="GGG83" s="248" t="str">
        <f t="shared" si="82"/>
        <v/>
      </c>
      <c r="GGH83" s="248" t="str">
        <f t="shared" si="82"/>
        <v/>
      </c>
      <c r="GGI83" s="248" t="str">
        <f t="shared" si="82"/>
        <v/>
      </c>
      <c r="GGJ83" s="248" t="str">
        <f t="shared" si="82"/>
        <v/>
      </c>
      <c r="GGK83" s="248" t="str">
        <f t="shared" si="82"/>
        <v/>
      </c>
      <c r="GGL83" s="248" t="str">
        <f t="shared" si="82"/>
        <v/>
      </c>
      <c r="GGM83" s="248" t="str">
        <f t="shared" si="82"/>
        <v/>
      </c>
      <c r="GGN83" s="248" t="str">
        <f t="shared" si="82"/>
        <v/>
      </c>
      <c r="GGO83" s="248" t="str">
        <f t="shared" si="82"/>
        <v/>
      </c>
      <c r="GGP83" s="248" t="str">
        <f t="shared" si="82"/>
        <v/>
      </c>
      <c r="GGQ83" s="248" t="str">
        <f t="shared" si="82"/>
        <v/>
      </c>
      <c r="GGR83" s="248" t="str">
        <f t="shared" si="82"/>
        <v/>
      </c>
      <c r="GGS83" s="248" t="str">
        <f t="shared" si="82"/>
        <v/>
      </c>
      <c r="GGT83" s="248" t="str">
        <f t="shared" si="82"/>
        <v/>
      </c>
      <c r="GGU83" s="248" t="str">
        <f t="shared" si="82"/>
        <v/>
      </c>
      <c r="GGV83" s="248" t="str">
        <f t="shared" si="82"/>
        <v/>
      </c>
      <c r="GGW83" s="248" t="str">
        <f t="shared" si="82"/>
        <v/>
      </c>
      <c r="GGX83" s="248" t="str">
        <f t="shared" si="82"/>
        <v/>
      </c>
      <c r="GGY83" s="248" t="str">
        <f t="shared" si="82"/>
        <v/>
      </c>
      <c r="GGZ83" s="248" t="str">
        <f t="shared" si="82"/>
        <v/>
      </c>
      <c r="GHA83" s="248" t="str">
        <f t="shared" si="82"/>
        <v/>
      </c>
      <c r="GHB83" s="248" t="str">
        <f t="shared" si="82"/>
        <v/>
      </c>
      <c r="GHC83" s="248" t="str">
        <f t="shared" si="82"/>
        <v/>
      </c>
      <c r="GHD83" s="248" t="str">
        <f t="shared" si="82"/>
        <v/>
      </c>
      <c r="GHE83" s="248" t="str">
        <f t="shared" si="82"/>
        <v/>
      </c>
      <c r="GHF83" s="248" t="str">
        <f t="shared" si="82"/>
        <v/>
      </c>
      <c r="GHG83" s="248" t="str">
        <f t="shared" si="82"/>
        <v/>
      </c>
      <c r="GHH83" s="248" t="str">
        <f t="shared" si="82"/>
        <v/>
      </c>
      <c r="GHI83" s="248" t="str">
        <f t="shared" si="82"/>
        <v/>
      </c>
      <c r="GHJ83" s="248" t="str">
        <f t="shared" si="82"/>
        <v/>
      </c>
      <c r="GHK83" s="248" t="str">
        <f t="shared" si="82"/>
        <v/>
      </c>
      <c r="GHL83" s="248" t="str">
        <f t="shared" si="82"/>
        <v/>
      </c>
      <c r="GHM83" s="248" t="str">
        <f t="shared" si="82"/>
        <v/>
      </c>
      <c r="GHN83" s="248" t="str">
        <f t="shared" si="82"/>
        <v/>
      </c>
      <c r="GHO83" s="248" t="str">
        <f t="shared" si="82"/>
        <v/>
      </c>
      <c r="GHP83" s="248" t="str">
        <f t="shared" si="82"/>
        <v/>
      </c>
      <c r="GHQ83" s="248" t="str">
        <f t="shared" si="82"/>
        <v/>
      </c>
      <c r="GHR83" s="248" t="str">
        <f t="shared" si="82"/>
        <v/>
      </c>
      <c r="GHS83" s="248" t="str">
        <f t="shared" ref="GHS83:GKD83" si="83">UPPER(GHQ83)</f>
        <v/>
      </c>
      <c r="GHT83" s="248" t="str">
        <f t="shared" si="83"/>
        <v/>
      </c>
      <c r="GHU83" s="248" t="str">
        <f t="shared" si="83"/>
        <v/>
      </c>
      <c r="GHV83" s="248" t="str">
        <f t="shared" si="83"/>
        <v/>
      </c>
      <c r="GHW83" s="248" t="str">
        <f t="shared" si="83"/>
        <v/>
      </c>
      <c r="GHX83" s="248" t="str">
        <f t="shared" si="83"/>
        <v/>
      </c>
      <c r="GHY83" s="248" t="str">
        <f t="shared" si="83"/>
        <v/>
      </c>
      <c r="GHZ83" s="248" t="str">
        <f t="shared" si="83"/>
        <v/>
      </c>
      <c r="GIA83" s="248" t="str">
        <f t="shared" si="83"/>
        <v/>
      </c>
      <c r="GIB83" s="248" t="str">
        <f t="shared" si="83"/>
        <v/>
      </c>
      <c r="GIC83" s="248" t="str">
        <f t="shared" si="83"/>
        <v/>
      </c>
      <c r="GID83" s="248" t="str">
        <f t="shared" si="83"/>
        <v/>
      </c>
      <c r="GIE83" s="248" t="str">
        <f t="shared" si="83"/>
        <v/>
      </c>
      <c r="GIF83" s="248" t="str">
        <f t="shared" si="83"/>
        <v/>
      </c>
      <c r="GIG83" s="248" t="str">
        <f t="shared" si="83"/>
        <v/>
      </c>
      <c r="GIH83" s="248" t="str">
        <f t="shared" si="83"/>
        <v/>
      </c>
      <c r="GII83" s="248" t="str">
        <f t="shared" si="83"/>
        <v/>
      </c>
      <c r="GIJ83" s="248" t="str">
        <f t="shared" si="83"/>
        <v/>
      </c>
      <c r="GIK83" s="248" t="str">
        <f t="shared" si="83"/>
        <v/>
      </c>
      <c r="GIL83" s="248" t="str">
        <f t="shared" si="83"/>
        <v/>
      </c>
      <c r="GIM83" s="248" t="str">
        <f t="shared" si="83"/>
        <v/>
      </c>
      <c r="GIN83" s="248" t="str">
        <f t="shared" si="83"/>
        <v/>
      </c>
      <c r="GIO83" s="248" t="str">
        <f t="shared" si="83"/>
        <v/>
      </c>
      <c r="GIP83" s="248" t="str">
        <f t="shared" si="83"/>
        <v/>
      </c>
      <c r="GIQ83" s="248" t="str">
        <f t="shared" si="83"/>
        <v/>
      </c>
      <c r="GIR83" s="248" t="str">
        <f t="shared" si="83"/>
        <v/>
      </c>
      <c r="GIS83" s="248" t="str">
        <f t="shared" si="83"/>
        <v/>
      </c>
      <c r="GIT83" s="248" t="str">
        <f t="shared" si="83"/>
        <v/>
      </c>
      <c r="GIU83" s="248" t="str">
        <f t="shared" si="83"/>
        <v/>
      </c>
      <c r="GIV83" s="248" t="str">
        <f t="shared" si="83"/>
        <v/>
      </c>
      <c r="GIW83" s="248" t="str">
        <f t="shared" si="83"/>
        <v/>
      </c>
      <c r="GIX83" s="248" t="str">
        <f t="shared" si="83"/>
        <v/>
      </c>
      <c r="GIY83" s="248" t="str">
        <f t="shared" si="83"/>
        <v/>
      </c>
      <c r="GIZ83" s="248" t="str">
        <f t="shared" si="83"/>
        <v/>
      </c>
      <c r="GJA83" s="248" t="str">
        <f t="shared" si="83"/>
        <v/>
      </c>
      <c r="GJB83" s="248" t="str">
        <f t="shared" si="83"/>
        <v/>
      </c>
      <c r="GJC83" s="248" t="str">
        <f t="shared" si="83"/>
        <v/>
      </c>
      <c r="GJD83" s="248" t="str">
        <f t="shared" si="83"/>
        <v/>
      </c>
      <c r="GJE83" s="248" t="str">
        <f t="shared" si="83"/>
        <v/>
      </c>
      <c r="GJF83" s="248" t="str">
        <f t="shared" si="83"/>
        <v/>
      </c>
      <c r="GJG83" s="248" t="str">
        <f t="shared" si="83"/>
        <v/>
      </c>
      <c r="GJH83" s="248" t="str">
        <f t="shared" si="83"/>
        <v/>
      </c>
      <c r="GJI83" s="248" t="str">
        <f t="shared" si="83"/>
        <v/>
      </c>
      <c r="GJJ83" s="248" t="str">
        <f t="shared" si="83"/>
        <v/>
      </c>
      <c r="GJK83" s="248" t="str">
        <f t="shared" si="83"/>
        <v/>
      </c>
      <c r="GJL83" s="248" t="str">
        <f t="shared" si="83"/>
        <v/>
      </c>
      <c r="GJM83" s="248" t="str">
        <f t="shared" si="83"/>
        <v/>
      </c>
      <c r="GJN83" s="248" t="str">
        <f t="shared" si="83"/>
        <v/>
      </c>
      <c r="GJO83" s="248" t="str">
        <f t="shared" si="83"/>
        <v/>
      </c>
      <c r="GJP83" s="248" t="str">
        <f t="shared" si="83"/>
        <v/>
      </c>
      <c r="GJQ83" s="248" t="str">
        <f t="shared" si="83"/>
        <v/>
      </c>
      <c r="GJR83" s="248" t="str">
        <f t="shared" si="83"/>
        <v/>
      </c>
      <c r="GJS83" s="248" t="str">
        <f t="shared" si="83"/>
        <v/>
      </c>
      <c r="GJT83" s="248" t="str">
        <f t="shared" si="83"/>
        <v/>
      </c>
      <c r="GJU83" s="248" t="str">
        <f t="shared" si="83"/>
        <v/>
      </c>
      <c r="GJV83" s="248" t="str">
        <f t="shared" si="83"/>
        <v/>
      </c>
      <c r="GJW83" s="248" t="str">
        <f t="shared" si="83"/>
        <v/>
      </c>
      <c r="GJX83" s="248" t="str">
        <f t="shared" si="83"/>
        <v/>
      </c>
      <c r="GJY83" s="248" t="str">
        <f t="shared" si="83"/>
        <v/>
      </c>
      <c r="GJZ83" s="248" t="str">
        <f t="shared" si="83"/>
        <v/>
      </c>
      <c r="GKA83" s="248" t="str">
        <f t="shared" si="83"/>
        <v/>
      </c>
      <c r="GKB83" s="248" t="str">
        <f t="shared" si="83"/>
        <v/>
      </c>
      <c r="GKC83" s="248" t="str">
        <f t="shared" si="83"/>
        <v/>
      </c>
      <c r="GKD83" s="248" t="str">
        <f t="shared" si="83"/>
        <v/>
      </c>
      <c r="GKE83" s="248" t="str">
        <f t="shared" ref="GKE83:GMP83" si="84">UPPER(GKC83)</f>
        <v/>
      </c>
      <c r="GKF83" s="248" t="str">
        <f t="shared" si="84"/>
        <v/>
      </c>
      <c r="GKG83" s="248" t="str">
        <f t="shared" si="84"/>
        <v/>
      </c>
      <c r="GKH83" s="248" t="str">
        <f t="shared" si="84"/>
        <v/>
      </c>
      <c r="GKI83" s="248" t="str">
        <f t="shared" si="84"/>
        <v/>
      </c>
      <c r="GKJ83" s="248" t="str">
        <f t="shared" si="84"/>
        <v/>
      </c>
      <c r="GKK83" s="248" t="str">
        <f t="shared" si="84"/>
        <v/>
      </c>
      <c r="GKL83" s="248" t="str">
        <f t="shared" si="84"/>
        <v/>
      </c>
      <c r="GKM83" s="248" t="str">
        <f t="shared" si="84"/>
        <v/>
      </c>
      <c r="GKN83" s="248" t="str">
        <f t="shared" si="84"/>
        <v/>
      </c>
      <c r="GKO83" s="248" t="str">
        <f t="shared" si="84"/>
        <v/>
      </c>
      <c r="GKP83" s="248" t="str">
        <f t="shared" si="84"/>
        <v/>
      </c>
      <c r="GKQ83" s="248" t="str">
        <f t="shared" si="84"/>
        <v/>
      </c>
      <c r="GKR83" s="248" t="str">
        <f t="shared" si="84"/>
        <v/>
      </c>
      <c r="GKS83" s="248" t="str">
        <f t="shared" si="84"/>
        <v/>
      </c>
      <c r="GKT83" s="248" t="str">
        <f t="shared" si="84"/>
        <v/>
      </c>
      <c r="GKU83" s="248" t="str">
        <f t="shared" si="84"/>
        <v/>
      </c>
      <c r="GKV83" s="248" t="str">
        <f t="shared" si="84"/>
        <v/>
      </c>
      <c r="GKW83" s="248" t="str">
        <f t="shared" si="84"/>
        <v/>
      </c>
      <c r="GKX83" s="248" t="str">
        <f t="shared" si="84"/>
        <v/>
      </c>
      <c r="GKY83" s="248" t="str">
        <f t="shared" si="84"/>
        <v/>
      </c>
      <c r="GKZ83" s="248" t="str">
        <f t="shared" si="84"/>
        <v/>
      </c>
      <c r="GLA83" s="248" t="str">
        <f t="shared" si="84"/>
        <v/>
      </c>
      <c r="GLB83" s="248" t="str">
        <f t="shared" si="84"/>
        <v/>
      </c>
      <c r="GLC83" s="248" t="str">
        <f t="shared" si="84"/>
        <v/>
      </c>
      <c r="GLD83" s="248" t="str">
        <f t="shared" si="84"/>
        <v/>
      </c>
      <c r="GLE83" s="248" t="str">
        <f t="shared" si="84"/>
        <v/>
      </c>
      <c r="GLF83" s="248" t="str">
        <f t="shared" si="84"/>
        <v/>
      </c>
      <c r="GLG83" s="248" t="str">
        <f t="shared" si="84"/>
        <v/>
      </c>
      <c r="GLH83" s="248" t="str">
        <f t="shared" si="84"/>
        <v/>
      </c>
      <c r="GLI83" s="248" t="str">
        <f t="shared" si="84"/>
        <v/>
      </c>
      <c r="GLJ83" s="248" t="str">
        <f t="shared" si="84"/>
        <v/>
      </c>
      <c r="GLK83" s="248" t="str">
        <f t="shared" si="84"/>
        <v/>
      </c>
      <c r="GLL83" s="248" t="str">
        <f t="shared" si="84"/>
        <v/>
      </c>
      <c r="GLM83" s="248" t="str">
        <f t="shared" si="84"/>
        <v/>
      </c>
      <c r="GLN83" s="248" t="str">
        <f t="shared" si="84"/>
        <v/>
      </c>
      <c r="GLO83" s="248" t="str">
        <f t="shared" si="84"/>
        <v/>
      </c>
      <c r="GLP83" s="248" t="str">
        <f t="shared" si="84"/>
        <v/>
      </c>
      <c r="GLQ83" s="248" t="str">
        <f t="shared" si="84"/>
        <v/>
      </c>
      <c r="GLR83" s="248" t="str">
        <f t="shared" si="84"/>
        <v/>
      </c>
      <c r="GLS83" s="248" t="str">
        <f t="shared" si="84"/>
        <v/>
      </c>
      <c r="GLT83" s="248" t="str">
        <f t="shared" si="84"/>
        <v/>
      </c>
      <c r="GLU83" s="248" t="str">
        <f t="shared" si="84"/>
        <v/>
      </c>
      <c r="GLV83" s="248" t="str">
        <f t="shared" si="84"/>
        <v/>
      </c>
      <c r="GLW83" s="248" t="str">
        <f t="shared" si="84"/>
        <v/>
      </c>
      <c r="GLX83" s="248" t="str">
        <f t="shared" si="84"/>
        <v/>
      </c>
      <c r="GLY83" s="248" t="str">
        <f t="shared" si="84"/>
        <v/>
      </c>
      <c r="GLZ83" s="248" t="str">
        <f t="shared" si="84"/>
        <v/>
      </c>
      <c r="GMA83" s="248" t="str">
        <f t="shared" si="84"/>
        <v/>
      </c>
      <c r="GMB83" s="248" t="str">
        <f t="shared" si="84"/>
        <v/>
      </c>
      <c r="GMC83" s="248" t="str">
        <f t="shared" si="84"/>
        <v/>
      </c>
      <c r="GMD83" s="248" t="str">
        <f t="shared" si="84"/>
        <v/>
      </c>
      <c r="GME83" s="248" t="str">
        <f t="shared" si="84"/>
        <v/>
      </c>
      <c r="GMF83" s="248" t="str">
        <f t="shared" si="84"/>
        <v/>
      </c>
      <c r="GMG83" s="248" t="str">
        <f t="shared" si="84"/>
        <v/>
      </c>
      <c r="GMH83" s="248" t="str">
        <f t="shared" si="84"/>
        <v/>
      </c>
      <c r="GMI83" s="248" t="str">
        <f t="shared" si="84"/>
        <v/>
      </c>
      <c r="GMJ83" s="248" t="str">
        <f t="shared" si="84"/>
        <v/>
      </c>
      <c r="GMK83" s="248" t="str">
        <f t="shared" si="84"/>
        <v/>
      </c>
      <c r="GML83" s="248" t="str">
        <f t="shared" si="84"/>
        <v/>
      </c>
      <c r="GMM83" s="248" t="str">
        <f t="shared" si="84"/>
        <v/>
      </c>
      <c r="GMN83" s="248" t="str">
        <f t="shared" si="84"/>
        <v/>
      </c>
      <c r="GMO83" s="248" t="str">
        <f t="shared" si="84"/>
        <v/>
      </c>
      <c r="GMP83" s="248" t="str">
        <f t="shared" si="84"/>
        <v/>
      </c>
      <c r="GMQ83" s="248" t="str">
        <f t="shared" ref="GMQ83:GPB83" si="85">UPPER(GMO83)</f>
        <v/>
      </c>
      <c r="GMR83" s="248" t="str">
        <f t="shared" si="85"/>
        <v/>
      </c>
      <c r="GMS83" s="248" t="str">
        <f t="shared" si="85"/>
        <v/>
      </c>
      <c r="GMT83" s="248" t="str">
        <f t="shared" si="85"/>
        <v/>
      </c>
      <c r="GMU83" s="248" t="str">
        <f t="shared" si="85"/>
        <v/>
      </c>
      <c r="GMV83" s="248" t="str">
        <f t="shared" si="85"/>
        <v/>
      </c>
      <c r="GMW83" s="248" t="str">
        <f t="shared" si="85"/>
        <v/>
      </c>
      <c r="GMX83" s="248" t="str">
        <f t="shared" si="85"/>
        <v/>
      </c>
      <c r="GMY83" s="248" t="str">
        <f t="shared" si="85"/>
        <v/>
      </c>
      <c r="GMZ83" s="248" t="str">
        <f t="shared" si="85"/>
        <v/>
      </c>
      <c r="GNA83" s="248" t="str">
        <f t="shared" si="85"/>
        <v/>
      </c>
      <c r="GNB83" s="248" t="str">
        <f t="shared" si="85"/>
        <v/>
      </c>
      <c r="GNC83" s="248" t="str">
        <f t="shared" si="85"/>
        <v/>
      </c>
      <c r="GND83" s="248" t="str">
        <f t="shared" si="85"/>
        <v/>
      </c>
      <c r="GNE83" s="248" t="str">
        <f t="shared" si="85"/>
        <v/>
      </c>
      <c r="GNF83" s="248" t="str">
        <f t="shared" si="85"/>
        <v/>
      </c>
      <c r="GNG83" s="248" t="str">
        <f t="shared" si="85"/>
        <v/>
      </c>
      <c r="GNH83" s="248" t="str">
        <f t="shared" si="85"/>
        <v/>
      </c>
      <c r="GNI83" s="248" t="str">
        <f t="shared" si="85"/>
        <v/>
      </c>
      <c r="GNJ83" s="248" t="str">
        <f t="shared" si="85"/>
        <v/>
      </c>
      <c r="GNK83" s="248" t="str">
        <f t="shared" si="85"/>
        <v/>
      </c>
      <c r="GNL83" s="248" t="str">
        <f t="shared" si="85"/>
        <v/>
      </c>
      <c r="GNM83" s="248" t="str">
        <f t="shared" si="85"/>
        <v/>
      </c>
      <c r="GNN83" s="248" t="str">
        <f t="shared" si="85"/>
        <v/>
      </c>
      <c r="GNO83" s="248" t="str">
        <f t="shared" si="85"/>
        <v/>
      </c>
      <c r="GNP83" s="248" t="str">
        <f t="shared" si="85"/>
        <v/>
      </c>
      <c r="GNQ83" s="248" t="str">
        <f t="shared" si="85"/>
        <v/>
      </c>
      <c r="GNR83" s="248" t="str">
        <f t="shared" si="85"/>
        <v/>
      </c>
      <c r="GNS83" s="248" t="str">
        <f t="shared" si="85"/>
        <v/>
      </c>
      <c r="GNT83" s="248" t="str">
        <f t="shared" si="85"/>
        <v/>
      </c>
      <c r="GNU83" s="248" t="str">
        <f t="shared" si="85"/>
        <v/>
      </c>
      <c r="GNV83" s="248" t="str">
        <f t="shared" si="85"/>
        <v/>
      </c>
      <c r="GNW83" s="248" t="str">
        <f t="shared" si="85"/>
        <v/>
      </c>
      <c r="GNX83" s="248" t="str">
        <f t="shared" si="85"/>
        <v/>
      </c>
      <c r="GNY83" s="248" t="str">
        <f t="shared" si="85"/>
        <v/>
      </c>
      <c r="GNZ83" s="248" t="str">
        <f t="shared" si="85"/>
        <v/>
      </c>
      <c r="GOA83" s="248" t="str">
        <f t="shared" si="85"/>
        <v/>
      </c>
      <c r="GOB83" s="248" t="str">
        <f t="shared" si="85"/>
        <v/>
      </c>
      <c r="GOC83" s="248" t="str">
        <f t="shared" si="85"/>
        <v/>
      </c>
      <c r="GOD83" s="248" t="str">
        <f t="shared" si="85"/>
        <v/>
      </c>
      <c r="GOE83" s="248" t="str">
        <f t="shared" si="85"/>
        <v/>
      </c>
      <c r="GOF83" s="248" t="str">
        <f t="shared" si="85"/>
        <v/>
      </c>
      <c r="GOG83" s="248" t="str">
        <f t="shared" si="85"/>
        <v/>
      </c>
      <c r="GOH83" s="248" t="str">
        <f t="shared" si="85"/>
        <v/>
      </c>
      <c r="GOI83" s="248" t="str">
        <f t="shared" si="85"/>
        <v/>
      </c>
      <c r="GOJ83" s="248" t="str">
        <f t="shared" si="85"/>
        <v/>
      </c>
      <c r="GOK83" s="248" t="str">
        <f t="shared" si="85"/>
        <v/>
      </c>
      <c r="GOL83" s="248" t="str">
        <f t="shared" si="85"/>
        <v/>
      </c>
      <c r="GOM83" s="248" t="str">
        <f t="shared" si="85"/>
        <v/>
      </c>
      <c r="GON83" s="248" t="str">
        <f t="shared" si="85"/>
        <v/>
      </c>
      <c r="GOO83" s="248" t="str">
        <f t="shared" si="85"/>
        <v/>
      </c>
      <c r="GOP83" s="248" t="str">
        <f t="shared" si="85"/>
        <v/>
      </c>
      <c r="GOQ83" s="248" t="str">
        <f t="shared" si="85"/>
        <v/>
      </c>
      <c r="GOR83" s="248" t="str">
        <f t="shared" si="85"/>
        <v/>
      </c>
      <c r="GOS83" s="248" t="str">
        <f t="shared" si="85"/>
        <v/>
      </c>
      <c r="GOT83" s="248" t="str">
        <f t="shared" si="85"/>
        <v/>
      </c>
      <c r="GOU83" s="248" t="str">
        <f t="shared" si="85"/>
        <v/>
      </c>
      <c r="GOV83" s="248" t="str">
        <f t="shared" si="85"/>
        <v/>
      </c>
      <c r="GOW83" s="248" t="str">
        <f t="shared" si="85"/>
        <v/>
      </c>
      <c r="GOX83" s="248" t="str">
        <f t="shared" si="85"/>
        <v/>
      </c>
      <c r="GOY83" s="248" t="str">
        <f t="shared" si="85"/>
        <v/>
      </c>
      <c r="GOZ83" s="248" t="str">
        <f t="shared" si="85"/>
        <v/>
      </c>
      <c r="GPA83" s="248" t="str">
        <f t="shared" si="85"/>
        <v/>
      </c>
      <c r="GPB83" s="248" t="str">
        <f t="shared" si="85"/>
        <v/>
      </c>
      <c r="GPC83" s="248" t="str">
        <f t="shared" ref="GPC83:GRN83" si="86">UPPER(GPA83)</f>
        <v/>
      </c>
      <c r="GPD83" s="248" t="str">
        <f t="shared" si="86"/>
        <v/>
      </c>
      <c r="GPE83" s="248" t="str">
        <f t="shared" si="86"/>
        <v/>
      </c>
      <c r="GPF83" s="248" t="str">
        <f t="shared" si="86"/>
        <v/>
      </c>
      <c r="GPG83" s="248" t="str">
        <f t="shared" si="86"/>
        <v/>
      </c>
      <c r="GPH83" s="248" t="str">
        <f t="shared" si="86"/>
        <v/>
      </c>
      <c r="GPI83" s="248" t="str">
        <f t="shared" si="86"/>
        <v/>
      </c>
      <c r="GPJ83" s="248" t="str">
        <f t="shared" si="86"/>
        <v/>
      </c>
      <c r="GPK83" s="248" t="str">
        <f t="shared" si="86"/>
        <v/>
      </c>
      <c r="GPL83" s="248" t="str">
        <f t="shared" si="86"/>
        <v/>
      </c>
      <c r="GPM83" s="248" t="str">
        <f t="shared" si="86"/>
        <v/>
      </c>
      <c r="GPN83" s="248" t="str">
        <f t="shared" si="86"/>
        <v/>
      </c>
      <c r="GPO83" s="248" t="str">
        <f t="shared" si="86"/>
        <v/>
      </c>
      <c r="GPP83" s="248" t="str">
        <f t="shared" si="86"/>
        <v/>
      </c>
      <c r="GPQ83" s="248" t="str">
        <f t="shared" si="86"/>
        <v/>
      </c>
      <c r="GPR83" s="248" t="str">
        <f t="shared" si="86"/>
        <v/>
      </c>
      <c r="GPS83" s="248" t="str">
        <f t="shared" si="86"/>
        <v/>
      </c>
      <c r="GPT83" s="248" t="str">
        <f t="shared" si="86"/>
        <v/>
      </c>
      <c r="GPU83" s="248" t="str">
        <f t="shared" si="86"/>
        <v/>
      </c>
      <c r="GPV83" s="248" t="str">
        <f t="shared" si="86"/>
        <v/>
      </c>
      <c r="GPW83" s="248" t="str">
        <f t="shared" si="86"/>
        <v/>
      </c>
      <c r="GPX83" s="248" t="str">
        <f t="shared" si="86"/>
        <v/>
      </c>
      <c r="GPY83" s="248" t="str">
        <f t="shared" si="86"/>
        <v/>
      </c>
      <c r="GPZ83" s="248" t="str">
        <f t="shared" si="86"/>
        <v/>
      </c>
      <c r="GQA83" s="248" t="str">
        <f t="shared" si="86"/>
        <v/>
      </c>
      <c r="GQB83" s="248" t="str">
        <f t="shared" si="86"/>
        <v/>
      </c>
      <c r="GQC83" s="248" t="str">
        <f t="shared" si="86"/>
        <v/>
      </c>
      <c r="GQD83" s="248" t="str">
        <f t="shared" si="86"/>
        <v/>
      </c>
      <c r="GQE83" s="248" t="str">
        <f t="shared" si="86"/>
        <v/>
      </c>
      <c r="GQF83" s="248" t="str">
        <f t="shared" si="86"/>
        <v/>
      </c>
      <c r="GQG83" s="248" t="str">
        <f t="shared" si="86"/>
        <v/>
      </c>
      <c r="GQH83" s="248" t="str">
        <f t="shared" si="86"/>
        <v/>
      </c>
      <c r="GQI83" s="248" t="str">
        <f t="shared" si="86"/>
        <v/>
      </c>
      <c r="GQJ83" s="248" t="str">
        <f t="shared" si="86"/>
        <v/>
      </c>
      <c r="GQK83" s="248" t="str">
        <f t="shared" si="86"/>
        <v/>
      </c>
      <c r="GQL83" s="248" t="str">
        <f t="shared" si="86"/>
        <v/>
      </c>
      <c r="GQM83" s="248" t="str">
        <f t="shared" si="86"/>
        <v/>
      </c>
      <c r="GQN83" s="248" t="str">
        <f t="shared" si="86"/>
        <v/>
      </c>
      <c r="GQO83" s="248" t="str">
        <f t="shared" si="86"/>
        <v/>
      </c>
      <c r="GQP83" s="248" t="str">
        <f t="shared" si="86"/>
        <v/>
      </c>
      <c r="GQQ83" s="248" t="str">
        <f t="shared" si="86"/>
        <v/>
      </c>
      <c r="GQR83" s="248" t="str">
        <f t="shared" si="86"/>
        <v/>
      </c>
      <c r="GQS83" s="248" t="str">
        <f t="shared" si="86"/>
        <v/>
      </c>
      <c r="GQT83" s="248" t="str">
        <f t="shared" si="86"/>
        <v/>
      </c>
      <c r="GQU83" s="248" t="str">
        <f t="shared" si="86"/>
        <v/>
      </c>
      <c r="GQV83" s="248" t="str">
        <f t="shared" si="86"/>
        <v/>
      </c>
      <c r="GQW83" s="248" t="str">
        <f t="shared" si="86"/>
        <v/>
      </c>
      <c r="GQX83" s="248" t="str">
        <f t="shared" si="86"/>
        <v/>
      </c>
      <c r="GQY83" s="248" t="str">
        <f t="shared" si="86"/>
        <v/>
      </c>
      <c r="GQZ83" s="248" t="str">
        <f t="shared" si="86"/>
        <v/>
      </c>
      <c r="GRA83" s="248" t="str">
        <f t="shared" si="86"/>
        <v/>
      </c>
      <c r="GRB83" s="248" t="str">
        <f t="shared" si="86"/>
        <v/>
      </c>
      <c r="GRC83" s="248" t="str">
        <f t="shared" si="86"/>
        <v/>
      </c>
      <c r="GRD83" s="248" t="str">
        <f t="shared" si="86"/>
        <v/>
      </c>
      <c r="GRE83" s="248" t="str">
        <f t="shared" si="86"/>
        <v/>
      </c>
      <c r="GRF83" s="248" t="str">
        <f t="shared" si="86"/>
        <v/>
      </c>
      <c r="GRG83" s="248" t="str">
        <f t="shared" si="86"/>
        <v/>
      </c>
      <c r="GRH83" s="248" t="str">
        <f t="shared" si="86"/>
        <v/>
      </c>
      <c r="GRI83" s="248" t="str">
        <f t="shared" si="86"/>
        <v/>
      </c>
      <c r="GRJ83" s="248" t="str">
        <f t="shared" si="86"/>
        <v/>
      </c>
      <c r="GRK83" s="248" t="str">
        <f t="shared" si="86"/>
        <v/>
      </c>
      <c r="GRL83" s="248" t="str">
        <f t="shared" si="86"/>
        <v/>
      </c>
      <c r="GRM83" s="248" t="str">
        <f t="shared" si="86"/>
        <v/>
      </c>
      <c r="GRN83" s="248" t="str">
        <f t="shared" si="86"/>
        <v/>
      </c>
      <c r="GRO83" s="248" t="str">
        <f t="shared" ref="GRO83:GTZ83" si="87">UPPER(GRM83)</f>
        <v/>
      </c>
      <c r="GRP83" s="248" t="str">
        <f t="shared" si="87"/>
        <v/>
      </c>
      <c r="GRQ83" s="248" t="str">
        <f t="shared" si="87"/>
        <v/>
      </c>
      <c r="GRR83" s="248" t="str">
        <f t="shared" si="87"/>
        <v/>
      </c>
      <c r="GRS83" s="248" t="str">
        <f t="shared" si="87"/>
        <v/>
      </c>
      <c r="GRT83" s="248" t="str">
        <f t="shared" si="87"/>
        <v/>
      </c>
      <c r="GRU83" s="248" t="str">
        <f t="shared" si="87"/>
        <v/>
      </c>
      <c r="GRV83" s="248" t="str">
        <f t="shared" si="87"/>
        <v/>
      </c>
      <c r="GRW83" s="248" t="str">
        <f t="shared" si="87"/>
        <v/>
      </c>
      <c r="GRX83" s="248" t="str">
        <f t="shared" si="87"/>
        <v/>
      </c>
      <c r="GRY83" s="248" t="str">
        <f t="shared" si="87"/>
        <v/>
      </c>
      <c r="GRZ83" s="248" t="str">
        <f t="shared" si="87"/>
        <v/>
      </c>
      <c r="GSA83" s="248" t="str">
        <f t="shared" si="87"/>
        <v/>
      </c>
      <c r="GSB83" s="248" t="str">
        <f t="shared" si="87"/>
        <v/>
      </c>
      <c r="GSC83" s="248" t="str">
        <f t="shared" si="87"/>
        <v/>
      </c>
      <c r="GSD83" s="248" t="str">
        <f t="shared" si="87"/>
        <v/>
      </c>
      <c r="GSE83" s="248" t="str">
        <f t="shared" si="87"/>
        <v/>
      </c>
      <c r="GSF83" s="248" t="str">
        <f t="shared" si="87"/>
        <v/>
      </c>
      <c r="GSG83" s="248" t="str">
        <f t="shared" si="87"/>
        <v/>
      </c>
      <c r="GSH83" s="248" t="str">
        <f t="shared" si="87"/>
        <v/>
      </c>
      <c r="GSI83" s="248" t="str">
        <f t="shared" si="87"/>
        <v/>
      </c>
      <c r="GSJ83" s="248" t="str">
        <f t="shared" si="87"/>
        <v/>
      </c>
      <c r="GSK83" s="248" t="str">
        <f t="shared" si="87"/>
        <v/>
      </c>
      <c r="GSL83" s="248" t="str">
        <f t="shared" si="87"/>
        <v/>
      </c>
      <c r="GSM83" s="248" t="str">
        <f t="shared" si="87"/>
        <v/>
      </c>
      <c r="GSN83" s="248" t="str">
        <f t="shared" si="87"/>
        <v/>
      </c>
      <c r="GSO83" s="248" t="str">
        <f t="shared" si="87"/>
        <v/>
      </c>
      <c r="GSP83" s="248" t="str">
        <f t="shared" si="87"/>
        <v/>
      </c>
      <c r="GSQ83" s="248" t="str">
        <f t="shared" si="87"/>
        <v/>
      </c>
      <c r="GSR83" s="248" t="str">
        <f t="shared" si="87"/>
        <v/>
      </c>
      <c r="GSS83" s="248" t="str">
        <f t="shared" si="87"/>
        <v/>
      </c>
      <c r="GST83" s="248" t="str">
        <f t="shared" si="87"/>
        <v/>
      </c>
      <c r="GSU83" s="248" t="str">
        <f t="shared" si="87"/>
        <v/>
      </c>
      <c r="GSV83" s="248" t="str">
        <f t="shared" si="87"/>
        <v/>
      </c>
      <c r="GSW83" s="248" t="str">
        <f t="shared" si="87"/>
        <v/>
      </c>
      <c r="GSX83" s="248" t="str">
        <f t="shared" si="87"/>
        <v/>
      </c>
      <c r="GSY83" s="248" t="str">
        <f t="shared" si="87"/>
        <v/>
      </c>
      <c r="GSZ83" s="248" t="str">
        <f t="shared" si="87"/>
        <v/>
      </c>
      <c r="GTA83" s="248" t="str">
        <f t="shared" si="87"/>
        <v/>
      </c>
      <c r="GTB83" s="248" t="str">
        <f t="shared" si="87"/>
        <v/>
      </c>
      <c r="GTC83" s="248" t="str">
        <f t="shared" si="87"/>
        <v/>
      </c>
      <c r="GTD83" s="248" t="str">
        <f t="shared" si="87"/>
        <v/>
      </c>
      <c r="GTE83" s="248" t="str">
        <f t="shared" si="87"/>
        <v/>
      </c>
      <c r="GTF83" s="248" t="str">
        <f t="shared" si="87"/>
        <v/>
      </c>
      <c r="GTG83" s="248" t="str">
        <f t="shared" si="87"/>
        <v/>
      </c>
      <c r="GTH83" s="248" t="str">
        <f t="shared" si="87"/>
        <v/>
      </c>
      <c r="GTI83" s="248" t="str">
        <f t="shared" si="87"/>
        <v/>
      </c>
      <c r="GTJ83" s="248" t="str">
        <f t="shared" si="87"/>
        <v/>
      </c>
      <c r="GTK83" s="248" t="str">
        <f t="shared" si="87"/>
        <v/>
      </c>
      <c r="GTL83" s="248" t="str">
        <f t="shared" si="87"/>
        <v/>
      </c>
      <c r="GTM83" s="248" t="str">
        <f t="shared" si="87"/>
        <v/>
      </c>
      <c r="GTN83" s="248" t="str">
        <f t="shared" si="87"/>
        <v/>
      </c>
      <c r="GTO83" s="248" t="str">
        <f t="shared" si="87"/>
        <v/>
      </c>
      <c r="GTP83" s="248" t="str">
        <f t="shared" si="87"/>
        <v/>
      </c>
      <c r="GTQ83" s="248" t="str">
        <f t="shared" si="87"/>
        <v/>
      </c>
      <c r="GTR83" s="248" t="str">
        <f t="shared" si="87"/>
        <v/>
      </c>
      <c r="GTS83" s="248" t="str">
        <f t="shared" si="87"/>
        <v/>
      </c>
      <c r="GTT83" s="248" t="str">
        <f t="shared" si="87"/>
        <v/>
      </c>
      <c r="GTU83" s="248" t="str">
        <f t="shared" si="87"/>
        <v/>
      </c>
      <c r="GTV83" s="248" t="str">
        <f t="shared" si="87"/>
        <v/>
      </c>
      <c r="GTW83" s="248" t="str">
        <f t="shared" si="87"/>
        <v/>
      </c>
      <c r="GTX83" s="248" t="str">
        <f t="shared" si="87"/>
        <v/>
      </c>
      <c r="GTY83" s="248" t="str">
        <f t="shared" si="87"/>
        <v/>
      </c>
      <c r="GTZ83" s="248" t="str">
        <f t="shared" si="87"/>
        <v/>
      </c>
      <c r="GUA83" s="248" t="str">
        <f t="shared" ref="GUA83:GWL83" si="88">UPPER(GTY83)</f>
        <v/>
      </c>
      <c r="GUB83" s="248" t="str">
        <f t="shared" si="88"/>
        <v/>
      </c>
      <c r="GUC83" s="248" t="str">
        <f t="shared" si="88"/>
        <v/>
      </c>
      <c r="GUD83" s="248" t="str">
        <f t="shared" si="88"/>
        <v/>
      </c>
      <c r="GUE83" s="248" t="str">
        <f t="shared" si="88"/>
        <v/>
      </c>
      <c r="GUF83" s="248" t="str">
        <f t="shared" si="88"/>
        <v/>
      </c>
      <c r="GUG83" s="248" t="str">
        <f t="shared" si="88"/>
        <v/>
      </c>
      <c r="GUH83" s="248" t="str">
        <f t="shared" si="88"/>
        <v/>
      </c>
      <c r="GUI83" s="248" t="str">
        <f t="shared" si="88"/>
        <v/>
      </c>
      <c r="GUJ83" s="248" t="str">
        <f t="shared" si="88"/>
        <v/>
      </c>
      <c r="GUK83" s="248" t="str">
        <f t="shared" si="88"/>
        <v/>
      </c>
      <c r="GUL83" s="248" t="str">
        <f t="shared" si="88"/>
        <v/>
      </c>
      <c r="GUM83" s="248" t="str">
        <f t="shared" si="88"/>
        <v/>
      </c>
      <c r="GUN83" s="248" t="str">
        <f t="shared" si="88"/>
        <v/>
      </c>
      <c r="GUO83" s="248" t="str">
        <f t="shared" si="88"/>
        <v/>
      </c>
      <c r="GUP83" s="248" t="str">
        <f t="shared" si="88"/>
        <v/>
      </c>
      <c r="GUQ83" s="248" t="str">
        <f t="shared" si="88"/>
        <v/>
      </c>
      <c r="GUR83" s="248" t="str">
        <f t="shared" si="88"/>
        <v/>
      </c>
      <c r="GUS83" s="248" t="str">
        <f t="shared" si="88"/>
        <v/>
      </c>
      <c r="GUT83" s="248" t="str">
        <f t="shared" si="88"/>
        <v/>
      </c>
      <c r="GUU83" s="248" t="str">
        <f t="shared" si="88"/>
        <v/>
      </c>
      <c r="GUV83" s="248" t="str">
        <f t="shared" si="88"/>
        <v/>
      </c>
      <c r="GUW83" s="248" t="str">
        <f t="shared" si="88"/>
        <v/>
      </c>
      <c r="GUX83" s="248" t="str">
        <f t="shared" si="88"/>
        <v/>
      </c>
      <c r="GUY83" s="248" t="str">
        <f t="shared" si="88"/>
        <v/>
      </c>
      <c r="GUZ83" s="248" t="str">
        <f t="shared" si="88"/>
        <v/>
      </c>
      <c r="GVA83" s="248" t="str">
        <f t="shared" si="88"/>
        <v/>
      </c>
      <c r="GVB83" s="248" t="str">
        <f t="shared" si="88"/>
        <v/>
      </c>
      <c r="GVC83" s="248" t="str">
        <f t="shared" si="88"/>
        <v/>
      </c>
      <c r="GVD83" s="248" t="str">
        <f t="shared" si="88"/>
        <v/>
      </c>
      <c r="GVE83" s="248" t="str">
        <f t="shared" si="88"/>
        <v/>
      </c>
      <c r="GVF83" s="248" t="str">
        <f t="shared" si="88"/>
        <v/>
      </c>
      <c r="GVG83" s="248" t="str">
        <f t="shared" si="88"/>
        <v/>
      </c>
      <c r="GVH83" s="248" t="str">
        <f t="shared" si="88"/>
        <v/>
      </c>
      <c r="GVI83" s="248" t="str">
        <f t="shared" si="88"/>
        <v/>
      </c>
      <c r="GVJ83" s="248" t="str">
        <f t="shared" si="88"/>
        <v/>
      </c>
      <c r="GVK83" s="248" t="str">
        <f t="shared" si="88"/>
        <v/>
      </c>
      <c r="GVL83" s="248" t="str">
        <f t="shared" si="88"/>
        <v/>
      </c>
      <c r="GVM83" s="248" t="str">
        <f t="shared" si="88"/>
        <v/>
      </c>
      <c r="GVN83" s="248" t="str">
        <f t="shared" si="88"/>
        <v/>
      </c>
      <c r="GVO83" s="248" t="str">
        <f t="shared" si="88"/>
        <v/>
      </c>
      <c r="GVP83" s="248" t="str">
        <f t="shared" si="88"/>
        <v/>
      </c>
      <c r="GVQ83" s="248" t="str">
        <f t="shared" si="88"/>
        <v/>
      </c>
      <c r="GVR83" s="248" t="str">
        <f t="shared" si="88"/>
        <v/>
      </c>
      <c r="GVS83" s="248" t="str">
        <f t="shared" si="88"/>
        <v/>
      </c>
      <c r="GVT83" s="248" t="str">
        <f t="shared" si="88"/>
        <v/>
      </c>
      <c r="GVU83" s="248" t="str">
        <f t="shared" si="88"/>
        <v/>
      </c>
      <c r="GVV83" s="248" t="str">
        <f t="shared" si="88"/>
        <v/>
      </c>
      <c r="GVW83" s="248" t="str">
        <f t="shared" si="88"/>
        <v/>
      </c>
      <c r="GVX83" s="248" t="str">
        <f t="shared" si="88"/>
        <v/>
      </c>
      <c r="GVY83" s="248" t="str">
        <f t="shared" si="88"/>
        <v/>
      </c>
      <c r="GVZ83" s="248" t="str">
        <f t="shared" si="88"/>
        <v/>
      </c>
      <c r="GWA83" s="248" t="str">
        <f t="shared" si="88"/>
        <v/>
      </c>
      <c r="GWB83" s="248" t="str">
        <f t="shared" si="88"/>
        <v/>
      </c>
      <c r="GWC83" s="248" t="str">
        <f t="shared" si="88"/>
        <v/>
      </c>
      <c r="GWD83" s="248" t="str">
        <f t="shared" si="88"/>
        <v/>
      </c>
      <c r="GWE83" s="248" t="str">
        <f t="shared" si="88"/>
        <v/>
      </c>
      <c r="GWF83" s="248" t="str">
        <f t="shared" si="88"/>
        <v/>
      </c>
      <c r="GWG83" s="248" t="str">
        <f t="shared" si="88"/>
        <v/>
      </c>
      <c r="GWH83" s="248" t="str">
        <f t="shared" si="88"/>
        <v/>
      </c>
      <c r="GWI83" s="248" t="str">
        <f t="shared" si="88"/>
        <v/>
      </c>
      <c r="GWJ83" s="248" t="str">
        <f t="shared" si="88"/>
        <v/>
      </c>
      <c r="GWK83" s="248" t="str">
        <f t="shared" si="88"/>
        <v/>
      </c>
      <c r="GWL83" s="248" t="str">
        <f t="shared" si="88"/>
        <v/>
      </c>
      <c r="GWM83" s="248" t="str">
        <f t="shared" ref="GWM83:GYX83" si="89">UPPER(GWK83)</f>
        <v/>
      </c>
      <c r="GWN83" s="248" t="str">
        <f t="shared" si="89"/>
        <v/>
      </c>
      <c r="GWO83" s="248" t="str">
        <f t="shared" si="89"/>
        <v/>
      </c>
      <c r="GWP83" s="248" t="str">
        <f t="shared" si="89"/>
        <v/>
      </c>
      <c r="GWQ83" s="248" t="str">
        <f t="shared" si="89"/>
        <v/>
      </c>
      <c r="GWR83" s="248" t="str">
        <f t="shared" si="89"/>
        <v/>
      </c>
      <c r="GWS83" s="248" t="str">
        <f t="shared" si="89"/>
        <v/>
      </c>
      <c r="GWT83" s="248" t="str">
        <f t="shared" si="89"/>
        <v/>
      </c>
      <c r="GWU83" s="248" t="str">
        <f t="shared" si="89"/>
        <v/>
      </c>
      <c r="GWV83" s="248" t="str">
        <f t="shared" si="89"/>
        <v/>
      </c>
      <c r="GWW83" s="248" t="str">
        <f t="shared" si="89"/>
        <v/>
      </c>
      <c r="GWX83" s="248" t="str">
        <f t="shared" si="89"/>
        <v/>
      </c>
      <c r="GWY83" s="248" t="str">
        <f t="shared" si="89"/>
        <v/>
      </c>
      <c r="GWZ83" s="248" t="str">
        <f t="shared" si="89"/>
        <v/>
      </c>
      <c r="GXA83" s="248" t="str">
        <f t="shared" si="89"/>
        <v/>
      </c>
      <c r="GXB83" s="248" t="str">
        <f t="shared" si="89"/>
        <v/>
      </c>
      <c r="GXC83" s="248" t="str">
        <f t="shared" si="89"/>
        <v/>
      </c>
      <c r="GXD83" s="248" t="str">
        <f t="shared" si="89"/>
        <v/>
      </c>
      <c r="GXE83" s="248" t="str">
        <f t="shared" si="89"/>
        <v/>
      </c>
      <c r="GXF83" s="248" t="str">
        <f t="shared" si="89"/>
        <v/>
      </c>
      <c r="GXG83" s="248" t="str">
        <f t="shared" si="89"/>
        <v/>
      </c>
      <c r="GXH83" s="248" t="str">
        <f t="shared" si="89"/>
        <v/>
      </c>
      <c r="GXI83" s="248" t="str">
        <f t="shared" si="89"/>
        <v/>
      </c>
      <c r="GXJ83" s="248" t="str">
        <f t="shared" si="89"/>
        <v/>
      </c>
      <c r="GXK83" s="248" t="str">
        <f t="shared" si="89"/>
        <v/>
      </c>
      <c r="GXL83" s="248" t="str">
        <f t="shared" si="89"/>
        <v/>
      </c>
      <c r="GXM83" s="248" t="str">
        <f t="shared" si="89"/>
        <v/>
      </c>
      <c r="GXN83" s="248" t="str">
        <f t="shared" si="89"/>
        <v/>
      </c>
      <c r="GXO83" s="248" t="str">
        <f t="shared" si="89"/>
        <v/>
      </c>
      <c r="GXP83" s="248" t="str">
        <f t="shared" si="89"/>
        <v/>
      </c>
      <c r="GXQ83" s="248" t="str">
        <f t="shared" si="89"/>
        <v/>
      </c>
      <c r="GXR83" s="248" t="str">
        <f t="shared" si="89"/>
        <v/>
      </c>
      <c r="GXS83" s="248" t="str">
        <f t="shared" si="89"/>
        <v/>
      </c>
      <c r="GXT83" s="248" t="str">
        <f t="shared" si="89"/>
        <v/>
      </c>
      <c r="GXU83" s="248" t="str">
        <f t="shared" si="89"/>
        <v/>
      </c>
      <c r="GXV83" s="248" t="str">
        <f t="shared" si="89"/>
        <v/>
      </c>
      <c r="GXW83" s="248" t="str">
        <f t="shared" si="89"/>
        <v/>
      </c>
      <c r="GXX83" s="248" t="str">
        <f t="shared" si="89"/>
        <v/>
      </c>
      <c r="GXY83" s="248" t="str">
        <f t="shared" si="89"/>
        <v/>
      </c>
      <c r="GXZ83" s="248" t="str">
        <f t="shared" si="89"/>
        <v/>
      </c>
      <c r="GYA83" s="248" t="str">
        <f t="shared" si="89"/>
        <v/>
      </c>
      <c r="GYB83" s="248" t="str">
        <f t="shared" si="89"/>
        <v/>
      </c>
      <c r="GYC83" s="248" t="str">
        <f t="shared" si="89"/>
        <v/>
      </c>
      <c r="GYD83" s="248" t="str">
        <f t="shared" si="89"/>
        <v/>
      </c>
      <c r="GYE83" s="248" t="str">
        <f t="shared" si="89"/>
        <v/>
      </c>
      <c r="GYF83" s="248" t="str">
        <f t="shared" si="89"/>
        <v/>
      </c>
      <c r="GYG83" s="248" t="str">
        <f t="shared" si="89"/>
        <v/>
      </c>
      <c r="GYH83" s="248" t="str">
        <f t="shared" si="89"/>
        <v/>
      </c>
      <c r="GYI83" s="248" t="str">
        <f t="shared" si="89"/>
        <v/>
      </c>
      <c r="GYJ83" s="248" t="str">
        <f t="shared" si="89"/>
        <v/>
      </c>
      <c r="GYK83" s="248" t="str">
        <f t="shared" si="89"/>
        <v/>
      </c>
      <c r="GYL83" s="248" t="str">
        <f t="shared" si="89"/>
        <v/>
      </c>
      <c r="GYM83" s="248" t="str">
        <f t="shared" si="89"/>
        <v/>
      </c>
      <c r="GYN83" s="248" t="str">
        <f t="shared" si="89"/>
        <v/>
      </c>
      <c r="GYO83" s="248" t="str">
        <f t="shared" si="89"/>
        <v/>
      </c>
      <c r="GYP83" s="248" t="str">
        <f t="shared" si="89"/>
        <v/>
      </c>
      <c r="GYQ83" s="248" t="str">
        <f t="shared" si="89"/>
        <v/>
      </c>
      <c r="GYR83" s="248" t="str">
        <f t="shared" si="89"/>
        <v/>
      </c>
      <c r="GYS83" s="248" t="str">
        <f t="shared" si="89"/>
        <v/>
      </c>
      <c r="GYT83" s="248" t="str">
        <f t="shared" si="89"/>
        <v/>
      </c>
      <c r="GYU83" s="248" t="str">
        <f t="shared" si="89"/>
        <v/>
      </c>
      <c r="GYV83" s="248" t="str">
        <f t="shared" si="89"/>
        <v/>
      </c>
      <c r="GYW83" s="248" t="str">
        <f t="shared" si="89"/>
        <v/>
      </c>
      <c r="GYX83" s="248" t="str">
        <f t="shared" si="89"/>
        <v/>
      </c>
      <c r="GYY83" s="248" t="str">
        <f t="shared" ref="GYY83:HBJ83" si="90">UPPER(GYW83)</f>
        <v/>
      </c>
      <c r="GYZ83" s="248" t="str">
        <f t="shared" si="90"/>
        <v/>
      </c>
      <c r="GZA83" s="248" t="str">
        <f t="shared" si="90"/>
        <v/>
      </c>
      <c r="GZB83" s="248" t="str">
        <f t="shared" si="90"/>
        <v/>
      </c>
      <c r="GZC83" s="248" t="str">
        <f t="shared" si="90"/>
        <v/>
      </c>
      <c r="GZD83" s="248" t="str">
        <f t="shared" si="90"/>
        <v/>
      </c>
      <c r="GZE83" s="248" t="str">
        <f t="shared" si="90"/>
        <v/>
      </c>
      <c r="GZF83" s="248" t="str">
        <f t="shared" si="90"/>
        <v/>
      </c>
      <c r="GZG83" s="248" t="str">
        <f t="shared" si="90"/>
        <v/>
      </c>
      <c r="GZH83" s="248" t="str">
        <f t="shared" si="90"/>
        <v/>
      </c>
      <c r="GZI83" s="248" t="str">
        <f t="shared" si="90"/>
        <v/>
      </c>
      <c r="GZJ83" s="248" t="str">
        <f t="shared" si="90"/>
        <v/>
      </c>
      <c r="GZK83" s="248" t="str">
        <f t="shared" si="90"/>
        <v/>
      </c>
      <c r="GZL83" s="248" t="str">
        <f t="shared" si="90"/>
        <v/>
      </c>
      <c r="GZM83" s="248" t="str">
        <f t="shared" si="90"/>
        <v/>
      </c>
      <c r="GZN83" s="248" t="str">
        <f t="shared" si="90"/>
        <v/>
      </c>
      <c r="GZO83" s="248" t="str">
        <f t="shared" si="90"/>
        <v/>
      </c>
      <c r="GZP83" s="248" t="str">
        <f t="shared" si="90"/>
        <v/>
      </c>
      <c r="GZQ83" s="248" t="str">
        <f t="shared" si="90"/>
        <v/>
      </c>
      <c r="GZR83" s="248" t="str">
        <f t="shared" si="90"/>
        <v/>
      </c>
      <c r="GZS83" s="248" t="str">
        <f t="shared" si="90"/>
        <v/>
      </c>
      <c r="GZT83" s="248" t="str">
        <f t="shared" si="90"/>
        <v/>
      </c>
      <c r="GZU83" s="248" t="str">
        <f t="shared" si="90"/>
        <v/>
      </c>
      <c r="GZV83" s="248" t="str">
        <f t="shared" si="90"/>
        <v/>
      </c>
      <c r="GZW83" s="248" t="str">
        <f t="shared" si="90"/>
        <v/>
      </c>
      <c r="GZX83" s="248" t="str">
        <f t="shared" si="90"/>
        <v/>
      </c>
      <c r="GZY83" s="248" t="str">
        <f t="shared" si="90"/>
        <v/>
      </c>
      <c r="GZZ83" s="248" t="str">
        <f t="shared" si="90"/>
        <v/>
      </c>
      <c r="HAA83" s="248" t="str">
        <f t="shared" si="90"/>
        <v/>
      </c>
      <c r="HAB83" s="248" t="str">
        <f t="shared" si="90"/>
        <v/>
      </c>
      <c r="HAC83" s="248" t="str">
        <f t="shared" si="90"/>
        <v/>
      </c>
      <c r="HAD83" s="248" t="str">
        <f t="shared" si="90"/>
        <v/>
      </c>
      <c r="HAE83" s="248" t="str">
        <f t="shared" si="90"/>
        <v/>
      </c>
      <c r="HAF83" s="248" t="str">
        <f t="shared" si="90"/>
        <v/>
      </c>
      <c r="HAG83" s="248" t="str">
        <f t="shared" si="90"/>
        <v/>
      </c>
      <c r="HAH83" s="248" t="str">
        <f t="shared" si="90"/>
        <v/>
      </c>
      <c r="HAI83" s="248" t="str">
        <f t="shared" si="90"/>
        <v/>
      </c>
      <c r="HAJ83" s="248" t="str">
        <f t="shared" si="90"/>
        <v/>
      </c>
      <c r="HAK83" s="248" t="str">
        <f t="shared" si="90"/>
        <v/>
      </c>
      <c r="HAL83" s="248" t="str">
        <f t="shared" si="90"/>
        <v/>
      </c>
      <c r="HAM83" s="248" t="str">
        <f t="shared" si="90"/>
        <v/>
      </c>
      <c r="HAN83" s="248" t="str">
        <f t="shared" si="90"/>
        <v/>
      </c>
      <c r="HAO83" s="248" t="str">
        <f t="shared" si="90"/>
        <v/>
      </c>
      <c r="HAP83" s="248" t="str">
        <f t="shared" si="90"/>
        <v/>
      </c>
      <c r="HAQ83" s="248" t="str">
        <f t="shared" si="90"/>
        <v/>
      </c>
      <c r="HAR83" s="248" t="str">
        <f t="shared" si="90"/>
        <v/>
      </c>
      <c r="HAS83" s="248" t="str">
        <f t="shared" si="90"/>
        <v/>
      </c>
      <c r="HAT83" s="248" t="str">
        <f t="shared" si="90"/>
        <v/>
      </c>
      <c r="HAU83" s="248" t="str">
        <f t="shared" si="90"/>
        <v/>
      </c>
      <c r="HAV83" s="248" t="str">
        <f t="shared" si="90"/>
        <v/>
      </c>
      <c r="HAW83" s="248" t="str">
        <f t="shared" si="90"/>
        <v/>
      </c>
      <c r="HAX83" s="248" t="str">
        <f t="shared" si="90"/>
        <v/>
      </c>
      <c r="HAY83" s="248" t="str">
        <f t="shared" si="90"/>
        <v/>
      </c>
      <c r="HAZ83" s="248" t="str">
        <f t="shared" si="90"/>
        <v/>
      </c>
      <c r="HBA83" s="248" t="str">
        <f t="shared" si="90"/>
        <v/>
      </c>
      <c r="HBB83" s="248" t="str">
        <f t="shared" si="90"/>
        <v/>
      </c>
      <c r="HBC83" s="248" t="str">
        <f t="shared" si="90"/>
        <v/>
      </c>
      <c r="HBD83" s="248" t="str">
        <f t="shared" si="90"/>
        <v/>
      </c>
      <c r="HBE83" s="248" t="str">
        <f t="shared" si="90"/>
        <v/>
      </c>
      <c r="HBF83" s="248" t="str">
        <f t="shared" si="90"/>
        <v/>
      </c>
      <c r="HBG83" s="248" t="str">
        <f t="shared" si="90"/>
        <v/>
      </c>
      <c r="HBH83" s="248" t="str">
        <f t="shared" si="90"/>
        <v/>
      </c>
      <c r="HBI83" s="248" t="str">
        <f t="shared" si="90"/>
        <v/>
      </c>
      <c r="HBJ83" s="248" t="str">
        <f t="shared" si="90"/>
        <v/>
      </c>
      <c r="HBK83" s="248" t="str">
        <f t="shared" ref="HBK83:HDV83" si="91">UPPER(HBI83)</f>
        <v/>
      </c>
      <c r="HBL83" s="248" t="str">
        <f t="shared" si="91"/>
        <v/>
      </c>
      <c r="HBM83" s="248" t="str">
        <f t="shared" si="91"/>
        <v/>
      </c>
      <c r="HBN83" s="248" t="str">
        <f t="shared" si="91"/>
        <v/>
      </c>
      <c r="HBO83" s="248" t="str">
        <f t="shared" si="91"/>
        <v/>
      </c>
      <c r="HBP83" s="248" t="str">
        <f t="shared" si="91"/>
        <v/>
      </c>
      <c r="HBQ83" s="248" t="str">
        <f t="shared" si="91"/>
        <v/>
      </c>
      <c r="HBR83" s="248" t="str">
        <f t="shared" si="91"/>
        <v/>
      </c>
      <c r="HBS83" s="248" t="str">
        <f t="shared" si="91"/>
        <v/>
      </c>
      <c r="HBT83" s="248" t="str">
        <f t="shared" si="91"/>
        <v/>
      </c>
      <c r="HBU83" s="248" t="str">
        <f t="shared" si="91"/>
        <v/>
      </c>
      <c r="HBV83" s="248" t="str">
        <f t="shared" si="91"/>
        <v/>
      </c>
      <c r="HBW83" s="248" t="str">
        <f t="shared" si="91"/>
        <v/>
      </c>
      <c r="HBX83" s="248" t="str">
        <f t="shared" si="91"/>
        <v/>
      </c>
      <c r="HBY83" s="248" t="str">
        <f t="shared" si="91"/>
        <v/>
      </c>
      <c r="HBZ83" s="248" t="str">
        <f t="shared" si="91"/>
        <v/>
      </c>
      <c r="HCA83" s="248" t="str">
        <f t="shared" si="91"/>
        <v/>
      </c>
      <c r="HCB83" s="248" t="str">
        <f t="shared" si="91"/>
        <v/>
      </c>
      <c r="HCC83" s="248" t="str">
        <f t="shared" si="91"/>
        <v/>
      </c>
      <c r="HCD83" s="248" t="str">
        <f t="shared" si="91"/>
        <v/>
      </c>
      <c r="HCE83" s="248" t="str">
        <f t="shared" si="91"/>
        <v/>
      </c>
      <c r="HCF83" s="248" t="str">
        <f t="shared" si="91"/>
        <v/>
      </c>
      <c r="HCG83" s="248" t="str">
        <f t="shared" si="91"/>
        <v/>
      </c>
      <c r="HCH83" s="248" t="str">
        <f t="shared" si="91"/>
        <v/>
      </c>
      <c r="HCI83" s="248" t="str">
        <f t="shared" si="91"/>
        <v/>
      </c>
      <c r="HCJ83" s="248" t="str">
        <f t="shared" si="91"/>
        <v/>
      </c>
      <c r="HCK83" s="248" t="str">
        <f t="shared" si="91"/>
        <v/>
      </c>
      <c r="HCL83" s="248" t="str">
        <f t="shared" si="91"/>
        <v/>
      </c>
      <c r="HCM83" s="248" t="str">
        <f t="shared" si="91"/>
        <v/>
      </c>
      <c r="HCN83" s="248" t="str">
        <f t="shared" si="91"/>
        <v/>
      </c>
      <c r="HCO83" s="248" t="str">
        <f t="shared" si="91"/>
        <v/>
      </c>
      <c r="HCP83" s="248" t="str">
        <f t="shared" si="91"/>
        <v/>
      </c>
      <c r="HCQ83" s="248" t="str">
        <f t="shared" si="91"/>
        <v/>
      </c>
      <c r="HCR83" s="248" t="str">
        <f t="shared" si="91"/>
        <v/>
      </c>
      <c r="HCS83" s="248" t="str">
        <f t="shared" si="91"/>
        <v/>
      </c>
      <c r="HCT83" s="248" t="str">
        <f t="shared" si="91"/>
        <v/>
      </c>
      <c r="HCU83" s="248" t="str">
        <f t="shared" si="91"/>
        <v/>
      </c>
      <c r="HCV83" s="248" t="str">
        <f t="shared" si="91"/>
        <v/>
      </c>
      <c r="HCW83" s="248" t="str">
        <f t="shared" si="91"/>
        <v/>
      </c>
      <c r="HCX83" s="248" t="str">
        <f t="shared" si="91"/>
        <v/>
      </c>
      <c r="HCY83" s="248" t="str">
        <f t="shared" si="91"/>
        <v/>
      </c>
      <c r="HCZ83" s="248" t="str">
        <f t="shared" si="91"/>
        <v/>
      </c>
      <c r="HDA83" s="248" t="str">
        <f t="shared" si="91"/>
        <v/>
      </c>
      <c r="HDB83" s="248" t="str">
        <f t="shared" si="91"/>
        <v/>
      </c>
      <c r="HDC83" s="248" t="str">
        <f t="shared" si="91"/>
        <v/>
      </c>
      <c r="HDD83" s="248" t="str">
        <f t="shared" si="91"/>
        <v/>
      </c>
      <c r="HDE83" s="248" t="str">
        <f t="shared" si="91"/>
        <v/>
      </c>
      <c r="HDF83" s="248" t="str">
        <f t="shared" si="91"/>
        <v/>
      </c>
      <c r="HDG83" s="248" t="str">
        <f t="shared" si="91"/>
        <v/>
      </c>
      <c r="HDH83" s="248" t="str">
        <f t="shared" si="91"/>
        <v/>
      </c>
      <c r="HDI83" s="248" t="str">
        <f t="shared" si="91"/>
        <v/>
      </c>
      <c r="HDJ83" s="248" t="str">
        <f t="shared" si="91"/>
        <v/>
      </c>
      <c r="HDK83" s="248" t="str">
        <f t="shared" si="91"/>
        <v/>
      </c>
      <c r="HDL83" s="248" t="str">
        <f t="shared" si="91"/>
        <v/>
      </c>
      <c r="HDM83" s="248" t="str">
        <f t="shared" si="91"/>
        <v/>
      </c>
      <c r="HDN83" s="248" t="str">
        <f t="shared" si="91"/>
        <v/>
      </c>
      <c r="HDO83" s="248" t="str">
        <f t="shared" si="91"/>
        <v/>
      </c>
      <c r="HDP83" s="248" t="str">
        <f t="shared" si="91"/>
        <v/>
      </c>
      <c r="HDQ83" s="248" t="str">
        <f t="shared" si="91"/>
        <v/>
      </c>
      <c r="HDR83" s="248" t="str">
        <f t="shared" si="91"/>
        <v/>
      </c>
      <c r="HDS83" s="248" t="str">
        <f t="shared" si="91"/>
        <v/>
      </c>
      <c r="HDT83" s="248" t="str">
        <f t="shared" si="91"/>
        <v/>
      </c>
      <c r="HDU83" s="248" t="str">
        <f t="shared" si="91"/>
        <v/>
      </c>
      <c r="HDV83" s="248" t="str">
        <f t="shared" si="91"/>
        <v/>
      </c>
      <c r="HDW83" s="248" t="str">
        <f t="shared" ref="HDW83:HGH83" si="92">UPPER(HDU83)</f>
        <v/>
      </c>
      <c r="HDX83" s="248" t="str">
        <f t="shared" si="92"/>
        <v/>
      </c>
      <c r="HDY83" s="248" t="str">
        <f t="shared" si="92"/>
        <v/>
      </c>
      <c r="HDZ83" s="248" t="str">
        <f t="shared" si="92"/>
        <v/>
      </c>
      <c r="HEA83" s="248" t="str">
        <f t="shared" si="92"/>
        <v/>
      </c>
      <c r="HEB83" s="248" t="str">
        <f t="shared" si="92"/>
        <v/>
      </c>
      <c r="HEC83" s="248" t="str">
        <f t="shared" si="92"/>
        <v/>
      </c>
      <c r="HED83" s="248" t="str">
        <f t="shared" si="92"/>
        <v/>
      </c>
      <c r="HEE83" s="248" t="str">
        <f t="shared" si="92"/>
        <v/>
      </c>
      <c r="HEF83" s="248" t="str">
        <f t="shared" si="92"/>
        <v/>
      </c>
      <c r="HEG83" s="248" t="str">
        <f t="shared" si="92"/>
        <v/>
      </c>
      <c r="HEH83" s="248" t="str">
        <f t="shared" si="92"/>
        <v/>
      </c>
      <c r="HEI83" s="248" t="str">
        <f t="shared" si="92"/>
        <v/>
      </c>
      <c r="HEJ83" s="248" t="str">
        <f t="shared" si="92"/>
        <v/>
      </c>
      <c r="HEK83" s="248" t="str">
        <f t="shared" si="92"/>
        <v/>
      </c>
      <c r="HEL83" s="248" t="str">
        <f t="shared" si="92"/>
        <v/>
      </c>
      <c r="HEM83" s="248" t="str">
        <f t="shared" si="92"/>
        <v/>
      </c>
      <c r="HEN83" s="248" t="str">
        <f t="shared" si="92"/>
        <v/>
      </c>
      <c r="HEO83" s="248" t="str">
        <f t="shared" si="92"/>
        <v/>
      </c>
      <c r="HEP83" s="248" t="str">
        <f t="shared" si="92"/>
        <v/>
      </c>
      <c r="HEQ83" s="248" t="str">
        <f t="shared" si="92"/>
        <v/>
      </c>
      <c r="HER83" s="248" t="str">
        <f t="shared" si="92"/>
        <v/>
      </c>
      <c r="HES83" s="248" t="str">
        <f t="shared" si="92"/>
        <v/>
      </c>
      <c r="HET83" s="248" t="str">
        <f t="shared" si="92"/>
        <v/>
      </c>
      <c r="HEU83" s="248" t="str">
        <f t="shared" si="92"/>
        <v/>
      </c>
      <c r="HEV83" s="248" t="str">
        <f t="shared" si="92"/>
        <v/>
      </c>
      <c r="HEW83" s="248" t="str">
        <f t="shared" si="92"/>
        <v/>
      </c>
      <c r="HEX83" s="248" t="str">
        <f t="shared" si="92"/>
        <v/>
      </c>
      <c r="HEY83" s="248" t="str">
        <f t="shared" si="92"/>
        <v/>
      </c>
      <c r="HEZ83" s="248" t="str">
        <f t="shared" si="92"/>
        <v/>
      </c>
      <c r="HFA83" s="248" t="str">
        <f t="shared" si="92"/>
        <v/>
      </c>
      <c r="HFB83" s="248" t="str">
        <f t="shared" si="92"/>
        <v/>
      </c>
      <c r="HFC83" s="248" t="str">
        <f t="shared" si="92"/>
        <v/>
      </c>
      <c r="HFD83" s="248" t="str">
        <f t="shared" si="92"/>
        <v/>
      </c>
      <c r="HFE83" s="248" t="str">
        <f t="shared" si="92"/>
        <v/>
      </c>
      <c r="HFF83" s="248" t="str">
        <f t="shared" si="92"/>
        <v/>
      </c>
      <c r="HFG83" s="248" t="str">
        <f t="shared" si="92"/>
        <v/>
      </c>
      <c r="HFH83" s="248" t="str">
        <f t="shared" si="92"/>
        <v/>
      </c>
      <c r="HFI83" s="248" t="str">
        <f t="shared" si="92"/>
        <v/>
      </c>
      <c r="HFJ83" s="248" t="str">
        <f t="shared" si="92"/>
        <v/>
      </c>
      <c r="HFK83" s="248" t="str">
        <f t="shared" si="92"/>
        <v/>
      </c>
      <c r="HFL83" s="248" t="str">
        <f t="shared" si="92"/>
        <v/>
      </c>
      <c r="HFM83" s="248" t="str">
        <f t="shared" si="92"/>
        <v/>
      </c>
      <c r="HFN83" s="248" t="str">
        <f t="shared" si="92"/>
        <v/>
      </c>
      <c r="HFO83" s="248" t="str">
        <f t="shared" si="92"/>
        <v/>
      </c>
      <c r="HFP83" s="248" t="str">
        <f t="shared" si="92"/>
        <v/>
      </c>
      <c r="HFQ83" s="248" t="str">
        <f t="shared" si="92"/>
        <v/>
      </c>
      <c r="HFR83" s="248" t="str">
        <f t="shared" si="92"/>
        <v/>
      </c>
      <c r="HFS83" s="248" t="str">
        <f t="shared" si="92"/>
        <v/>
      </c>
      <c r="HFT83" s="248" t="str">
        <f t="shared" si="92"/>
        <v/>
      </c>
      <c r="HFU83" s="248" t="str">
        <f t="shared" si="92"/>
        <v/>
      </c>
      <c r="HFV83" s="248" t="str">
        <f t="shared" si="92"/>
        <v/>
      </c>
      <c r="HFW83" s="248" t="str">
        <f t="shared" si="92"/>
        <v/>
      </c>
      <c r="HFX83" s="248" t="str">
        <f t="shared" si="92"/>
        <v/>
      </c>
      <c r="HFY83" s="248" t="str">
        <f t="shared" si="92"/>
        <v/>
      </c>
      <c r="HFZ83" s="248" t="str">
        <f t="shared" si="92"/>
        <v/>
      </c>
      <c r="HGA83" s="248" t="str">
        <f t="shared" si="92"/>
        <v/>
      </c>
      <c r="HGB83" s="248" t="str">
        <f t="shared" si="92"/>
        <v/>
      </c>
      <c r="HGC83" s="248" t="str">
        <f t="shared" si="92"/>
        <v/>
      </c>
      <c r="HGD83" s="248" t="str">
        <f t="shared" si="92"/>
        <v/>
      </c>
      <c r="HGE83" s="248" t="str">
        <f t="shared" si="92"/>
        <v/>
      </c>
      <c r="HGF83" s="248" t="str">
        <f t="shared" si="92"/>
        <v/>
      </c>
      <c r="HGG83" s="248" t="str">
        <f t="shared" si="92"/>
        <v/>
      </c>
      <c r="HGH83" s="248" t="str">
        <f t="shared" si="92"/>
        <v/>
      </c>
      <c r="HGI83" s="248" t="str">
        <f t="shared" ref="HGI83:HIT83" si="93">UPPER(HGG83)</f>
        <v/>
      </c>
      <c r="HGJ83" s="248" t="str">
        <f t="shared" si="93"/>
        <v/>
      </c>
      <c r="HGK83" s="248" t="str">
        <f t="shared" si="93"/>
        <v/>
      </c>
      <c r="HGL83" s="248" t="str">
        <f t="shared" si="93"/>
        <v/>
      </c>
      <c r="HGM83" s="248" t="str">
        <f t="shared" si="93"/>
        <v/>
      </c>
      <c r="HGN83" s="248" t="str">
        <f t="shared" si="93"/>
        <v/>
      </c>
      <c r="HGO83" s="248" t="str">
        <f t="shared" si="93"/>
        <v/>
      </c>
      <c r="HGP83" s="248" t="str">
        <f t="shared" si="93"/>
        <v/>
      </c>
      <c r="HGQ83" s="248" t="str">
        <f t="shared" si="93"/>
        <v/>
      </c>
      <c r="HGR83" s="248" t="str">
        <f t="shared" si="93"/>
        <v/>
      </c>
      <c r="HGS83" s="248" t="str">
        <f t="shared" si="93"/>
        <v/>
      </c>
      <c r="HGT83" s="248" t="str">
        <f t="shared" si="93"/>
        <v/>
      </c>
      <c r="HGU83" s="248" t="str">
        <f t="shared" si="93"/>
        <v/>
      </c>
      <c r="HGV83" s="248" t="str">
        <f t="shared" si="93"/>
        <v/>
      </c>
      <c r="HGW83" s="248" t="str">
        <f t="shared" si="93"/>
        <v/>
      </c>
      <c r="HGX83" s="248" t="str">
        <f t="shared" si="93"/>
        <v/>
      </c>
      <c r="HGY83" s="248" t="str">
        <f t="shared" si="93"/>
        <v/>
      </c>
      <c r="HGZ83" s="248" t="str">
        <f t="shared" si="93"/>
        <v/>
      </c>
      <c r="HHA83" s="248" t="str">
        <f t="shared" si="93"/>
        <v/>
      </c>
      <c r="HHB83" s="248" t="str">
        <f t="shared" si="93"/>
        <v/>
      </c>
      <c r="HHC83" s="248" t="str">
        <f t="shared" si="93"/>
        <v/>
      </c>
      <c r="HHD83" s="248" t="str">
        <f t="shared" si="93"/>
        <v/>
      </c>
      <c r="HHE83" s="248" t="str">
        <f t="shared" si="93"/>
        <v/>
      </c>
      <c r="HHF83" s="248" t="str">
        <f t="shared" si="93"/>
        <v/>
      </c>
      <c r="HHG83" s="248" t="str">
        <f t="shared" si="93"/>
        <v/>
      </c>
      <c r="HHH83" s="248" t="str">
        <f t="shared" si="93"/>
        <v/>
      </c>
      <c r="HHI83" s="248" t="str">
        <f t="shared" si="93"/>
        <v/>
      </c>
      <c r="HHJ83" s="248" t="str">
        <f t="shared" si="93"/>
        <v/>
      </c>
      <c r="HHK83" s="248" t="str">
        <f t="shared" si="93"/>
        <v/>
      </c>
      <c r="HHL83" s="248" t="str">
        <f t="shared" si="93"/>
        <v/>
      </c>
      <c r="HHM83" s="248" t="str">
        <f t="shared" si="93"/>
        <v/>
      </c>
      <c r="HHN83" s="248" t="str">
        <f t="shared" si="93"/>
        <v/>
      </c>
      <c r="HHO83" s="248" t="str">
        <f t="shared" si="93"/>
        <v/>
      </c>
      <c r="HHP83" s="248" t="str">
        <f t="shared" si="93"/>
        <v/>
      </c>
      <c r="HHQ83" s="248" t="str">
        <f t="shared" si="93"/>
        <v/>
      </c>
      <c r="HHR83" s="248" t="str">
        <f t="shared" si="93"/>
        <v/>
      </c>
      <c r="HHS83" s="248" t="str">
        <f t="shared" si="93"/>
        <v/>
      </c>
      <c r="HHT83" s="248" t="str">
        <f t="shared" si="93"/>
        <v/>
      </c>
      <c r="HHU83" s="248" t="str">
        <f t="shared" si="93"/>
        <v/>
      </c>
      <c r="HHV83" s="248" t="str">
        <f t="shared" si="93"/>
        <v/>
      </c>
      <c r="HHW83" s="248" t="str">
        <f t="shared" si="93"/>
        <v/>
      </c>
      <c r="HHX83" s="248" t="str">
        <f t="shared" si="93"/>
        <v/>
      </c>
      <c r="HHY83" s="248" t="str">
        <f t="shared" si="93"/>
        <v/>
      </c>
      <c r="HHZ83" s="248" t="str">
        <f t="shared" si="93"/>
        <v/>
      </c>
      <c r="HIA83" s="248" t="str">
        <f t="shared" si="93"/>
        <v/>
      </c>
      <c r="HIB83" s="248" t="str">
        <f t="shared" si="93"/>
        <v/>
      </c>
      <c r="HIC83" s="248" t="str">
        <f t="shared" si="93"/>
        <v/>
      </c>
      <c r="HID83" s="248" t="str">
        <f t="shared" si="93"/>
        <v/>
      </c>
      <c r="HIE83" s="248" t="str">
        <f t="shared" si="93"/>
        <v/>
      </c>
      <c r="HIF83" s="248" t="str">
        <f t="shared" si="93"/>
        <v/>
      </c>
      <c r="HIG83" s="248" t="str">
        <f t="shared" si="93"/>
        <v/>
      </c>
      <c r="HIH83" s="248" t="str">
        <f t="shared" si="93"/>
        <v/>
      </c>
      <c r="HII83" s="248" t="str">
        <f t="shared" si="93"/>
        <v/>
      </c>
      <c r="HIJ83" s="248" t="str">
        <f t="shared" si="93"/>
        <v/>
      </c>
      <c r="HIK83" s="248" t="str">
        <f t="shared" si="93"/>
        <v/>
      </c>
      <c r="HIL83" s="248" t="str">
        <f t="shared" si="93"/>
        <v/>
      </c>
      <c r="HIM83" s="248" t="str">
        <f t="shared" si="93"/>
        <v/>
      </c>
      <c r="HIN83" s="248" t="str">
        <f t="shared" si="93"/>
        <v/>
      </c>
      <c r="HIO83" s="248" t="str">
        <f t="shared" si="93"/>
        <v/>
      </c>
      <c r="HIP83" s="248" t="str">
        <f t="shared" si="93"/>
        <v/>
      </c>
      <c r="HIQ83" s="248" t="str">
        <f t="shared" si="93"/>
        <v/>
      </c>
      <c r="HIR83" s="248" t="str">
        <f t="shared" si="93"/>
        <v/>
      </c>
      <c r="HIS83" s="248" t="str">
        <f t="shared" si="93"/>
        <v/>
      </c>
      <c r="HIT83" s="248" t="str">
        <f t="shared" si="93"/>
        <v/>
      </c>
      <c r="HIU83" s="248" t="str">
        <f t="shared" ref="HIU83:HLF83" si="94">UPPER(HIS83)</f>
        <v/>
      </c>
      <c r="HIV83" s="248" t="str">
        <f t="shared" si="94"/>
        <v/>
      </c>
      <c r="HIW83" s="248" t="str">
        <f t="shared" si="94"/>
        <v/>
      </c>
      <c r="HIX83" s="248" t="str">
        <f t="shared" si="94"/>
        <v/>
      </c>
      <c r="HIY83" s="248" t="str">
        <f t="shared" si="94"/>
        <v/>
      </c>
      <c r="HIZ83" s="248" t="str">
        <f t="shared" si="94"/>
        <v/>
      </c>
      <c r="HJA83" s="248" t="str">
        <f t="shared" si="94"/>
        <v/>
      </c>
      <c r="HJB83" s="248" t="str">
        <f t="shared" si="94"/>
        <v/>
      </c>
      <c r="HJC83" s="248" t="str">
        <f t="shared" si="94"/>
        <v/>
      </c>
      <c r="HJD83" s="248" t="str">
        <f t="shared" si="94"/>
        <v/>
      </c>
      <c r="HJE83" s="248" t="str">
        <f t="shared" si="94"/>
        <v/>
      </c>
      <c r="HJF83" s="248" t="str">
        <f t="shared" si="94"/>
        <v/>
      </c>
      <c r="HJG83" s="248" t="str">
        <f t="shared" si="94"/>
        <v/>
      </c>
      <c r="HJH83" s="248" t="str">
        <f t="shared" si="94"/>
        <v/>
      </c>
      <c r="HJI83" s="248" t="str">
        <f t="shared" si="94"/>
        <v/>
      </c>
      <c r="HJJ83" s="248" t="str">
        <f t="shared" si="94"/>
        <v/>
      </c>
      <c r="HJK83" s="248" t="str">
        <f t="shared" si="94"/>
        <v/>
      </c>
      <c r="HJL83" s="248" t="str">
        <f t="shared" si="94"/>
        <v/>
      </c>
      <c r="HJM83" s="248" t="str">
        <f t="shared" si="94"/>
        <v/>
      </c>
      <c r="HJN83" s="248" t="str">
        <f t="shared" si="94"/>
        <v/>
      </c>
      <c r="HJO83" s="248" t="str">
        <f t="shared" si="94"/>
        <v/>
      </c>
      <c r="HJP83" s="248" t="str">
        <f t="shared" si="94"/>
        <v/>
      </c>
      <c r="HJQ83" s="248" t="str">
        <f t="shared" si="94"/>
        <v/>
      </c>
      <c r="HJR83" s="248" t="str">
        <f t="shared" si="94"/>
        <v/>
      </c>
      <c r="HJS83" s="248" t="str">
        <f t="shared" si="94"/>
        <v/>
      </c>
      <c r="HJT83" s="248" t="str">
        <f t="shared" si="94"/>
        <v/>
      </c>
      <c r="HJU83" s="248" t="str">
        <f t="shared" si="94"/>
        <v/>
      </c>
      <c r="HJV83" s="248" t="str">
        <f t="shared" si="94"/>
        <v/>
      </c>
      <c r="HJW83" s="248" t="str">
        <f t="shared" si="94"/>
        <v/>
      </c>
      <c r="HJX83" s="248" t="str">
        <f t="shared" si="94"/>
        <v/>
      </c>
      <c r="HJY83" s="248" t="str">
        <f t="shared" si="94"/>
        <v/>
      </c>
      <c r="HJZ83" s="248" t="str">
        <f t="shared" si="94"/>
        <v/>
      </c>
      <c r="HKA83" s="248" t="str">
        <f t="shared" si="94"/>
        <v/>
      </c>
      <c r="HKB83" s="248" t="str">
        <f t="shared" si="94"/>
        <v/>
      </c>
      <c r="HKC83" s="248" t="str">
        <f t="shared" si="94"/>
        <v/>
      </c>
      <c r="HKD83" s="248" t="str">
        <f t="shared" si="94"/>
        <v/>
      </c>
      <c r="HKE83" s="248" t="str">
        <f t="shared" si="94"/>
        <v/>
      </c>
      <c r="HKF83" s="248" t="str">
        <f t="shared" si="94"/>
        <v/>
      </c>
      <c r="HKG83" s="248" t="str">
        <f t="shared" si="94"/>
        <v/>
      </c>
      <c r="HKH83" s="248" t="str">
        <f t="shared" si="94"/>
        <v/>
      </c>
      <c r="HKI83" s="248" t="str">
        <f t="shared" si="94"/>
        <v/>
      </c>
      <c r="HKJ83" s="248" t="str">
        <f t="shared" si="94"/>
        <v/>
      </c>
      <c r="HKK83" s="248" t="str">
        <f t="shared" si="94"/>
        <v/>
      </c>
      <c r="HKL83" s="248" t="str">
        <f t="shared" si="94"/>
        <v/>
      </c>
      <c r="HKM83" s="248" t="str">
        <f t="shared" si="94"/>
        <v/>
      </c>
      <c r="HKN83" s="248" t="str">
        <f t="shared" si="94"/>
        <v/>
      </c>
      <c r="HKO83" s="248" t="str">
        <f t="shared" si="94"/>
        <v/>
      </c>
      <c r="HKP83" s="248" t="str">
        <f t="shared" si="94"/>
        <v/>
      </c>
      <c r="HKQ83" s="248" t="str">
        <f t="shared" si="94"/>
        <v/>
      </c>
      <c r="HKR83" s="248" t="str">
        <f t="shared" si="94"/>
        <v/>
      </c>
      <c r="HKS83" s="248" t="str">
        <f t="shared" si="94"/>
        <v/>
      </c>
      <c r="HKT83" s="248" t="str">
        <f t="shared" si="94"/>
        <v/>
      </c>
      <c r="HKU83" s="248" t="str">
        <f t="shared" si="94"/>
        <v/>
      </c>
      <c r="HKV83" s="248" t="str">
        <f t="shared" si="94"/>
        <v/>
      </c>
      <c r="HKW83" s="248" t="str">
        <f t="shared" si="94"/>
        <v/>
      </c>
      <c r="HKX83" s="248" t="str">
        <f t="shared" si="94"/>
        <v/>
      </c>
      <c r="HKY83" s="248" t="str">
        <f t="shared" si="94"/>
        <v/>
      </c>
      <c r="HKZ83" s="248" t="str">
        <f t="shared" si="94"/>
        <v/>
      </c>
      <c r="HLA83" s="248" t="str">
        <f t="shared" si="94"/>
        <v/>
      </c>
      <c r="HLB83" s="248" t="str">
        <f t="shared" si="94"/>
        <v/>
      </c>
      <c r="HLC83" s="248" t="str">
        <f t="shared" si="94"/>
        <v/>
      </c>
      <c r="HLD83" s="248" t="str">
        <f t="shared" si="94"/>
        <v/>
      </c>
      <c r="HLE83" s="248" t="str">
        <f t="shared" si="94"/>
        <v/>
      </c>
      <c r="HLF83" s="248" t="str">
        <f t="shared" si="94"/>
        <v/>
      </c>
      <c r="HLG83" s="248" t="str">
        <f t="shared" ref="HLG83:HNR83" si="95">UPPER(HLE83)</f>
        <v/>
      </c>
      <c r="HLH83" s="248" t="str">
        <f t="shared" si="95"/>
        <v/>
      </c>
      <c r="HLI83" s="248" t="str">
        <f t="shared" si="95"/>
        <v/>
      </c>
      <c r="HLJ83" s="248" t="str">
        <f t="shared" si="95"/>
        <v/>
      </c>
      <c r="HLK83" s="248" t="str">
        <f t="shared" si="95"/>
        <v/>
      </c>
      <c r="HLL83" s="248" t="str">
        <f t="shared" si="95"/>
        <v/>
      </c>
      <c r="HLM83" s="248" t="str">
        <f t="shared" si="95"/>
        <v/>
      </c>
      <c r="HLN83" s="248" t="str">
        <f t="shared" si="95"/>
        <v/>
      </c>
      <c r="HLO83" s="248" t="str">
        <f t="shared" si="95"/>
        <v/>
      </c>
      <c r="HLP83" s="248" t="str">
        <f t="shared" si="95"/>
        <v/>
      </c>
      <c r="HLQ83" s="248" t="str">
        <f t="shared" si="95"/>
        <v/>
      </c>
      <c r="HLR83" s="248" t="str">
        <f t="shared" si="95"/>
        <v/>
      </c>
      <c r="HLS83" s="248" t="str">
        <f t="shared" si="95"/>
        <v/>
      </c>
      <c r="HLT83" s="248" t="str">
        <f t="shared" si="95"/>
        <v/>
      </c>
      <c r="HLU83" s="248" t="str">
        <f t="shared" si="95"/>
        <v/>
      </c>
      <c r="HLV83" s="248" t="str">
        <f t="shared" si="95"/>
        <v/>
      </c>
      <c r="HLW83" s="248" t="str">
        <f t="shared" si="95"/>
        <v/>
      </c>
      <c r="HLX83" s="248" t="str">
        <f t="shared" si="95"/>
        <v/>
      </c>
      <c r="HLY83" s="248" t="str">
        <f t="shared" si="95"/>
        <v/>
      </c>
      <c r="HLZ83" s="248" t="str">
        <f t="shared" si="95"/>
        <v/>
      </c>
      <c r="HMA83" s="248" t="str">
        <f t="shared" si="95"/>
        <v/>
      </c>
      <c r="HMB83" s="248" t="str">
        <f t="shared" si="95"/>
        <v/>
      </c>
      <c r="HMC83" s="248" t="str">
        <f t="shared" si="95"/>
        <v/>
      </c>
      <c r="HMD83" s="248" t="str">
        <f t="shared" si="95"/>
        <v/>
      </c>
      <c r="HME83" s="248" t="str">
        <f t="shared" si="95"/>
        <v/>
      </c>
      <c r="HMF83" s="248" t="str">
        <f t="shared" si="95"/>
        <v/>
      </c>
      <c r="HMG83" s="248" t="str">
        <f t="shared" si="95"/>
        <v/>
      </c>
      <c r="HMH83" s="248" t="str">
        <f t="shared" si="95"/>
        <v/>
      </c>
      <c r="HMI83" s="248" t="str">
        <f t="shared" si="95"/>
        <v/>
      </c>
      <c r="HMJ83" s="248" t="str">
        <f t="shared" si="95"/>
        <v/>
      </c>
      <c r="HMK83" s="248" t="str">
        <f t="shared" si="95"/>
        <v/>
      </c>
      <c r="HML83" s="248" t="str">
        <f t="shared" si="95"/>
        <v/>
      </c>
      <c r="HMM83" s="248" t="str">
        <f t="shared" si="95"/>
        <v/>
      </c>
      <c r="HMN83" s="248" t="str">
        <f t="shared" si="95"/>
        <v/>
      </c>
      <c r="HMO83" s="248" t="str">
        <f t="shared" si="95"/>
        <v/>
      </c>
      <c r="HMP83" s="248" t="str">
        <f t="shared" si="95"/>
        <v/>
      </c>
      <c r="HMQ83" s="248" t="str">
        <f t="shared" si="95"/>
        <v/>
      </c>
      <c r="HMR83" s="248" t="str">
        <f t="shared" si="95"/>
        <v/>
      </c>
      <c r="HMS83" s="248" t="str">
        <f t="shared" si="95"/>
        <v/>
      </c>
      <c r="HMT83" s="248" t="str">
        <f t="shared" si="95"/>
        <v/>
      </c>
      <c r="HMU83" s="248" t="str">
        <f t="shared" si="95"/>
        <v/>
      </c>
      <c r="HMV83" s="248" t="str">
        <f t="shared" si="95"/>
        <v/>
      </c>
      <c r="HMW83" s="248" t="str">
        <f t="shared" si="95"/>
        <v/>
      </c>
      <c r="HMX83" s="248" t="str">
        <f t="shared" si="95"/>
        <v/>
      </c>
      <c r="HMY83" s="248" t="str">
        <f t="shared" si="95"/>
        <v/>
      </c>
      <c r="HMZ83" s="248" t="str">
        <f t="shared" si="95"/>
        <v/>
      </c>
      <c r="HNA83" s="248" t="str">
        <f t="shared" si="95"/>
        <v/>
      </c>
      <c r="HNB83" s="248" t="str">
        <f t="shared" si="95"/>
        <v/>
      </c>
      <c r="HNC83" s="248" t="str">
        <f t="shared" si="95"/>
        <v/>
      </c>
      <c r="HND83" s="248" t="str">
        <f t="shared" si="95"/>
        <v/>
      </c>
      <c r="HNE83" s="248" t="str">
        <f t="shared" si="95"/>
        <v/>
      </c>
      <c r="HNF83" s="248" t="str">
        <f t="shared" si="95"/>
        <v/>
      </c>
      <c r="HNG83" s="248" t="str">
        <f t="shared" si="95"/>
        <v/>
      </c>
      <c r="HNH83" s="248" t="str">
        <f t="shared" si="95"/>
        <v/>
      </c>
      <c r="HNI83" s="248" t="str">
        <f t="shared" si="95"/>
        <v/>
      </c>
      <c r="HNJ83" s="248" t="str">
        <f t="shared" si="95"/>
        <v/>
      </c>
      <c r="HNK83" s="248" t="str">
        <f t="shared" si="95"/>
        <v/>
      </c>
      <c r="HNL83" s="248" t="str">
        <f t="shared" si="95"/>
        <v/>
      </c>
      <c r="HNM83" s="248" t="str">
        <f t="shared" si="95"/>
        <v/>
      </c>
      <c r="HNN83" s="248" t="str">
        <f t="shared" si="95"/>
        <v/>
      </c>
      <c r="HNO83" s="248" t="str">
        <f t="shared" si="95"/>
        <v/>
      </c>
      <c r="HNP83" s="248" t="str">
        <f t="shared" si="95"/>
        <v/>
      </c>
      <c r="HNQ83" s="248" t="str">
        <f t="shared" si="95"/>
        <v/>
      </c>
      <c r="HNR83" s="248" t="str">
        <f t="shared" si="95"/>
        <v/>
      </c>
      <c r="HNS83" s="248" t="str">
        <f t="shared" ref="HNS83:HQD83" si="96">UPPER(HNQ83)</f>
        <v/>
      </c>
      <c r="HNT83" s="248" t="str">
        <f t="shared" si="96"/>
        <v/>
      </c>
      <c r="HNU83" s="248" t="str">
        <f t="shared" si="96"/>
        <v/>
      </c>
      <c r="HNV83" s="248" t="str">
        <f t="shared" si="96"/>
        <v/>
      </c>
      <c r="HNW83" s="248" t="str">
        <f t="shared" si="96"/>
        <v/>
      </c>
      <c r="HNX83" s="248" t="str">
        <f t="shared" si="96"/>
        <v/>
      </c>
      <c r="HNY83" s="248" t="str">
        <f t="shared" si="96"/>
        <v/>
      </c>
      <c r="HNZ83" s="248" t="str">
        <f t="shared" si="96"/>
        <v/>
      </c>
      <c r="HOA83" s="248" t="str">
        <f t="shared" si="96"/>
        <v/>
      </c>
      <c r="HOB83" s="248" t="str">
        <f t="shared" si="96"/>
        <v/>
      </c>
      <c r="HOC83" s="248" t="str">
        <f t="shared" si="96"/>
        <v/>
      </c>
      <c r="HOD83" s="248" t="str">
        <f t="shared" si="96"/>
        <v/>
      </c>
      <c r="HOE83" s="248" t="str">
        <f t="shared" si="96"/>
        <v/>
      </c>
      <c r="HOF83" s="248" t="str">
        <f t="shared" si="96"/>
        <v/>
      </c>
      <c r="HOG83" s="248" t="str">
        <f t="shared" si="96"/>
        <v/>
      </c>
      <c r="HOH83" s="248" t="str">
        <f t="shared" si="96"/>
        <v/>
      </c>
      <c r="HOI83" s="248" t="str">
        <f t="shared" si="96"/>
        <v/>
      </c>
      <c r="HOJ83" s="248" t="str">
        <f t="shared" si="96"/>
        <v/>
      </c>
      <c r="HOK83" s="248" t="str">
        <f t="shared" si="96"/>
        <v/>
      </c>
      <c r="HOL83" s="248" t="str">
        <f t="shared" si="96"/>
        <v/>
      </c>
      <c r="HOM83" s="248" t="str">
        <f t="shared" si="96"/>
        <v/>
      </c>
      <c r="HON83" s="248" t="str">
        <f t="shared" si="96"/>
        <v/>
      </c>
      <c r="HOO83" s="248" t="str">
        <f t="shared" si="96"/>
        <v/>
      </c>
      <c r="HOP83" s="248" t="str">
        <f t="shared" si="96"/>
        <v/>
      </c>
      <c r="HOQ83" s="248" t="str">
        <f t="shared" si="96"/>
        <v/>
      </c>
      <c r="HOR83" s="248" t="str">
        <f t="shared" si="96"/>
        <v/>
      </c>
      <c r="HOS83" s="248" t="str">
        <f t="shared" si="96"/>
        <v/>
      </c>
      <c r="HOT83" s="248" t="str">
        <f t="shared" si="96"/>
        <v/>
      </c>
      <c r="HOU83" s="248" t="str">
        <f t="shared" si="96"/>
        <v/>
      </c>
      <c r="HOV83" s="248" t="str">
        <f t="shared" si="96"/>
        <v/>
      </c>
      <c r="HOW83" s="248" t="str">
        <f t="shared" si="96"/>
        <v/>
      </c>
      <c r="HOX83" s="248" t="str">
        <f t="shared" si="96"/>
        <v/>
      </c>
      <c r="HOY83" s="248" t="str">
        <f t="shared" si="96"/>
        <v/>
      </c>
      <c r="HOZ83" s="248" t="str">
        <f t="shared" si="96"/>
        <v/>
      </c>
      <c r="HPA83" s="248" t="str">
        <f t="shared" si="96"/>
        <v/>
      </c>
      <c r="HPB83" s="248" t="str">
        <f t="shared" si="96"/>
        <v/>
      </c>
      <c r="HPC83" s="248" t="str">
        <f t="shared" si="96"/>
        <v/>
      </c>
      <c r="HPD83" s="248" t="str">
        <f t="shared" si="96"/>
        <v/>
      </c>
      <c r="HPE83" s="248" t="str">
        <f t="shared" si="96"/>
        <v/>
      </c>
      <c r="HPF83" s="248" t="str">
        <f t="shared" si="96"/>
        <v/>
      </c>
      <c r="HPG83" s="248" t="str">
        <f t="shared" si="96"/>
        <v/>
      </c>
      <c r="HPH83" s="248" t="str">
        <f t="shared" si="96"/>
        <v/>
      </c>
      <c r="HPI83" s="248" t="str">
        <f t="shared" si="96"/>
        <v/>
      </c>
      <c r="HPJ83" s="248" t="str">
        <f t="shared" si="96"/>
        <v/>
      </c>
      <c r="HPK83" s="248" t="str">
        <f t="shared" si="96"/>
        <v/>
      </c>
      <c r="HPL83" s="248" t="str">
        <f t="shared" si="96"/>
        <v/>
      </c>
      <c r="HPM83" s="248" t="str">
        <f t="shared" si="96"/>
        <v/>
      </c>
      <c r="HPN83" s="248" t="str">
        <f t="shared" si="96"/>
        <v/>
      </c>
      <c r="HPO83" s="248" t="str">
        <f t="shared" si="96"/>
        <v/>
      </c>
      <c r="HPP83" s="248" t="str">
        <f t="shared" si="96"/>
        <v/>
      </c>
      <c r="HPQ83" s="248" t="str">
        <f t="shared" si="96"/>
        <v/>
      </c>
      <c r="HPR83" s="248" t="str">
        <f t="shared" si="96"/>
        <v/>
      </c>
      <c r="HPS83" s="248" t="str">
        <f t="shared" si="96"/>
        <v/>
      </c>
      <c r="HPT83" s="248" t="str">
        <f t="shared" si="96"/>
        <v/>
      </c>
      <c r="HPU83" s="248" t="str">
        <f t="shared" si="96"/>
        <v/>
      </c>
      <c r="HPV83" s="248" t="str">
        <f t="shared" si="96"/>
        <v/>
      </c>
      <c r="HPW83" s="248" t="str">
        <f t="shared" si="96"/>
        <v/>
      </c>
      <c r="HPX83" s="248" t="str">
        <f t="shared" si="96"/>
        <v/>
      </c>
      <c r="HPY83" s="248" t="str">
        <f t="shared" si="96"/>
        <v/>
      </c>
      <c r="HPZ83" s="248" t="str">
        <f t="shared" si="96"/>
        <v/>
      </c>
      <c r="HQA83" s="248" t="str">
        <f t="shared" si="96"/>
        <v/>
      </c>
      <c r="HQB83" s="248" t="str">
        <f t="shared" si="96"/>
        <v/>
      </c>
      <c r="HQC83" s="248" t="str">
        <f t="shared" si="96"/>
        <v/>
      </c>
      <c r="HQD83" s="248" t="str">
        <f t="shared" si="96"/>
        <v/>
      </c>
      <c r="HQE83" s="248" t="str">
        <f t="shared" ref="HQE83:HSP83" si="97">UPPER(HQC83)</f>
        <v/>
      </c>
      <c r="HQF83" s="248" t="str">
        <f t="shared" si="97"/>
        <v/>
      </c>
      <c r="HQG83" s="248" t="str">
        <f t="shared" si="97"/>
        <v/>
      </c>
      <c r="HQH83" s="248" t="str">
        <f t="shared" si="97"/>
        <v/>
      </c>
      <c r="HQI83" s="248" t="str">
        <f t="shared" si="97"/>
        <v/>
      </c>
      <c r="HQJ83" s="248" t="str">
        <f t="shared" si="97"/>
        <v/>
      </c>
      <c r="HQK83" s="248" t="str">
        <f t="shared" si="97"/>
        <v/>
      </c>
      <c r="HQL83" s="248" t="str">
        <f t="shared" si="97"/>
        <v/>
      </c>
      <c r="HQM83" s="248" t="str">
        <f t="shared" si="97"/>
        <v/>
      </c>
      <c r="HQN83" s="248" t="str">
        <f t="shared" si="97"/>
        <v/>
      </c>
      <c r="HQO83" s="248" t="str">
        <f t="shared" si="97"/>
        <v/>
      </c>
      <c r="HQP83" s="248" t="str">
        <f t="shared" si="97"/>
        <v/>
      </c>
      <c r="HQQ83" s="248" t="str">
        <f t="shared" si="97"/>
        <v/>
      </c>
      <c r="HQR83" s="248" t="str">
        <f t="shared" si="97"/>
        <v/>
      </c>
      <c r="HQS83" s="248" t="str">
        <f t="shared" si="97"/>
        <v/>
      </c>
      <c r="HQT83" s="248" t="str">
        <f t="shared" si="97"/>
        <v/>
      </c>
      <c r="HQU83" s="248" t="str">
        <f t="shared" si="97"/>
        <v/>
      </c>
      <c r="HQV83" s="248" t="str">
        <f t="shared" si="97"/>
        <v/>
      </c>
      <c r="HQW83" s="248" t="str">
        <f t="shared" si="97"/>
        <v/>
      </c>
      <c r="HQX83" s="248" t="str">
        <f t="shared" si="97"/>
        <v/>
      </c>
      <c r="HQY83" s="248" t="str">
        <f t="shared" si="97"/>
        <v/>
      </c>
      <c r="HQZ83" s="248" t="str">
        <f t="shared" si="97"/>
        <v/>
      </c>
      <c r="HRA83" s="248" t="str">
        <f t="shared" si="97"/>
        <v/>
      </c>
      <c r="HRB83" s="248" t="str">
        <f t="shared" si="97"/>
        <v/>
      </c>
      <c r="HRC83" s="248" t="str">
        <f t="shared" si="97"/>
        <v/>
      </c>
      <c r="HRD83" s="248" t="str">
        <f t="shared" si="97"/>
        <v/>
      </c>
      <c r="HRE83" s="248" t="str">
        <f t="shared" si="97"/>
        <v/>
      </c>
      <c r="HRF83" s="248" t="str">
        <f t="shared" si="97"/>
        <v/>
      </c>
      <c r="HRG83" s="248" t="str">
        <f t="shared" si="97"/>
        <v/>
      </c>
      <c r="HRH83" s="248" t="str">
        <f t="shared" si="97"/>
        <v/>
      </c>
      <c r="HRI83" s="248" t="str">
        <f t="shared" si="97"/>
        <v/>
      </c>
      <c r="HRJ83" s="248" t="str">
        <f t="shared" si="97"/>
        <v/>
      </c>
      <c r="HRK83" s="248" t="str">
        <f t="shared" si="97"/>
        <v/>
      </c>
      <c r="HRL83" s="248" t="str">
        <f t="shared" si="97"/>
        <v/>
      </c>
      <c r="HRM83" s="248" t="str">
        <f t="shared" si="97"/>
        <v/>
      </c>
      <c r="HRN83" s="248" t="str">
        <f t="shared" si="97"/>
        <v/>
      </c>
      <c r="HRO83" s="248" t="str">
        <f t="shared" si="97"/>
        <v/>
      </c>
      <c r="HRP83" s="248" t="str">
        <f t="shared" si="97"/>
        <v/>
      </c>
      <c r="HRQ83" s="248" t="str">
        <f t="shared" si="97"/>
        <v/>
      </c>
      <c r="HRR83" s="248" t="str">
        <f t="shared" si="97"/>
        <v/>
      </c>
      <c r="HRS83" s="248" t="str">
        <f t="shared" si="97"/>
        <v/>
      </c>
      <c r="HRT83" s="248" t="str">
        <f t="shared" si="97"/>
        <v/>
      </c>
      <c r="HRU83" s="248" t="str">
        <f t="shared" si="97"/>
        <v/>
      </c>
      <c r="HRV83" s="248" t="str">
        <f t="shared" si="97"/>
        <v/>
      </c>
      <c r="HRW83" s="248" t="str">
        <f t="shared" si="97"/>
        <v/>
      </c>
      <c r="HRX83" s="248" t="str">
        <f t="shared" si="97"/>
        <v/>
      </c>
      <c r="HRY83" s="248" t="str">
        <f t="shared" si="97"/>
        <v/>
      </c>
      <c r="HRZ83" s="248" t="str">
        <f t="shared" si="97"/>
        <v/>
      </c>
      <c r="HSA83" s="248" t="str">
        <f t="shared" si="97"/>
        <v/>
      </c>
      <c r="HSB83" s="248" t="str">
        <f t="shared" si="97"/>
        <v/>
      </c>
      <c r="HSC83" s="248" t="str">
        <f t="shared" si="97"/>
        <v/>
      </c>
      <c r="HSD83" s="248" t="str">
        <f t="shared" si="97"/>
        <v/>
      </c>
      <c r="HSE83" s="248" t="str">
        <f t="shared" si="97"/>
        <v/>
      </c>
      <c r="HSF83" s="248" t="str">
        <f t="shared" si="97"/>
        <v/>
      </c>
      <c r="HSG83" s="248" t="str">
        <f t="shared" si="97"/>
        <v/>
      </c>
      <c r="HSH83" s="248" t="str">
        <f t="shared" si="97"/>
        <v/>
      </c>
      <c r="HSI83" s="248" t="str">
        <f t="shared" si="97"/>
        <v/>
      </c>
      <c r="HSJ83" s="248" t="str">
        <f t="shared" si="97"/>
        <v/>
      </c>
      <c r="HSK83" s="248" t="str">
        <f t="shared" si="97"/>
        <v/>
      </c>
      <c r="HSL83" s="248" t="str">
        <f t="shared" si="97"/>
        <v/>
      </c>
      <c r="HSM83" s="248" t="str">
        <f t="shared" si="97"/>
        <v/>
      </c>
      <c r="HSN83" s="248" t="str">
        <f t="shared" si="97"/>
        <v/>
      </c>
      <c r="HSO83" s="248" t="str">
        <f t="shared" si="97"/>
        <v/>
      </c>
      <c r="HSP83" s="248" t="str">
        <f t="shared" si="97"/>
        <v/>
      </c>
      <c r="HSQ83" s="248" t="str">
        <f t="shared" ref="HSQ83:HVB83" si="98">UPPER(HSO83)</f>
        <v/>
      </c>
      <c r="HSR83" s="248" t="str">
        <f t="shared" si="98"/>
        <v/>
      </c>
      <c r="HSS83" s="248" t="str">
        <f t="shared" si="98"/>
        <v/>
      </c>
      <c r="HST83" s="248" t="str">
        <f t="shared" si="98"/>
        <v/>
      </c>
      <c r="HSU83" s="248" t="str">
        <f t="shared" si="98"/>
        <v/>
      </c>
      <c r="HSV83" s="248" t="str">
        <f t="shared" si="98"/>
        <v/>
      </c>
      <c r="HSW83" s="248" t="str">
        <f t="shared" si="98"/>
        <v/>
      </c>
      <c r="HSX83" s="248" t="str">
        <f t="shared" si="98"/>
        <v/>
      </c>
      <c r="HSY83" s="248" t="str">
        <f t="shared" si="98"/>
        <v/>
      </c>
      <c r="HSZ83" s="248" t="str">
        <f t="shared" si="98"/>
        <v/>
      </c>
      <c r="HTA83" s="248" t="str">
        <f t="shared" si="98"/>
        <v/>
      </c>
      <c r="HTB83" s="248" t="str">
        <f t="shared" si="98"/>
        <v/>
      </c>
      <c r="HTC83" s="248" t="str">
        <f t="shared" si="98"/>
        <v/>
      </c>
      <c r="HTD83" s="248" t="str">
        <f t="shared" si="98"/>
        <v/>
      </c>
      <c r="HTE83" s="248" t="str">
        <f t="shared" si="98"/>
        <v/>
      </c>
      <c r="HTF83" s="248" t="str">
        <f t="shared" si="98"/>
        <v/>
      </c>
      <c r="HTG83" s="248" t="str">
        <f t="shared" si="98"/>
        <v/>
      </c>
      <c r="HTH83" s="248" t="str">
        <f t="shared" si="98"/>
        <v/>
      </c>
      <c r="HTI83" s="248" t="str">
        <f t="shared" si="98"/>
        <v/>
      </c>
      <c r="HTJ83" s="248" t="str">
        <f t="shared" si="98"/>
        <v/>
      </c>
      <c r="HTK83" s="248" t="str">
        <f t="shared" si="98"/>
        <v/>
      </c>
      <c r="HTL83" s="248" t="str">
        <f t="shared" si="98"/>
        <v/>
      </c>
      <c r="HTM83" s="248" t="str">
        <f t="shared" si="98"/>
        <v/>
      </c>
      <c r="HTN83" s="248" t="str">
        <f t="shared" si="98"/>
        <v/>
      </c>
      <c r="HTO83" s="248" t="str">
        <f t="shared" si="98"/>
        <v/>
      </c>
      <c r="HTP83" s="248" t="str">
        <f t="shared" si="98"/>
        <v/>
      </c>
      <c r="HTQ83" s="248" t="str">
        <f t="shared" si="98"/>
        <v/>
      </c>
      <c r="HTR83" s="248" t="str">
        <f t="shared" si="98"/>
        <v/>
      </c>
      <c r="HTS83" s="248" t="str">
        <f t="shared" si="98"/>
        <v/>
      </c>
      <c r="HTT83" s="248" t="str">
        <f t="shared" si="98"/>
        <v/>
      </c>
      <c r="HTU83" s="248" t="str">
        <f t="shared" si="98"/>
        <v/>
      </c>
      <c r="HTV83" s="248" t="str">
        <f t="shared" si="98"/>
        <v/>
      </c>
      <c r="HTW83" s="248" t="str">
        <f t="shared" si="98"/>
        <v/>
      </c>
      <c r="HTX83" s="248" t="str">
        <f t="shared" si="98"/>
        <v/>
      </c>
      <c r="HTY83" s="248" t="str">
        <f t="shared" si="98"/>
        <v/>
      </c>
      <c r="HTZ83" s="248" t="str">
        <f t="shared" si="98"/>
        <v/>
      </c>
      <c r="HUA83" s="248" t="str">
        <f t="shared" si="98"/>
        <v/>
      </c>
      <c r="HUB83" s="248" t="str">
        <f t="shared" si="98"/>
        <v/>
      </c>
      <c r="HUC83" s="248" t="str">
        <f t="shared" si="98"/>
        <v/>
      </c>
      <c r="HUD83" s="248" t="str">
        <f t="shared" si="98"/>
        <v/>
      </c>
      <c r="HUE83" s="248" t="str">
        <f t="shared" si="98"/>
        <v/>
      </c>
      <c r="HUF83" s="248" t="str">
        <f t="shared" si="98"/>
        <v/>
      </c>
      <c r="HUG83" s="248" t="str">
        <f t="shared" si="98"/>
        <v/>
      </c>
      <c r="HUH83" s="248" t="str">
        <f t="shared" si="98"/>
        <v/>
      </c>
      <c r="HUI83" s="248" t="str">
        <f t="shared" si="98"/>
        <v/>
      </c>
      <c r="HUJ83" s="248" t="str">
        <f t="shared" si="98"/>
        <v/>
      </c>
      <c r="HUK83" s="248" t="str">
        <f t="shared" si="98"/>
        <v/>
      </c>
      <c r="HUL83" s="248" t="str">
        <f t="shared" si="98"/>
        <v/>
      </c>
      <c r="HUM83" s="248" t="str">
        <f t="shared" si="98"/>
        <v/>
      </c>
      <c r="HUN83" s="248" t="str">
        <f t="shared" si="98"/>
        <v/>
      </c>
      <c r="HUO83" s="248" t="str">
        <f t="shared" si="98"/>
        <v/>
      </c>
      <c r="HUP83" s="248" t="str">
        <f t="shared" si="98"/>
        <v/>
      </c>
      <c r="HUQ83" s="248" t="str">
        <f t="shared" si="98"/>
        <v/>
      </c>
      <c r="HUR83" s="248" t="str">
        <f t="shared" si="98"/>
        <v/>
      </c>
      <c r="HUS83" s="248" t="str">
        <f t="shared" si="98"/>
        <v/>
      </c>
      <c r="HUT83" s="248" t="str">
        <f t="shared" si="98"/>
        <v/>
      </c>
      <c r="HUU83" s="248" t="str">
        <f t="shared" si="98"/>
        <v/>
      </c>
      <c r="HUV83" s="248" t="str">
        <f t="shared" si="98"/>
        <v/>
      </c>
      <c r="HUW83" s="248" t="str">
        <f t="shared" si="98"/>
        <v/>
      </c>
      <c r="HUX83" s="248" t="str">
        <f t="shared" si="98"/>
        <v/>
      </c>
      <c r="HUY83" s="248" t="str">
        <f t="shared" si="98"/>
        <v/>
      </c>
      <c r="HUZ83" s="248" t="str">
        <f t="shared" si="98"/>
        <v/>
      </c>
      <c r="HVA83" s="248" t="str">
        <f t="shared" si="98"/>
        <v/>
      </c>
      <c r="HVB83" s="248" t="str">
        <f t="shared" si="98"/>
        <v/>
      </c>
      <c r="HVC83" s="248" t="str">
        <f t="shared" ref="HVC83:HXN83" si="99">UPPER(HVA83)</f>
        <v/>
      </c>
      <c r="HVD83" s="248" t="str">
        <f t="shared" si="99"/>
        <v/>
      </c>
      <c r="HVE83" s="248" t="str">
        <f t="shared" si="99"/>
        <v/>
      </c>
      <c r="HVF83" s="248" t="str">
        <f t="shared" si="99"/>
        <v/>
      </c>
      <c r="HVG83" s="248" t="str">
        <f t="shared" si="99"/>
        <v/>
      </c>
      <c r="HVH83" s="248" t="str">
        <f t="shared" si="99"/>
        <v/>
      </c>
      <c r="HVI83" s="248" t="str">
        <f t="shared" si="99"/>
        <v/>
      </c>
      <c r="HVJ83" s="248" t="str">
        <f t="shared" si="99"/>
        <v/>
      </c>
      <c r="HVK83" s="248" t="str">
        <f t="shared" si="99"/>
        <v/>
      </c>
      <c r="HVL83" s="248" t="str">
        <f t="shared" si="99"/>
        <v/>
      </c>
      <c r="HVM83" s="248" t="str">
        <f t="shared" si="99"/>
        <v/>
      </c>
      <c r="HVN83" s="248" t="str">
        <f t="shared" si="99"/>
        <v/>
      </c>
      <c r="HVO83" s="248" t="str">
        <f t="shared" si="99"/>
        <v/>
      </c>
      <c r="HVP83" s="248" t="str">
        <f t="shared" si="99"/>
        <v/>
      </c>
      <c r="HVQ83" s="248" t="str">
        <f t="shared" si="99"/>
        <v/>
      </c>
      <c r="HVR83" s="248" t="str">
        <f t="shared" si="99"/>
        <v/>
      </c>
      <c r="HVS83" s="248" t="str">
        <f t="shared" si="99"/>
        <v/>
      </c>
      <c r="HVT83" s="248" t="str">
        <f t="shared" si="99"/>
        <v/>
      </c>
      <c r="HVU83" s="248" t="str">
        <f t="shared" si="99"/>
        <v/>
      </c>
      <c r="HVV83" s="248" t="str">
        <f t="shared" si="99"/>
        <v/>
      </c>
      <c r="HVW83" s="248" t="str">
        <f t="shared" si="99"/>
        <v/>
      </c>
      <c r="HVX83" s="248" t="str">
        <f t="shared" si="99"/>
        <v/>
      </c>
      <c r="HVY83" s="248" t="str">
        <f t="shared" si="99"/>
        <v/>
      </c>
      <c r="HVZ83" s="248" t="str">
        <f t="shared" si="99"/>
        <v/>
      </c>
      <c r="HWA83" s="248" t="str">
        <f t="shared" si="99"/>
        <v/>
      </c>
      <c r="HWB83" s="248" t="str">
        <f t="shared" si="99"/>
        <v/>
      </c>
      <c r="HWC83" s="248" t="str">
        <f t="shared" si="99"/>
        <v/>
      </c>
      <c r="HWD83" s="248" t="str">
        <f t="shared" si="99"/>
        <v/>
      </c>
      <c r="HWE83" s="248" t="str">
        <f t="shared" si="99"/>
        <v/>
      </c>
      <c r="HWF83" s="248" t="str">
        <f t="shared" si="99"/>
        <v/>
      </c>
      <c r="HWG83" s="248" t="str">
        <f t="shared" si="99"/>
        <v/>
      </c>
      <c r="HWH83" s="248" t="str">
        <f t="shared" si="99"/>
        <v/>
      </c>
      <c r="HWI83" s="248" t="str">
        <f t="shared" si="99"/>
        <v/>
      </c>
      <c r="HWJ83" s="248" t="str">
        <f t="shared" si="99"/>
        <v/>
      </c>
      <c r="HWK83" s="248" t="str">
        <f t="shared" si="99"/>
        <v/>
      </c>
      <c r="HWL83" s="248" t="str">
        <f t="shared" si="99"/>
        <v/>
      </c>
      <c r="HWM83" s="248" t="str">
        <f t="shared" si="99"/>
        <v/>
      </c>
      <c r="HWN83" s="248" t="str">
        <f t="shared" si="99"/>
        <v/>
      </c>
      <c r="HWO83" s="248" t="str">
        <f t="shared" si="99"/>
        <v/>
      </c>
      <c r="HWP83" s="248" t="str">
        <f t="shared" si="99"/>
        <v/>
      </c>
      <c r="HWQ83" s="248" t="str">
        <f t="shared" si="99"/>
        <v/>
      </c>
      <c r="HWR83" s="248" t="str">
        <f t="shared" si="99"/>
        <v/>
      </c>
      <c r="HWS83" s="248" t="str">
        <f t="shared" si="99"/>
        <v/>
      </c>
      <c r="HWT83" s="248" t="str">
        <f t="shared" si="99"/>
        <v/>
      </c>
      <c r="HWU83" s="248" t="str">
        <f t="shared" si="99"/>
        <v/>
      </c>
      <c r="HWV83" s="248" t="str">
        <f t="shared" si="99"/>
        <v/>
      </c>
      <c r="HWW83" s="248" t="str">
        <f t="shared" si="99"/>
        <v/>
      </c>
      <c r="HWX83" s="248" t="str">
        <f t="shared" si="99"/>
        <v/>
      </c>
      <c r="HWY83" s="248" t="str">
        <f t="shared" si="99"/>
        <v/>
      </c>
      <c r="HWZ83" s="248" t="str">
        <f t="shared" si="99"/>
        <v/>
      </c>
      <c r="HXA83" s="248" t="str">
        <f t="shared" si="99"/>
        <v/>
      </c>
      <c r="HXB83" s="248" t="str">
        <f t="shared" si="99"/>
        <v/>
      </c>
      <c r="HXC83" s="248" t="str">
        <f t="shared" si="99"/>
        <v/>
      </c>
      <c r="HXD83" s="248" t="str">
        <f t="shared" si="99"/>
        <v/>
      </c>
      <c r="HXE83" s="248" t="str">
        <f t="shared" si="99"/>
        <v/>
      </c>
      <c r="HXF83" s="248" t="str">
        <f t="shared" si="99"/>
        <v/>
      </c>
      <c r="HXG83" s="248" t="str">
        <f t="shared" si="99"/>
        <v/>
      </c>
      <c r="HXH83" s="248" t="str">
        <f t="shared" si="99"/>
        <v/>
      </c>
      <c r="HXI83" s="248" t="str">
        <f t="shared" si="99"/>
        <v/>
      </c>
      <c r="HXJ83" s="248" t="str">
        <f t="shared" si="99"/>
        <v/>
      </c>
      <c r="HXK83" s="248" t="str">
        <f t="shared" si="99"/>
        <v/>
      </c>
      <c r="HXL83" s="248" t="str">
        <f t="shared" si="99"/>
        <v/>
      </c>
      <c r="HXM83" s="248" t="str">
        <f t="shared" si="99"/>
        <v/>
      </c>
      <c r="HXN83" s="248" t="str">
        <f t="shared" si="99"/>
        <v/>
      </c>
      <c r="HXO83" s="248" t="str">
        <f t="shared" ref="HXO83:HZZ83" si="100">UPPER(HXM83)</f>
        <v/>
      </c>
      <c r="HXP83" s="248" t="str">
        <f t="shared" si="100"/>
        <v/>
      </c>
      <c r="HXQ83" s="248" t="str">
        <f t="shared" si="100"/>
        <v/>
      </c>
      <c r="HXR83" s="248" t="str">
        <f t="shared" si="100"/>
        <v/>
      </c>
      <c r="HXS83" s="248" t="str">
        <f t="shared" si="100"/>
        <v/>
      </c>
      <c r="HXT83" s="248" t="str">
        <f t="shared" si="100"/>
        <v/>
      </c>
      <c r="HXU83" s="248" t="str">
        <f t="shared" si="100"/>
        <v/>
      </c>
      <c r="HXV83" s="248" t="str">
        <f t="shared" si="100"/>
        <v/>
      </c>
      <c r="HXW83" s="248" t="str">
        <f t="shared" si="100"/>
        <v/>
      </c>
      <c r="HXX83" s="248" t="str">
        <f t="shared" si="100"/>
        <v/>
      </c>
      <c r="HXY83" s="248" t="str">
        <f t="shared" si="100"/>
        <v/>
      </c>
      <c r="HXZ83" s="248" t="str">
        <f t="shared" si="100"/>
        <v/>
      </c>
      <c r="HYA83" s="248" t="str">
        <f t="shared" si="100"/>
        <v/>
      </c>
      <c r="HYB83" s="248" t="str">
        <f t="shared" si="100"/>
        <v/>
      </c>
      <c r="HYC83" s="248" t="str">
        <f t="shared" si="100"/>
        <v/>
      </c>
      <c r="HYD83" s="248" t="str">
        <f t="shared" si="100"/>
        <v/>
      </c>
      <c r="HYE83" s="248" t="str">
        <f t="shared" si="100"/>
        <v/>
      </c>
      <c r="HYF83" s="248" t="str">
        <f t="shared" si="100"/>
        <v/>
      </c>
      <c r="HYG83" s="248" t="str">
        <f t="shared" si="100"/>
        <v/>
      </c>
      <c r="HYH83" s="248" t="str">
        <f t="shared" si="100"/>
        <v/>
      </c>
      <c r="HYI83" s="248" t="str">
        <f t="shared" si="100"/>
        <v/>
      </c>
      <c r="HYJ83" s="248" t="str">
        <f t="shared" si="100"/>
        <v/>
      </c>
      <c r="HYK83" s="248" t="str">
        <f t="shared" si="100"/>
        <v/>
      </c>
      <c r="HYL83" s="248" t="str">
        <f t="shared" si="100"/>
        <v/>
      </c>
      <c r="HYM83" s="248" t="str">
        <f t="shared" si="100"/>
        <v/>
      </c>
      <c r="HYN83" s="248" t="str">
        <f t="shared" si="100"/>
        <v/>
      </c>
      <c r="HYO83" s="248" t="str">
        <f t="shared" si="100"/>
        <v/>
      </c>
      <c r="HYP83" s="248" t="str">
        <f t="shared" si="100"/>
        <v/>
      </c>
      <c r="HYQ83" s="248" t="str">
        <f t="shared" si="100"/>
        <v/>
      </c>
      <c r="HYR83" s="248" t="str">
        <f t="shared" si="100"/>
        <v/>
      </c>
      <c r="HYS83" s="248" t="str">
        <f t="shared" si="100"/>
        <v/>
      </c>
      <c r="HYT83" s="248" t="str">
        <f t="shared" si="100"/>
        <v/>
      </c>
      <c r="HYU83" s="248" t="str">
        <f t="shared" si="100"/>
        <v/>
      </c>
      <c r="HYV83" s="248" t="str">
        <f t="shared" si="100"/>
        <v/>
      </c>
      <c r="HYW83" s="248" t="str">
        <f t="shared" si="100"/>
        <v/>
      </c>
      <c r="HYX83" s="248" t="str">
        <f t="shared" si="100"/>
        <v/>
      </c>
      <c r="HYY83" s="248" t="str">
        <f t="shared" si="100"/>
        <v/>
      </c>
      <c r="HYZ83" s="248" t="str">
        <f t="shared" si="100"/>
        <v/>
      </c>
      <c r="HZA83" s="248" t="str">
        <f t="shared" si="100"/>
        <v/>
      </c>
      <c r="HZB83" s="248" t="str">
        <f t="shared" si="100"/>
        <v/>
      </c>
      <c r="HZC83" s="248" t="str">
        <f t="shared" si="100"/>
        <v/>
      </c>
      <c r="HZD83" s="248" t="str">
        <f t="shared" si="100"/>
        <v/>
      </c>
      <c r="HZE83" s="248" t="str">
        <f t="shared" si="100"/>
        <v/>
      </c>
      <c r="HZF83" s="248" t="str">
        <f t="shared" si="100"/>
        <v/>
      </c>
      <c r="HZG83" s="248" t="str">
        <f t="shared" si="100"/>
        <v/>
      </c>
      <c r="HZH83" s="248" t="str">
        <f t="shared" si="100"/>
        <v/>
      </c>
      <c r="HZI83" s="248" t="str">
        <f t="shared" si="100"/>
        <v/>
      </c>
      <c r="HZJ83" s="248" t="str">
        <f t="shared" si="100"/>
        <v/>
      </c>
      <c r="HZK83" s="248" t="str">
        <f t="shared" si="100"/>
        <v/>
      </c>
      <c r="HZL83" s="248" t="str">
        <f t="shared" si="100"/>
        <v/>
      </c>
      <c r="HZM83" s="248" t="str">
        <f t="shared" si="100"/>
        <v/>
      </c>
      <c r="HZN83" s="248" t="str">
        <f t="shared" si="100"/>
        <v/>
      </c>
      <c r="HZO83" s="248" t="str">
        <f t="shared" si="100"/>
        <v/>
      </c>
      <c r="HZP83" s="248" t="str">
        <f t="shared" si="100"/>
        <v/>
      </c>
      <c r="HZQ83" s="248" t="str">
        <f t="shared" si="100"/>
        <v/>
      </c>
      <c r="HZR83" s="248" t="str">
        <f t="shared" si="100"/>
        <v/>
      </c>
      <c r="HZS83" s="248" t="str">
        <f t="shared" si="100"/>
        <v/>
      </c>
      <c r="HZT83" s="248" t="str">
        <f t="shared" si="100"/>
        <v/>
      </c>
      <c r="HZU83" s="248" t="str">
        <f t="shared" si="100"/>
        <v/>
      </c>
      <c r="HZV83" s="248" t="str">
        <f t="shared" si="100"/>
        <v/>
      </c>
      <c r="HZW83" s="248" t="str">
        <f t="shared" si="100"/>
        <v/>
      </c>
      <c r="HZX83" s="248" t="str">
        <f t="shared" si="100"/>
        <v/>
      </c>
      <c r="HZY83" s="248" t="str">
        <f t="shared" si="100"/>
        <v/>
      </c>
      <c r="HZZ83" s="248" t="str">
        <f t="shared" si="100"/>
        <v/>
      </c>
      <c r="IAA83" s="248" t="str">
        <f t="shared" ref="IAA83:ICL83" si="101">UPPER(HZY83)</f>
        <v/>
      </c>
      <c r="IAB83" s="248" t="str">
        <f t="shared" si="101"/>
        <v/>
      </c>
      <c r="IAC83" s="248" t="str">
        <f t="shared" si="101"/>
        <v/>
      </c>
      <c r="IAD83" s="248" t="str">
        <f t="shared" si="101"/>
        <v/>
      </c>
      <c r="IAE83" s="248" t="str">
        <f t="shared" si="101"/>
        <v/>
      </c>
      <c r="IAF83" s="248" t="str">
        <f t="shared" si="101"/>
        <v/>
      </c>
      <c r="IAG83" s="248" t="str">
        <f t="shared" si="101"/>
        <v/>
      </c>
      <c r="IAH83" s="248" t="str">
        <f t="shared" si="101"/>
        <v/>
      </c>
      <c r="IAI83" s="248" t="str">
        <f t="shared" si="101"/>
        <v/>
      </c>
      <c r="IAJ83" s="248" t="str">
        <f t="shared" si="101"/>
        <v/>
      </c>
      <c r="IAK83" s="248" t="str">
        <f t="shared" si="101"/>
        <v/>
      </c>
      <c r="IAL83" s="248" t="str">
        <f t="shared" si="101"/>
        <v/>
      </c>
      <c r="IAM83" s="248" t="str">
        <f t="shared" si="101"/>
        <v/>
      </c>
      <c r="IAN83" s="248" t="str">
        <f t="shared" si="101"/>
        <v/>
      </c>
      <c r="IAO83" s="248" t="str">
        <f t="shared" si="101"/>
        <v/>
      </c>
      <c r="IAP83" s="248" t="str">
        <f t="shared" si="101"/>
        <v/>
      </c>
      <c r="IAQ83" s="248" t="str">
        <f t="shared" si="101"/>
        <v/>
      </c>
      <c r="IAR83" s="248" t="str">
        <f t="shared" si="101"/>
        <v/>
      </c>
      <c r="IAS83" s="248" t="str">
        <f t="shared" si="101"/>
        <v/>
      </c>
      <c r="IAT83" s="248" t="str">
        <f t="shared" si="101"/>
        <v/>
      </c>
      <c r="IAU83" s="248" t="str">
        <f t="shared" si="101"/>
        <v/>
      </c>
      <c r="IAV83" s="248" t="str">
        <f t="shared" si="101"/>
        <v/>
      </c>
      <c r="IAW83" s="248" t="str">
        <f t="shared" si="101"/>
        <v/>
      </c>
      <c r="IAX83" s="248" t="str">
        <f t="shared" si="101"/>
        <v/>
      </c>
      <c r="IAY83" s="248" t="str">
        <f t="shared" si="101"/>
        <v/>
      </c>
      <c r="IAZ83" s="248" t="str">
        <f t="shared" si="101"/>
        <v/>
      </c>
      <c r="IBA83" s="248" t="str">
        <f t="shared" si="101"/>
        <v/>
      </c>
      <c r="IBB83" s="248" t="str">
        <f t="shared" si="101"/>
        <v/>
      </c>
      <c r="IBC83" s="248" t="str">
        <f t="shared" si="101"/>
        <v/>
      </c>
      <c r="IBD83" s="248" t="str">
        <f t="shared" si="101"/>
        <v/>
      </c>
      <c r="IBE83" s="248" t="str">
        <f t="shared" si="101"/>
        <v/>
      </c>
      <c r="IBF83" s="248" t="str">
        <f t="shared" si="101"/>
        <v/>
      </c>
      <c r="IBG83" s="248" t="str">
        <f t="shared" si="101"/>
        <v/>
      </c>
      <c r="IBH83" s="248" t="str">
        <f t="shared" si="101"/>
        <v/>
      </c>
      <c r="IBI83" s="248" t="str">
        <f t="shared" si="101"/>
        <v/>
      </c>
      <c r="IBJ83" s="248" t="str">
        <f t="shared" si="101"/>
        <v/>
      </c>
      <c r="IBK83" s="248" t="str">
        <f t="shared" si="101"/>
        <v/>
      </c>
      <c r="IBL83" s="248" t="str">
        <f t="shared" si="101"/>
        <v/>
      </c>
      <c r="IBM83" s="248" t="str">
        <f t="shared" si="101"/>
        <v/>
      </c>
      <c r="IBN83" s="248" t="str">
        <f t="shared" si="101"/>
        <v/>
      </c>
      <c r="IBO83" s="248" t="str">
        <f t="shared" si="101"/>
        <v/>
      </c>
      <c r="IBP83" s="248" t="str">
        <f t="shared" si="101"/>
        <v/>
      </c>
      <c r="IBQ83" s="248" t="str">
        <f t="shared" si="101"/>
        <v/>
      </c>
      <c r="IBR83" s="248" t="str">
        <f t="shared" si="101"/>
        <v/>
      </c>
      <c r="IBS83" s="248" t="str">
        <f t="shared" si="101"/>
        <v/>
      </c>
      <c r="IBT83" s="248" t="str">
        <f t="shared" si="101"/>
        <v/>
      </c>
      <c r="IBU83" s="248" t="str">
        <f t="shared" si="101"/>
        <v/>
      </c>
      <c r="IBV83" s="248" t="str">
        <f t="shared" si="101"/>
        <v/>
      </c>
      <c r="IBW83" s="248" t="str">
        <f t="shared" si="101"/>
        <v/>
      </c>
      <c r="IBX83" s="248" t="str">
        <f t="shared" si="101"/>
        <v/>
      </c>
      <c r="IBY83" s="248" t="str">
        <f t="shared" si="101"/>
        <v/>
      </c>
      <c r="IBZ83" s="248" t="str">
        <f t="shared" si="101"/>
        <v/>
      </c>
      <c r="ICA83" s="248" t="str">
        <f t="shared" si="101"/>
        <v/>
      </c>
      <c r="ICB83" s="248" t="str">
        <f t="shared" si="101"/>
        <v/>
      </c>
      <c r="ICC83" s="248" t="str">
        <f t="shared" si="101"/>
        <v/>
      </c>
      <c r="ICD83" s="248" t="str">
        <f t="shared" si="101"/>
        <v/>
      </c>
      <c r="ICE83" s="248" t="str">
        <f t="shared" si="101"/>
        <v/>
      </c>
      <c r="ICF83" s="248" t="str">
        <f t="shared" si="101"/>
        <v/>
      </c>
      <c r="ICG83" s="248" t="str">
        <f t="shared" si="101"/>
        <v/>
      </c>
      <c r="ICH83" s="248" t="str">
        <f t="shared" si="101"/>
        <v/>
      </c>
      <c r="ICI83" s="248" t="str">
        <f t="shared" si="101"/>
        <v/>
      </c>
      <c r="ICJ83" s="248" t="str">
        <f t="shared" si="101"/>
        <v/>
      </c>
      <c r="ICK83" s="248" t="str">
        <f t="shared" si="101"/>
        <v/>
      </c>
      <c r="ICL83" s="248" t="str">
        <f t="shared" si="101"/>
        <v/>
      </c>
      <c r="ICM83" s="248" t="str">
        <f t="shared" ref="ICM83:IEX83" si="102">UPPER(ICK83)</f>
        <v/>
      </c>
      <c r="ICN83" s="248" t="str">
        <f t="shared" si="102"/>
        <v/>
      </c>
      <c r="ICO83" s="248" t="str">
        <f t="shared" si="102"/>
        <v/>
      </c>
      <c r="ICP83" s="248" t="str">
        <f t="shared" si="102"/>
        <v/>
      </c>
      <c r="ICQ83" s="248" t="str">
        <f t="shared" si="102"/>
        <v/>
      </c>
      <c r="ICR83" s="248" t="str">
        <f t="shared" si="102"/>
        <v/>
      </c>
      <c r="ICS83" s="248" t="str">
        <f t="shared" si="102"/>
        <v/>
      </c>
      <c r="ICT83" s="248" t="str">
        <f t="shared" si="102"/>
        <v/>
      </c>
      <c r="ICU83" s="248" t="str">
        <f t="shared" si="102"/>
        <v/>
      </c>
      <c r="ICV83" s="248" t="str">
        <f t="shared" si="102"/>
        <v/>
      </c>
      <c r="ICW83" s="248" t="str">
        <f t="shared" si="102"/>
        <v/>
      </c>
      <c r="ICX83" s="248" t="str">
        <f t="shared" si="102"/>
        <v/>
      </c>
      <c r="ICY83" s="248" t="str">
        <f t="shared" si="102"/>
        <v/>
      </c>
      <c r="ICZ83" s="248" t="str">
        <f t="shared" si="102"/>
        <v/>
      </c>
      <c r="IDA83" s="248" t="str">
        <f t="shared" si="102"/>
        <v/>
      </c>
      <c r="IDB83" s="248" t="str">
        <f t="shared" si="102"/>
        <v/>
      </c>
      <c r="IDC83" s="248" t="str">
        <f t="shared" si="102"/>
        <v/>
      </c>
      <c r="IDD83" s="248" t="str">
        <f t="shared" si="102"/>
        <v/>
      </c>
      <c r="IDE83" s="248" t="str">
        <f t="shared" si="102"/>
        <v/>
      </c>
      <c r="IDF83" s="248" t="str">
        <f t="shared" si="102"/>
        <v/>
      </c>
      <c r="IDG83" s="248" t="str">
        <f t="shared" si="102"/>
        <v/>
      </c>
      <c r="IDH83" s="248" t="str">
        <f t="shared" si="102"/>
        <v/>
      </c>
      <c r="IDI83" s="248" t="str">
        <f t="shared" si="102"/>
        <v/>
      </c>
      <c r="IDJ83" s="248" t="str">
        <f t="shared" si="102"/>
        <v/>
      </c>
      <c r="IDK83" s="248" t="str">
        <f t="shared" si="102"/>
        <v/>
      </c>
      <c r="IDL83" s="248" t="str">
        <f t="shared" si="102"/>
        <v/>
      </c>
      <c r="IDM83" s="248" t="str">
        <f t="shared" si="102"/>
        <v/>
      </c>
      <c r="IDN83" s="248" t="str">
        <f t="shared" si="102"/>
        <v/>
      </c>
      <c r="IDO83" s="248" t="str">
        <f t="shared" si="102"/>
        <v/>
      </c>
      <c r="IDP83" s="248" t="str">
        <f t="shared" si="102"/>
        <v/>
      </c>
      <c r="IDQ83" s="248" t="str">
        <f t="shared" si="102"/>
        <v/>
      </c>
      <c r="IDR83" s="248" t="str">
        <f t="shared" si="102"/>
        <v/>
      </c>
      <c r="IDS83" s="248" t="str">
        <f t="shared" si="102"/>
        <v/>
      </c>
      <c r="IDT83" s="248" t="str">
        <f t="shared" si="102"/>
        <v/>
      </c>
      <c r="IDU83" s="248" t="str">
        <f t="shared" si="102"/>
        <v/>
      </c>
      <c r="IDV83" s="248" t="str">
        <f t="shared" si="102"/>
        <v/>
      </c>
      <c r="IDW83" s="248" t="str">
        <f t="shared" si="102"/>
        <v/>
      </c>
      <c r="IDX83" s="248" t="str">
        <f t="shared" si="102"/>
        <v/>
      </c>
      <c r="IDY83" s="248" t="str">
        <f t="shared" si="102"/>
        <v/>
      </c>
      <c r="IDZ83" s="248" t="str">
        <f t="shared" si="102"/>
        <v/>
      </c>
      <c r="IEA83" s="248" t="str">
        <f t="shared" si="102"/>
        <v/>
      </c>
      <c r="IEB83" s="248" t="str">
        <f t="shared" si="102"/>
        <v/>
      </c>
      <c r="IEC83" s="248" t="str">
        <f t="shared" si="102"/>
        <v/>
      </c>
      <c r="IED83" s="248" t="str">
        <f t="shared" si="102"/>
        <v/>
      </c>
      <c r="IEE83" s="248" t="str">
        <f t="shared" si="102"/>
        <v/>
      </c>
      <c r="IEF83" s="248" t="str">
        <f t="shared" si="102"/>
        <v/>
      </c>
      <c r="IEG83" s="248" t="str">
        <f t="shared" si="102"/>
        <v/>
      </c>
      <c r="IEH83" s="248" t="str">
        <f t="shared" si="102"/>
        <v/>
      </c>
      <c r="IEI83" s="248" t="str">
        <f t="shared" si="102"/>
        <v/>
      </c>
      <c r="IEJ83" s="248" t="str">
        <f t="shared" si="102"/>
        <v/>
      </c>
      <c r="IEK83" s="248" t="str">
        <f t="shared" si="102"/>
        <v/>
      </c>
      <c r="IEL83" s="248" t="str">
        <f t="shared" si="102"/>
        <v/>
      </c>
      <c r="IEM83" s="248" t="str">
        <f t="shared" si="102"/>
        <v/>
      </c>
      <c r="IEN83" s="248" t="str">
        <f t="shared" si="102"/>
        <v/>
      </c>
      <c r="IEO83" s="248" t="str">
        <f t="shared" si="102"/>
        <v/>
      </c>
      <c r="IEP83" s="248" t="str">
        <f t="shared" si="102"/>
        <v/>
      </c>
      <c r="IEQ83" s="248" t="str">
        <f t="shared" si="102"/>
        <v/>
      </c>
      <c r="IER83" s="248" t="str">
        <f t="shared" si="102"/>
        <v/>
      </c>
      <c r="IES83" s="248" t="str">
        <f t="shared" si="102"/>
        <v/>
      </c>
      <c r="IET83" s="248" t="str">
        <f t="shared" si="102"/>
        <v/>
      </c>
      <c r="IEU83" s="248" t="str">
        <f t="shared" si="102"/>
        <v/>
      </c>
      <c r="IEV83" s="248" t="str">
        <f t="shared" si="102"/>
        <v/>
      </c>
      <c r="IEW83" s="248" t="str">
        <f t="shared" si="102"/>
        <v/>
      </c>
      <c r="IEX83" s="248" t="str">
        <f t="shared" si="102"/>
        <v/>
      </c>
      <c r="IEY83" s="248" t="str">
        <f t="shared" ref="IEY83:IHJ83" si="103">UPPER(IEW83)</f>
        <v/>
      </c>
      <c r="IEZ83" s="248" t="str">
        <f t="shared" si="103"/>
        <v/>
      </c>
      <c r="IFA83" s="248" t="str">
        <f t="shared" si="103"/>
        <v/>
      </c>
      <c r="IFB83" s="248" t="str">
        <f t="shared" si="103"/>
        <v/>
      </c>
      <c r="IFC83" s="248" t="str">
        <f t="shared" si="103"/>
        <v/>
      </c>
      <c r="IFD83" s="248" t="str">
        <f t="shared" si="103"/>
        <v/>
      </c>
      <c r="IFE83" s="248" t="str">
        <f t="shared" si="103"/>
        <v/>
      </c>
      <c r="IFF83" s="248" t="str">
        <f t="shared" si="103"/>
        <v/>
      </c>
      <c r="IFG83" s="248" t="str">
        <f t="shared" si="103"/>
        <v/>
      </c>
      <c r="IFH83" s="248" t="str">
        <f t="shared" si="103"/>
        <v/>
      </c>
      <c r="IFI83" s="248" t="str">
        <f t="shared" si="103"/>
        <v/>
      </c>
      <c r="IFJ83" s="248" t="str">
        <f t="shared" si="103"/>
        <v/>
      </c>
      <c r="IFK83" s="248" t="str">
        <f t="shared" si="103"/>
        <v/>
      </c>
      <c r="IFL83" s="248" t="str">
        <f t="shared" si="103"/>
        <v/>
      </c>
      <c r="IFM83" s="248" t="str">
        <f t="shared" si="103"/>
        <v/>
      </c>
      <c r="IFN83" s="248" t="str">
        <f t="shared" si="103"/>
        <v/>
      </c>
      <c r="IFO83" s="248" t="str">
        <f t="shared" si="103"/>
        <v/>
      </c>
      <c r="IFP83" s="248" t="str">
        <f t="shared" si="103"/>
        <v/>
      </c>
      <c r="IFQ83" s="248" t="str">
        <f t="shared" si="103"/>
        <v/>
      </c>
      <c r="IFR83" s="248" t="str">
        <f t="shared" si="103"/>
        <v/>
      </c>
      <c r="IFS83" s="248" t="str">
        <f t="shared" si="103"/>
        <v/>
      </c>
      <c r="IFT83" s="248" t="str">
        <f t="shared" si="103"/>
        <v/>
      </c>
      <c r="IFU83" s="248" t="str">
        <f t="shared" si="103"/>
        <v/>
      </c>
      <c r="IFV83" s="248" t="str">
        <f t="shared" si="103"/>
        <v/>
      </c>
      <c r="IFW83" s="248" t="str">
        <f t="shared" si="103"/>
        <v/>
      </c>
      <c r="IFX83" s="248" t="str">
        <f t="shared" si="103"/>
        <v/>
      </c>
      <c r="IFY83" s="248" t="str">
        <f t="shared" si="103"/>
        <v/>
      </c>
      <c r="IFZ83" s="248" t="str">
        <f t="shared" si="103"/>
        <v/>
      </c>
      <c r="IGA83" s="248" t="str">
        <f t="shared" si="103"/>
        <v/>
      </c>
      <c r="IGB83" s="248" t="str">
        <f t="shared" si="103"/>
        <v/>
      </c>
      <c r="IGC83" s="248" t="str">
        <f t="shared" si="103"/>
        <v/>
      </c>
      <c r="IGD83" s="248" t="str">
        <f t="shared" si="103"/>
        <v/>
      </c>
      <c r="IGE83" s="248" t="str">
        <f t="shared" si="103"/>
        <v/>
      </c>
      <c r="IGF83" s="248" t="str">
        <f t="shared" si="103"/>
        <v/>
      </c>
      <c r="IGG83" s="248" t="str">
        <f t="shared" si="103"/>
        <v/>
      </c>
      <c r="IGH83" s="248" t="str">
        <f t="shared" si="103"/>
        <v/>
      </c>
      <c r="IGI83" s="248" t="str">
        <f t="shared" si="103"/>
        <v/>
      </c>
      <c r="IGJ83" s="248" t="str">
        <f t="shared" si="103"/>
        <v/>
      </c>
      <c r="IGK83" s="248" t="str">
        <f t="shared" si="103"/>
        <v/>
      </c>
      <c r="IGL83" s="248" t="str">
        <f t="shared" si="103"/>
        <v/>
      </c>
      <c r="IGM83" s="248" t="str">
        <f t="shared" si="103"/>
        <v/>
      </c>
      <c r="IGN83" s="248" t="str">
        <f t="shared" si="103"/>
        <v/>
      </c>
      <c r="IGO83" s="248" t="str">
        <f t="shared" si="103"/>
        <v/>
      </c>
      <c r="IGP83" s="248" t="str">
        <f t="shared" si="103"/>
        <v/>
      </c>
      <c r="IGQ83" s="248" t="str">
        <f t="shared" si="103"/>
        <v/>
      </c>
      <c r="IGR83" s="248" t="str">
        <f t="shared" si="103"/>
        <v/>
      </c>
      <c r="IGS83" s="248" t="str">
        <f t="shared" si="103"/>
        <v/>
      </c>
      <c r="IGT83" s="248" t="str">
        <f t="shared" si="103"/>
        <v/>
      </c>
      <c r="IGU83" s="248" t="str">
        <f t="shared" si="103"/>
        <v/>
      </c>
      <c r="IGV83" s="248" t="str">
        <f t="shared" si="103"/>
        <v/>
      </c>
      <c r="IGW83" s="248" t="str">
        <f t="shared" si="103"/>
        <v/>
      </c>
      <c r="IGX83" s="248" t="str">
        <f t="shared" si="103"/>
        <v/>
      </c>
      <c r="IGY83" s="248" t="str">
        <f t="shared" si="103"/>
        <v/>
      </c>
      <c r="IGZ83" s="248" t="str">
        <f t="shared" si="103"/>
        <v/>
      </c>
      <c r="IHA83" s="248" t="str">
        <f t="shared" si="103"/>
        <v/>
      </c>
      <c r="IHB83" s="248" t="str">
        <f t="shared" si="103"/>
        <v/>
      </c>
      <c r="IHC83" s="248" t="str">
        <f t="shared" si="103"/>
        <v/>
      </c>
      <c r="IHD83" s="248" t="str">
        <f t="shared" si="103"/>
        <v/>
      </c>
      <c r="IHE83" s="248" t="str">
        <f t="shared" si="103"/>
        <v/>
      </c>
      <c r="IHF83" s="248" t="str">
        <f t="shared" si="103"/>
        <v/>
      </c>
      <c r="IHG83" s="248" t="str">
        <f t="shared" si="103"/>
        <v/>
      </c>
      <c r="IHH83" s="248" t="str">
        <f t="shared" si="103"/>
        <v/>
      </c>
      <c r="IHI83" s="248" t="str">
        <f t="shared" si="103"/>
        <v/>
      </c>
      <c r="IHJ83" s="248" t="str">
        <f t="shared" si="103"/>
        <v/>
      </c>
      <c r="IHK83" s="248" t="str">
        <f t="shared" ref="IHK83:IJV83" si="104">UPPER(IHI83)</f>
        <v/>
      </c>
      <c r="IHL83" s="248" t="str">
        <f t="shared" si="104"/>
        <v/>
      </c>
      <c r="IHM83" s="248" t="str">
        <f t="shared" si="104"/>
        <v/>
      </c>
      <c r="IHN83" s="248" t="str">
        <f t="shared" si="104"/>
        <v/>
      </c>
      <c r="IHO83" s="248" t="str">
        <f t="shared" si="104"/>
        <v/>
      </c>
      <c r="IHP83" s="248" t="str">
        <f t="shared" si="104"/>
        <v/>
      </c>
      <c r="IHQ83" s="248" t="str">
        <f t="shared" si="104"/>
        <v/>
      </c>
      <c r="IHR83" s="248" t="str">
        <f t="shared" si="104"/>
        <v/>
      </c>
      <c r="IHS83" s="248" t="str">
        <f t="shared" si="104"/>
        <v/>
      </c>
      <c r="IHT83" s="248" t="str">
        <f t="shared" si="104"/>
        <v/>
      </c>
      <c r="IHU83" s="248" t="str">
        <f t="shared" si="104"/>
        <v/>
      </c>
      <c r="IHV83" s="248" t="str">
        <f t="shared" si="104"/>
        <v/>
      </c>
      <c r="IHW83" s="248" t="str">
        <f t="shared" si="104"/>
        <v/>
      </c>
      <c r="IHX83" s="248" t="str">
        <f t="shared" si="104"/>
        <v/>
      </c>
      <c r="IHY83" s="248" t="str">
        <f t="shared" si="104"/>
        <v/>
      </c>
      <c r="IHZ83" s="248" t="str">
        <f t="shared" si="104"/>
        <v/>
      </c>
      <c r="IIA83" s="248" t="str">
        <f t="shared" si="104"/>
        <v/>
      </c>
      <c r="IIB83" s="248" t="str">
        <f t="shared" si="104"/>
        <v/>
      </c>
      <c r="IIC83" s="248" t="str">
        <f t="shared" si="104"/>
        <v/>
      </c>
      <c r="IID83" s="248" t="str">
        <f t="shared" si="104"/>
        <v/>
      </c>
      <c r="IIE83" s="248" t="str">
        <f t="shared" si="104"/>
        <v/>
      </c>
      <c r="IIF83" s="248" t="str">
        <f t="shared" si="104"/>
        <v/>
      </c>
      <c r="IIG83" s="248" t="str">
        <f t="shared" si="104"/>
        <v/>
      </c>
      <c r="IIH83" s="248" t="str">
        <f t="shared" si="104"/>
        <v/>
      </c>
      <c r="III83" s="248" t="str">
        <f t="shared" si="104"/>
        <v/>
      </c>
      <c r="IIJ83" s="248" t="str">
        <f t="shared" si="104"/>
        <v/>
      </c>
      <c r="IIK83" s="248" t="str">
        <f t="shared" si="104"/>
        <v/>
      </c>
      <c r="IIL83" s="248" t="str">
        <f t="shared" si="104"/>
        <v/>
      </c>
      <c r="IIM83" s="248" t="str">
        <f t="shared" si="104"/>
        <v/>
      </c>
      <c r="IIN83" s="248" t="str">
        <f t="shared" si="104"/>
        <v/>
      </c>
      <c r="IIO83" s="248" t="str">
        <f t="shared" si="104"/>
        <v/>
      </c>
      <c r="IIP83" s="248" t="str">
        <f t="shared" si="104"/>
        <v/>
      </c>
      <c r="IIQ83" s="248" t="str">
        <f t="shared" si="104"/>
        <v/>
      </c>
      <c r="IIR83" s="248" t="str">
        <f t="shared" si="104"/>
        <v/>
      </c>
      <c r="IIS83" s="248" t="str">
        <f t="shared" si="104"/>
        <v/>
      </c>
      <c r="IIT83" s="248" t="str">
        <f t="shared" si="104"/>
        <v/>
      </c>
      <c r="IIU83" s="248" t="str">
        <f t="shared" si="104"/>
        <v/>
      </c>
      <c r="IIV83" s="248" t="str">
        <f t="shared" si="104"/>
        <v/>
      </c>
      <c r="IIW83" s="248" t="str">
        <f t="shared" si="104"/>
        <v/>
      </c>
      <c r="IIX83" s="248" t="str">
        <f t="shared" si="104"/>
        <v/>
      </c>
      <c r="IIY83" s="248" t="str">
        <f t="shared" si="104"/>
        <v/>
      </c>
      <c r="IIZ83" s="248" t="str">
        <f t="shared" si="104"/>
        <v/>
      </c>
      <c r="IJA83" s="248" t="str">
        <f t="shared" si="104"/>
        <v/>
      </c>
      <c r="IJB83" s="248" t="str">
        <f t="shared" si="104"/>
        <v/>
      </c>
      <c r="IJC83" s="248" t="str">
        <f t="shared" si="104"/>
        <v/>
      </c>
      <c r="IJD83" s="248" t="str">
        <f t="shared" si="104"/>
        <v/>
      </c>
      <c r="IJE83" s="248" t="str">
        <f t="shared" si="104"/>
        <v/>
      </c>
      <c r="IJF83" s="248" t="str">
        <f t="shared" si="104"/>
        <v/>
      </c>
      <c r="IJG83" s="248" t="str">
        <f t="shared" si="104"/>
        <v/>
      </c>
      <c r="IJH83" s="248" t="str">
        <f t="shared" si="104"/>
        <v/>
      </c>
      <c r="IJI83" s="248" t="str">
        <f t="shared" si="104"/>
        <v/>
      </c>
      <c r="IJJ83" s="248" t="str">
        <f t="shared" si="104"/>
        <v/>
      </c>
      <c r="IJK83" s="248" t="str">
        <f t="shared" si="104"/>
        <v/>
      </c>
      <c r="IJL83" s="248" t="str">
        <f t="shared" si="104"/>
        <v/>
      </c>
      <c r="IJM83" s="248" t="str">
        <f t="shared" si="104"/>
        <v/>
      </c>
      <c r="IJN83" s="248" t="str">
        <f t="shared" si="104"/>
        <v/>
      </c>
      <c r="IJO83" s="248" t="str">
        <f t="shared" si="104"/>
        <v/>
      </c>
      <c r="IJP83" s="248" t="str">
        <f t="shared" si="104"/>
        <v/>
      </c>
      <c r="IJQ83" s="248" t="str">
        <f t="shared" si="104"/>
        <v/>
      </c>
      <c r="IJR83" s="248" t="str">
        <f t="shared" si="104"/>
        <v/>
      </c>
      <c r="IJS83" s="248" t="str">
        <f t="shared" si="104"/>
        <v/>
      </c>
      <c r="IJT83" s="248" t="str">
        <f t="shared" si="104"/>
        <v/>
      </c>
      <c r="IJU83" s="248" t="str">
        <f t="shared" si="104"/>
        <v/>
      </c>
      <c r="IJV83" s="248" t="str">
        <f t="shared" si="104"/>
        <v/>
      </c>
      <c r="IJW83" s="248" t="str">
        <f t="shared" ref="IJW83:IMH83" si="105">UPPER(IJU83)</f>
        <v/>
      </c>
      <c r="IJX83" s="248" t="str">
        <f t="shared" si="105"/>
        <v/>
      </c>
      <c r="IJY83" s="248" t="str">
        <f t="shared" si="105"/>
        <v/>
      </c>
      <c r="IJZ83" s="248" t="str">
        <f t="shared" si="105"/>
        <v/>
      </c>
      <c r="IKA83" s="248" t="str">
        <f t="shared" si="105"/>
        <v/>
      </c>
      <c r="IKB83" s="248" t="str">
        <f t="shared" si="105"/>
        <v/>
      </c>
      <c r="IKC83" s="248" t="str">
        <f t="shared" si="105"/>
        <v/>
      </c>
      <c r="IKD83" s="248" t="str">
        <f t="shared" si="105"/>
        <v/>
      </c>
      <c r="IKE83" s="248" t="str">
        <f t="shared" si="105"/>
        <v/>
      </c>
      <c r="IKF83" s="248" t="str">
        <f t="shared" si="105"/>
        <v/>
      </c>
      <c r="IKG83" s="248" t="str">
        <f t="shared" si="105"/>
        <v/>
      </c>
      <c r="IKH83" s="248" t="str">
        <f t="shared" si="105"/>
        <v/>
      </c>
      <c r="IKI83" s="248" t="str">
        <f t="shared" si="105"/>
        <v/>
      </c>
      <c r="IKJ83" s="248" t="str">
        <f t="shared" si="105"/>
        <v/>
      </c>
      <c r="IKK83" s="248" t="str">
        <f t="shared" si="105"/>
        <v/>
      </c>
      <c r="IKL83" s="248" t="str">
        <f t="shared" si="105"/>
        <v/>
      </c>
      <c r="IKM83" s="248" t="str">
        <f t="shared" si="105"/>
        <v/>
      </c>
      <c r="IKN83" s="248" t="str">
        <f t="shared" si="105"/>
        <v/>
      </c>
      <c r="IKO83" s="248" t="str">
        <f t="shared" si="105"/>
        <v/>
      </c>
      <c r="IKP83" s="248" t="str">
        <f t="shared" si="105"/>
        <v/>
      </c>
      <c r="IKQ83" s="248" t="str">
        <f t="shared" si="105"/>
        <v/>
      </c>
      <c r="IKR83" s="248" t="str">
        <f t="shared" si="105"/>
        <v/>
      </c>
      <c r="IKS83" s="248" t="str">
        <f t="shared" si="105"/>
        <v/>
      </c>
      <c r="IKT83" s="248" t="str">
        <f t="shared" si="105"/>
        <v/>
      </c>
      <c r="IKU83" s="248" t="str">
        <f t="shared" si="105"/>
        <v/>
      </c>
      <c r="IKV83" s="248" t="str">
        <f t="shared" si="105"/>
        <v/>
      </c>
      <c r="IKW83" s="248" t="str">
        <f t="shared" si="105"/>
        <v/>
      </c>
      <c r="IKX83" s="248" t="str">
        <f t="shared" si="105"/>
        <v/>
      </c>
      <c r="IKY83" s="248" t="str">
        <f t="shared" si="105"/>
        <v/>
      </c>
      <c r="IKZ83" s="248" t="str">
        <f t="shared" si="105"/>
        <v/>
      </c>
      <c r="ILA83" s="248" t="str">
        <f t="shared" si="105"/>
        <v/>
      </c>
      <c r="ILB83" s="248" t="str">
        <f t="shared" si="105"/>
        <v/>
      </c>
      <c r="ILC83" s="248" t="str">
        <f t="shared" si="105"/>
        <v/>
      </c>
      <c r="ILD83" s="248" t="str">
        <f t="shared" si="105"/>
        <v/>
      </c>
      <c r="ILE83" s="248" t="str">
        <f t="shared" si="105"/>
        <v/>
      </c>
      <c r="ILF83" s="248" t="str">
        <f t="shared" si="105"/>
        <v/>
      </c>
      <c r="ILG83" s="248" t="str">
        <f t="shared" si="105"/>
        <v/>
      </c>
      <c r="ILH83" s="248" t="str">
        <f t="shared" si="105"/>
        <v/>
      </c>
      <c r="ILI83" s="248" t="str">
        <f t="shared" si="105"/>
        <v/>
      </c>
      <c r="ILJ83" s="248" t="str">
        <f t="shared" si="105"/>
        <v/>
      </c>
      <c r="ILK83" s="248" t="str">
        <f t="shared" si="105"/>
        <v/>
      </c>
      <c r="ILL83" s="248" t="str">
        <f t="shared" si="105"/>
        <v/>
      </c>
      <c r="ILM83" s="248" t="str">
        <f t="shared" si="105"/>
        <v/>
      </c>
      <c r="ILN83" s="248" t="str">
        <f t="shared" si="105"/>
        <v/>
      </c>
      <c r="ILO83" s="248" t="str">
        <f t="shared" si="105"/>
        <v/>
      </c>
      <c r="ILP83" s="248" t="str">
        <f t="shared" si="105"/>
        <v/>
      </c>
      <c r="ILQ83" s="248" t="str">
        <f t="shared" si="105"/>
        <v/>
      </c>
      <c r="ILR83" s="248" t="str">
        <f t="shared" si="105"/>
        <v/>
      </c>
      <c r="ILS83" s="248" t="str">
        <f t="shared" si="105"/>
        <v/>
      </c>
      <c r="ILT83" s="248" t="str">
        <f t="shared" si="105"/>
        <v/>
      </c>
      <c r="ILU83" s="248" t="str">
        <f t="shared" si="105"/>
        <v/>
      </c>
      <c r="ILV83" s="248" t="str">
        <f t="shared" si="105"/>
        <v/>
      </c>
      <c r="ILW83" s="248" t="str">
        <f t="shared" si="105"/>
        <v/>
      </c>
      <c r="ILX83" s="248" t="str">
        <f t="shared" si="105"/>
        <v/>
      </c>
      <c r="ILY83" s="248" t="str">
        <f t="shared" si="105"/>
        <v/>
      </c>
      <c r="ILZ83" s="248" t="str">
        <f t="shared" si="105"/>
        <v/>
      </c>
      <c r="IMA83" s="248" t="str">
        <f t="shared" si="105"/>
        <v/>
      </c>
      <c r="IMB83" s="248" t="str">
        <f t="shared" si="105"/>
        <v/>
      </c>
      <c r="IMC83" s="248" t="str">
        <f t="shared" si="105"/>
        <v/>
      </c>
      <c r="IMD83" s="248" t="str">
        <f t="shared" si="105"/>
        <v/>
      </c>
      <c r="IME83" s="248" t="str">
        <f t="shared" si="105"/>
        <v/>
      </c>
      <c r="IMF83" s="248" t="str">
        <f t="shared" si="105"/>
        <v/>
      </c>
      <c r="IMG83" s="248" t="str">
        <f t="shared" si="105"/>
        <v/>
      </c>
      <c r="IMH83" s="248" t="str">
        <f t="shared" si="105"/>
        <v/>
      </c>
      <c r="IMI83" s="248" t="str">
        <f t="shared" ref="IMI83:IOT83" si="106">UPPER(IMG83)</f>
        <v/>
      </c>
      <c r="IMJ83" s="248" t="str">
        <f t="shared" si="106"/>
        <v/>
      </c>
      <c r="IMK83" s="248" t="str">
        <f t="shared" si="106"/>
        <v/>
      </c>
      <c r="IML83" s="248" t="str">
        <f t="shared" si="106"/>
        <v/>
      </c>
      <c r="IMM83" s="248" t="str">
        <f t="shared" si="106"/>
        <v/>
      </c>
      <c r="IMN83" s="248" t="str">
        <f t="shared" si="106"/>
        <v/>
      </c>
      <c r="IMO83" s="248" t="str">
        <f t="shared" si="106"/>
        <v/>
      </c>
      <c r="IMP83" s="248" t="str">
        <f t="shared" si="106"/>
        <v/>
      </c>
      <c r="IMQ83" s="248" t="str">
        <f t="shared" si="106"/>
        <v/>
      </c>
      <c r="IMR83" s="248" t="str">
        <f t="shared" si="106"/>
        <v/>
      </c>
      <c r="IMS83" s="248" t="str">
        <f t="shared" si="106"/>
        <v/>
      </c>
      <c r="IMT83" s="248" t="str">
        <f t="shared" si="106"/>
        <v/>
      </c>
      <c r="IMU83" s="248" t="str">
        <f t="shared" si="106"/>
        <v/>
      </c>
      <c r="IMV83" s="248" t="str">
        <f t="shared" si="106"/>
        <v/>
      </c>
      <c r="IMW83" s="248" t="str">
        <f t="shared" si="106"/>
        <v/>
      </c>
      <c r="IMX83" s="248" t="str">
        <f t="shared" si="106"/>
        <v/>
      </c>
      <c r="IMY83" s="248" t="str">
        <f t="shared" si="106"/>
        <v/>
      </c>
      <c r="IMZ83" s="248" t="str">
        <f t="shared" si="106"/>
        <v/>
      </c>
      <c r="INA83" s="248" t="str">
        <f t="shared" si="106"/>
        <v/>
      </c>
      <c r="INB83" s="248" t="str">
        <f t="shared" si="106"/>
        <v/>
      </c>
      <c r="INC83" s="248" t="str">
        <f t="shared" si="106"/>
        <v/>
      </c>
      <c r="IND83" s="248" t="str">
        <f t="shared" si="106"/>
        <v/>
      </c>
      <c r="INE83" s="248" t="str">
        <f t="shared" si="106"/>
        <v/>
      </c>
      <c r="INF83" s="248" t="str">
        <f t="shared" si="106"/>
        <v/>
      </c>
      <c r="ING83" s="248" t="str">
        <f t="shared" si="106"/>
        <v/>
      </c>
      <c r="INH83" s="248" t="str">
        <f t="shared" si="106"/>
        <v/>
      </c>
      <c r="INI83" s="248" t="str">
        <f t="shared" si="106"/>
        <v/>
      </c>
      <c r="INJ83" s="248" t="str">
        <f t="shared" si="106"/>
        <v/>
      </c>
      <c r="INK83" s="248" t="str">
        <f t="shared" si="106"/>
        <v/>
      </c>
      <c r="INL83" s="248" t="str">
        <f t="shared" si="106"/>
        <v/>
      </c>
      <c r="INM83" s="248" t="str">
        <f t="shared" si="106"/>
        <v/>
      </c>
      <c r="INN83" s="248" t="str">
        <f t="shared" si="106"/>
        <v/>
      </c>
      <c r="INO83" s="248" t="str">
        <f t="shared" si="106"/>
        <v/>
      </c>
      <c r="INP83" s="248" t="str">
        <f t="shared" si="106"/>
        <v/>
      </c>
      <c r="INQ83" s="248" t="str">
        <f t="shared" si="106"/>
        <v/>
      </c>
      <c r="INR83" s="248" t="str">
        <f t="shared" si="106"/>
        <v/>
      </c>
      <c r="INS83" s="248" t="str">
        <f t="shared" si="106"/>
        <v/>
      </c>
      <c r="INT83" s="248" t="str">
        <f t="shared" si="106"/>
        <v/>
      </c>
      <c r="INU83" s="248" t="str">
        <f t="shared" si="106"/>
        <v/>
      </c>
      <c r="INV83" s="248" t="str">
        <f t="shared" si="106"/>
        <v/>
      </c>
      <c r="INW83" s="248" t="str">
        <f t="shared" si="106"/>
        <v/>
      </c>
      <c r="INX83" s="248" t="str">
        <f t="shared" si="106"/>
        <v/>
      </c>
      <c r="INY83" s="248" t="str">
        <f t="shared" si="106"/>
        <v/>
      </c>
      <c r="INZ83" s="248" t="str">
        <f t="shared" si="106"/>
        <v/>
      </c>
      <c r="IOA83" s="248" t="str">
        <f t="shared" si="106"/>
        <v/>
      </c>
      <c r="IOB83" s="248" t="str">
        <f t="shared" si="106"/>
        <v/>
      </c>
      <c r="IOC83" s="248" t="str">
        <f t="shared" si="106"/>
        <v/>
      </c>
      <c r="IOD83" s="248" t="str">
        <f t="shared" si="106"/>
        <v/>
      </c>
      <c r="IOE83" s="248" t="str">
        <f t="shared" si="106"/>
        <v/>
      </c>
      <c r="IOF83" s="248" t="str">
        <f t="shared" si="106"/>
        <v/>
      </c>
      <c r="IOG83" s="248" t="str">
        <f t="shared" si="106"/>
        <v/>
      </c>
      <c r="IOH83" s="248" t="str">
        <f t="shared" si="106"/>
        <v/>
      </c>
      <c r="IOI83" s="248" t="str">
        <f t="shared" si="106"/>
        <v/>
      </c>
      <c r="IOJ83" s="248" t="str">
        <f t="shared" si="106"/>
        <v/>
      </c>
      <c r="IOK83" s="248" t="str">
        <f t="shared" si="106"/>
        <v/>
      </c>
      <c r="IOL83" s="248" t="str">
        <f t="shared" si="106"/>
        <v/>
      </c>
      <c r="IOM83" s="248" t="str">
        <f t="shared" si="106"/>
        <v/>
      </c>
      <c r="ION83" s="248" t="str">
        <f t="shared" si="106"/>
        <v/>
      </c>
      <c r="IOO83" s="248" t="str">
        <f t="shared" si="106"/>
        <v/>
      </c>
      <c r="IOP83" s="248" t="str">
        <f t="shared" si="106"/>
        <v/>
      </c>
      <c r="IOQ83" s="248" t="str">
        <f t="shared" si="106"/>
        <v/>
      </c>
      <c r="IOR83" s="248" t="str">
        <f t="shared" si="106"/>
        <v/>
      </c>
      <c r="IOS83" s="248" t="str">
        <f t="shared" si="106"/>
        <v/>
      </c>
      <c r="IOT83" s="248" t="str">
        <f t="shared" si="106"/>
        <v/>
      </c>
      <c r="IOU83" s="248" t="str">
        <f t="shared" ref="IOU83:IRF83" si="107">UPPER(IOS83)</f>
        <v/>
      </c>
      <c r="IOV83" s="248" t="str">
        <f t="shared" si="107"/>
        <v/>
      </c>
      <c r="IOW83" s="248" t="str">
        <f t="shared" si="107"/>
        <v/>
      </c>
      <c r="IOX83" s="248" t="str">
        <f t="shared" si="107"/>
        <v/>
      </c>
      <c r="IOY83" s="248" t="str">
        <f t="shared" si="107"/>
        <v/>
      </c>
      <c r="IOZ83" s="248" t="str">
        <f t="shared" si="107"/>
        <v/>
      </c>
      <c r="IPA83" s="248" t="str">
        <f t="shared" si="107"/>
        <v/>
      </c>
      <c r="IPB83" s="248" t="str">
        <f t="shared" si="107"/>
        <v/>
      </c>
      <c r="IPC83" s="248" t="str">
        <f t="shared" si="107"/>
        <v/>
      </c>
      <c r="IPD83" s="248" t="str">
        <f t="shared" si="107"/>
        <v/>
      </c>
      <c r="IPE83" s="248" t="str">
        <f t="shared" si="107"/>
        <v/>
      </c>
      <c r="IPF83" s="248" t="str">
        <f t="shared" si="107"/>
        <v/>
      </c>
      <c r="IPG83" s="248" t="str">
        <f t="shared" si="107"/>
        <v/>
      </c>
      <c r="IPH83" s="248" t="str">
        <f t="shared" si="107"/>
        <v/>
      </c>
      <c r="IPI83" s="248" t="str">
        <f t="shared" si="107"/>
        <v/>
      </c>
      <c r="IPJ83" s="248" t="str">
        <f t="shared" si="107"/>
        <v/>
      </c>
      <c r="IPK83" s="248" t="str">
        <f t="shared" si="107"/>
        <v/>
      </c>
      <c r="IPL83" s="248" t="str">
        <f t="shared" si="107"/>
        <v/>
      </c>
      <c r="IPM83" s="248" t="str">
        <f t="shared" si="107"/>
        <v/>
      </c>
      <c r="IPN83" s="248" t="str">
        <f t="shared" si="107"/>
        <v/>
      </c>
      <c r="IPO83" s="248" t="str">
        <f t="shared" si="107"/>
        <v/>
      </c>
      <c r="IPP83" s="248" t="str">
        <f t="shared" si="107"/>
        <v/>
      </c>
      <c r="IPQ83" s="248" t="str">
        <f t="shared" si="107"/>
        <v/>
      </c>
      <c r="IPR83" s="248" t="str">
        <f t="shared" si="107"/>
        <v/>
      </c>
      <c r="IPS83" s="248" t="str">
        <f t="shared" si="107"/>
        <v/>
      </c>
      <c r="IPT83" s="248" t="str">
        <f t="shared" si="107"/>
        <v/>
      </c>
      <c r="IPU83" s="248" t="str">
        <f t="shared" si="107"/>
        <v/>
      </c>
      <c r="IPV83" s="248" t="str">
        <f t="shared" si="107"/>
        <v/>
      </c>
      <c r="IPW83" s="248" t="str">
        <f t="shared" si="107"/>
        <v/>
      </c>
      <c r="IPX83" s="248" t="str">
        <f t="shared" si="107"/>
        <v/>
      </c>
      <c r="IPY83" s="248" t="str">
        <f t="shared" si="107"/>
        <v/>
      </c>
      <c r="IPZ83" s="248" t="str">
        <f t="shared" si="107"/>
        <v/>
      </c>
      <c r="IQA83" s="248" t="str">
        <f t="shared" si="107"/>
        <v/>
      </c>
      <c r="IQB83" s="248" t="str">
        <f t="shared" si="107"/>
        <v/>
      </c>
      <c r="IQC83" s="248" t="str">
        <f t="shared" si="107"/>
        <v/>
      </c>
      <c r="IQD83" s="248" t="str">
        <f t="shared" si="107"/>
        <v/>
      </c>
      <c r="IQE83" s="248" t="str">
        <f t="shared" si="107"/>
        <v/>
      </c>
      <c r="IQF83" s="248" t="str">
        <f t="shared" si="107"/>
        <v/>
      </c>
      <c r="IQG83" s="248" t="str">
        <f t="shared" si="107"/>
        <v/>
      </c>
      <c r="IQH83" s="248" t="str">
        <f t="shared" si="107"/>
        <v/>
      </c>
      <c r="IQI83" s="248" t="str">
        <f t="shared" si="107"/>
        <v/>
      </c>
      <c r="IQJ83" s="248" t="str">
        <f t="shared" si="107"/>
        <v/>
      </c>
      <c r="IQK83" s="248" t="str">
        <f t="shared" si="107"/>
        <v/>
      </c>
      <c r="IQL83" s="248" t="str">
        <f t="shared" si="107"/>
        <v/>
      </c>
      <c r="IQM83" s="248" t="str">
        <f t="shared" si="107"/>
        <v/>
      </c>
      <c r="IQN83" s="248" t="str">
        <f t="shared" si="107"/>
        <v/>
      </c>
      <c r="IQO83" s="248" t="str">
        <f t="shared" si="107"/>
        <v/>
      </c>
      <c r="IQP83" s="248" t="str">
        <f t="shared" si="107"/>
        <v/>
      </c>
      <c r="IQQ83" s="248" t="str">
        <f t="shared" si="107"/>
        <v/>
      </c>
      <c r="IQR83" s="248" t="str">
        <f t="shared" si="107"/>
        <v/>
      </c>
      <c r="IQS83" s="248" t="str">
        <f t="shared" si="107"/>
        <v/>
      </c>
      <c r="IQT83" s="248" t="str">
        <f t="shared" si="107"/>
        <v/>
      </c>
      <c r="IQU83" s="248" t="str">
        <f t="shared" si="107"/>
        <v/>
      </c>
      <c r="IQV83" s="248" t="str">
        <f t="shared" si="107"/>
        <v/>
      </c>
      <c r="IQW83" s="248" t="str">
        <f t="shared" si="107"/>
        <v/>
      </c>
      <c r="IQX83" s="248" t="str">
        <f t="shared" si="107"/>
        <v/>
      </c>
      <c r="IQY83" s="248" t="str">
        <f t="shared" si="107"/>
        <v/>
      </c>
      <c r="IQZ83" s="248" t="str">
        <f t="shared" si="107"/>
        <v/>
      </c>
      <c r="IRA83" s="248" t="str">
        <f t="shared" si="107"/>
        <v/>
      </c>
      <c r="IRB83" s="248" t="str">
        <f t="shared" si="107"/>
        <v/>
      </c>
      <c r="IRC83" s="248" t="str">
        <f t="shared" si="107"/>
        <v/>
      </c>
      <c r="IRD83" s="248" t="str">
        <f t="shared" si="107"/>
        <v/>
      </c>
      <c r="IRE83" s="248" t="str">
        <f t="shared" si="107"/>
        <v/>
      </c>
      <c r="IRF83" s="248" t="str">
        <f t="shared" si="107"/>
        <v/>
      </c>
      <c r="IRG83" s="248" t="str">
        <f t="shared" ref="IRG83:ITR83" si="108">UPPER(IRE83)</f>
        <v/>
      </c>
      <c r="IRH83" s="248" t="str">
        <f t="shared" si="108"/>
        <v/>
      </c>
      <c r="IRI83" s="248" t="str">
        <f t="shared" si="108"/>
        <v/>
      </c>
      <c r="IRJ83" s="248" t="str">
        <f t="shared" si="108"/>
        <v/>
      </c>
      <c r="IRK83" s="248" t="str">
        <f t="shared" si="108"/>
        <v/>
      </c>
      <c r="IRL83" s="248" t="str">
        <f t="shared" si="108"/>
        <v/>
      </c>
      <c r="IRM83" s="248" t="str">
        <f t="shared" si="108"/>
        <v/>
      </c>
      <c r="IRN83" s="248" t="str">
        <f t="shared" si="108"/>
        <v/>
      </c>
      <c r="IRO83" s="248" t="str">
        <f t="shared" si="108"/>
        <v/>
      </c>
      <c r="IRP83" s="248" t="str">
        <f t="shared" si="108"/>
        <v/>
      </c>
      <c r="IRQ83" s="248" t="str">
        <f t="shared" si="108"/>
        <v/>
      </c>
      <c r="IRR83" s="248" t="str">
        <f t="shared" si="108"/>
        <v/>
      </c>
      <c r="IRS83" s="248" t="str">
        <f t="shared" si="108"/>
        <v/>
      </c>
      <c r="IRT83" s="248" t="str">
        <f t="shared" si="108"/>
        <v/>
      </c>
      <c r="IRU83" s="248" t="str">
        <f t="shared" si="108"/>
        <v/>
      </c>
      <c r="IRV83" s="248" t="str">
        <f t="shared" si="108"/>
        <v/>
      </c>
      <c r="IRW83" s="248" t="str">
        <f t="shared" si="108"/>
        <v/>
      </c>
      <c r="IRX83" s="248" t="str">
        <f t="shared" si="108"/>
        <v/>
      </c>
      <c r="IRY83" s="248" t="str">
        <f t="shared" si="108"/>
        <v/>
      </c>
      <c r="IRZ83" s="248" t="str">
        <f t="shared" si="108"/>
        <v/>
      </c>
      <c r="ISA83" s="248" t="str">
        <f t="shared" si="108"/>
        <v/>
      </c>
      <c r="ISB83" s="248" t="str">
        <f t="shared" si="108"/>
        <v/>
      </c>
      <c r="ISC83" s="248" t="str">
        <f t="shared" si="108"/>
        <v/>
      </c>
      <c r="ISD83" s="248" t="str">
        <f t="shared" si="108"/>
        <v/>
      </c>
      <c r="ISE83" s="248" t="str">
        <f t="shared" si="108"/>
        <v/>
      </c>
      <c r="ISF83" s="248" t="str">
        <f t="shared" si="108"/>
        <v/>
      </c>
      <c r="ISG83" s="248" t="str">
        <f t="shared" si="108"/>
        <v/>
      </c>
      <c r="ISH83" s="248" t="str">
        <f t="shared" si="108"/>
        <v/>
      </c>
      <c r="ISI83" s="248" t="str">
        <f t="shared" si="108"/>
        <v/>
      </c>
      <c r="ISJ83" s="248" t="str">
        <f t="shared" si="108"/>
        <v/>
      </c>
      <c r="ISK83" s="248" t="str">
        <f t="shared" si="108"/>
        <v/>
      </c>
      <c r="ISL83" s="248" t="str">
        <f t="shared" si="108"/>
        <v/>
      </c>
      <c r="ISM83" s="248" t="str">
        <f t="shared" si="108"/>
        <v/>
      </c>
      <c r="ISN83" s="248" t="str">
        <f t="shared" si="108"/>
        <v/>
      </c>
      <c r="ISO83" s="248" t="str">
        <f t="shared" si="108"/>
        <v/>
      </c>
      <c r="ISP83" s="248" t="str">
        <f t="shared" si="108"/>
        <v/>
      </c>
      <c r="ISQ83" s="248" t="str">
        <f t="shared" si="108"/>
        <v/>
      </c>
      <c r="ISR83" s="248" t="str">
        <f t="shared" si="108"/>
        <v/>
      </c>
      <c r="ISS83" s="248" t="str">
        <f t="shared" si="108"/>
        <v/>
      </c>
      <c r="IST83" s="248" t="str">
        <f t="shared" si="108"/>
        <v/>
      </c>
      <c r="ISU83" s="248" t="str">
        <f t="shared" si="108"/>
        <v/>
      </c>
      <c r="ISV83" s="248" t="str">
        <f t="shared" si="108"/>
        <v/>
      </c>
      <c r="ISW83" s="248" t="str">
        <f t="shared" si="108"/>
        <v/>
      </c>
      <c r="ISX83" s="248" t="str">
        <f t="shared" si="108"/>
        <v/>
      </c>
      <c r="ISY83" s="248" t="str">
        <f t="shared" si="108"/>
        <v/>
      </c>
      <c r="ISZ83" s="248" t="str">
        <f t="shared" si="108"/>
        <v/>
      </c>
      <c r="ITA83" s="248" t="str">
        <f t="shared" si="108"/>
        <v/>
      </c>
      <c r="ITB83" s="248" t="str">
        <f t="shared" si="108"/>
        <v/>
      </c>
      <c r="ITC83" s="248" t="str">
        <f t="shared" si="108"/>
        <v/>
      </c>
      <c r="ITD83" s="248" t="str">
        <f t="shared" si="108"/>
        <v/>
      </c>
      <c r="ITE83" s="248" t="str">
        <f t="shared" si="108"/>
        <v/>
      </c>
      <c r="ITF83" s="248" t="str">
        <f t="shared" si="108"/>
        <v/>
      </c>
      <c r="ITG83" s="248" t="str">
        <f t="shared" si="108"/>
        <v/>
      </c>
      <c r="ITH83" s="248" t="str">
        <f t="shared" si="108"/>
        <v/>
      </c>
      <c r="ITI83" s="248" t="str">
        <f t="shared" si="108"/>
        <v/>
      </c>
      <c r="ITJ83" s="248" t="str">
        <f t="shared" si="108"/>
        <v/>
      </c>
      <c r="ITK83" s="248" t="str">
        <f t="shared" si="108"/>
        <v/>
      </c>
      <c r="ITL83" s="248" t="str">
        <f t="shared" si="108"/>
        <v/>
      </c>
      <c r="ITM83" s="248" t="str">
        <f t="shared" si="108"/>
        <v/>
      </c>
      <c r="ITN83" s="248" t="str">
        <f t="shared" si="108"/>
        <v/>
      </c>
      <c r="ITO83" s="248" t="str">
        <f t="shared" si="108"/>
        <v/>
      </c>
      <c r="ITP83" s="248" t="str">
        <f t="shared" si="108"/>
        <v/>
      </c>
      <c r="ITQ83" s="248" t="str">
        <f t="shared" si="108"/>
        <v/>
      </c>
      <c r="ITR83" s="248" t="str">
        <f t="shared" si="108"/>
        <v/>
      </c>
      <c r="ITS83" s="248" t="str">
        <f t="shared" ref="ITS83:IWD83" si="109">UPPER(ITQ83)</f>
        <v/>
      </c>
      <c r="ITT83" s="248" t="str">
        <f t="shared" si="109"/>
        <v/>
      </c>
      <c r="ITU83" s="248" t="str">
        <f t="shared" si="109"/>
        <v/>
      </c>
      <c r="ITV83" s="248" t="str">
        <f t="shared" si="109"/>
        <v/>
      </c>
      <c r="ITW83" s="248" t="str">
        <f t="shared" si="109"/>
        <v/>
      </c>
      <c r="ITX83" s="248" t="str">
        <f t="shared" si="109"/>
        <v/>
      </c>
      <c r="ITY83" s="248" t="str">
        <f t="shared" si="109"/>
        <v/>
      </c>
      <c r="ITZ83" s="248" t="str">
        <f t="shared" si="109"/>
        <v/>
      </c>
      <c r="IUA83" s="248" t="str">
        <f t="shared" si="109"/>
        <v/>
      </c>
      <c r="IUB83" s="248" t="str">
        <f t="shared" si="109"/>
        <v/>
      </c>
      <c r="IUC83" s="248" t="str">
        <f t="shared" si="109"/>
        <v/>
      </c>
      <c r="IUD83" s="248" t="str">
        <f t="shared" si="109"/>
        <v/>
      </c>
      <c r="IUE83" s="248" t="str">
        <f t="shared" si="109"/>
        <v/>
      </c>
      <c r="IUF83" s="248" t="str">
        <f t="shared" si="109"/>
        <v/>
      </c>
      <c r="IUG83" s="248" t="str">
        <f t="shared" si="109"/>
        <v/>
      </c>
      <c r="IUH83" s="248" t="str">
        <f t="shared" si="109"/>
        <v/>
      </c>
      <c r="IUI83" s="248" t="str">
        <f t="shared" si="109"/>
        <v/>
      </c>
      <c r="IUJ83" s="248" t="str">
        <f t="shared" si="109"/>
        <v/>
      </c>
      <c r="IUK83" s="248" t="str">
        <f t="shared" si="109"/>
        <v/>
      </c>
      <c r="IUL83" s="248" t="str">
        <f t="shared" si="109"/>
        <v/>
      </c>
      <c r="IUM83" s="248" t="str">
        <f t="shared" si="109"/>
        <v/>
      </c>
      <c r="IUN83" s="248" t="str">
        <f t="shared" si="109"/>
        <v/>
      </c>
      <c r="IUO83" s="248" t="str">
        <f t="shared" si="109"/>
        <v/>
      </c>
      <c r="IUP83" s="248" t="str">
        <f t="shared" si="109"/>
        <v/>
      </c>
      <c r="IUQ83" s="248" t="str">
        <f t="shared" si="109"/>
        <v/>
      </c>
      <c r="IUR83" s="248" t="str">
        <f t="shared" si="109"/>
        <v/>
      </c>
      <c r="IUS83" s="248" t="str">
        <f t="shared" si="109"/>
        <v/>
      </c>
      <c r="IUT83" s="248" t="str">
        <f t="shared" si="109"/>
        <v/>
      </c>
      <c r="IUU83" s="248" t="str">
        <f t="shared" si="109"/>
        <v/>
      </c>
      <c r="IUV83" s="248" t="str">
        <f t="shared" si="109"/>
        <v/>
      </c>
      <c r="IUW83" s="248" t="str">
        <f t="shared" si="109"/>
        <v/>
      </c>
      <c r="IUX83" s="248" t="str">
        <f t="shared" si="109"/>
        <v/>
      </c>
      <c r="IUY83" s="248" t="str">
        <f t="shared" si="109"/>
        <v/>
      </c>
      <c r="IUZ83" s="248" t="str">
        <f t="shared" si="109"/>
        <v/>
      </c>
      <c r="IVA83" s="248" t="str">
        <f t="shared" si="109"/>
        <v/>
      </c>
      <c r="IVB83" s="248" t="str">
        <f t="shared" si="109"/>
        <v/>
      </c>
      <c r="IVC83" s="248" t="str">
        <f t="shared" si="109"/>
        <v/>
      </c>
      <c r="IVD83" s="248" t="str">
        <f t="shared" si="109"/>
        <v/>
      </c>
      <c r="IVE83" s="248" t="str">
        <f t="shared" si="109"/>
        <v/>
      </c>
      <c r="IVF83" s="248" t="str">
        <f t="shared" si="109"/>
        <v/>
      </c>
      <c r="IVG83" s="248" t="str">
        <f t="shared" si="109"/>
        <v/>
      </c>
      <c r="IVH83" s="248" t="str">
        <f t="shared" si="109"/>
        <v/>
      </c>
      <c r="IVI83" s="248" t="str">
        <f t="shared" si="109"/>
        <v/>
      </c>
      <c r="IVJ83" s="248" t="str">
        <f t="shared" si="109"/>
        <v/>
      </c>
      <c r="IVK83" s="248" t="str">
        <f t="shared" si="109"/>
        <v/>
      </c>
      <c r="IVL83" s="248" t="str">
        <f t="shared" si="109"/>
        <v/>
      </c>
      <c r="IVM83" s="248" t="str">
        <f t="shared" si="109"/>
        <v/>
      </c>
      <c r="IVN83" s="248" t="str">
        <f t="shared" si="109"/>
        <v/>
      </c>
      <c r="IVO83" s="248" t="str">
        <f t="shared" si="109"/>
        <v/>
      </c>
      <c r="IVP83" s="248" t="str">
        <f t="shared" si="109"/>
        <v/>
      </c>
      <c r="IVQ83" s="248" t="str">
        <f t="shared" si="109"/>
        <v/>
      </c>
      <c r="IVR83" s="248" t="str">
        <f t="shared" si="109"/>
        <v/>
      </c>
      <c r="IVS83" s="248" t="str">
        <f t="shared" si="109"/>
        <v/>
      </c>
      <c r="IVT83" s="248" t="str">
        <f t="shared" si="109"/>
        <v/>
      </c>
      <c r="IVU83" s="248" t="str">
        <f t="shared" si="109"/>
        <v/>
      </c>
      <c r="IVV83" s="248" t="str">
        <f t="shared" si="109"/>
        <v/>
      </c>
      <c r="IVW83" s="248" t="str">
        <f t="shared" si="109"/>
        <v/>
      </c>
      <c r="IVX83" s="248" t="str">
        <f t="shared" si="109"/>
        <v/>
      </c>
      <c r="IVY83" s="248" t="str">
        <f t="shared" si="109"/>
        <v/>
      </c>
      <c r="IVZ83" s="248" t="str">
        <f t="shared" si="109"/>
        <v/>
      </c>
      <c r="IWA83" s="248" t="str">
        <f t="shared" si="109"/>
        <v/>
      </c>
      <c r="IWB83" s="248" t="str">
        <f t="shared" si="109"/>
        <v/>
      </c>
      <c r="IWC83" s="248" t="str">
        <f t="shared" si="109"/>
        <v/>
      </c>
      <c r="IWD83" s="248" t="str">
        <f t="shared" si="109"/>
        <v/>
      </c>
      <c r="IWE83" s="248" t="str">
        <f t="shared" ref="IWE83:IYP83" si="110">UPPER(IWC83)</f>
        <v/>
      </c>
      <c r="IWF83" s="248" t="str">
        <f t="shared" si="110"/>
        <v/>
      </c>
      <c r="IWG83" s="248" t="str">
        <f t="shared" si="110"/>
        <v/>
      </c>
      <c r="IWH83" s="248" t="str">
        <f t="shared" si="110"/>
        <v/>
      </c>
      <c r="IWI83" s="248" t="str">
        <f t="shared" si="110"/>
        <v/>
      </c>
      <c r="IWJ83" s="248" t="str">
        <f t="shared" si="110"/>
        <v/>
      </c>
      <c r="IWK83" s="248" t="str">
        <f t="shared" si="110"/>
        <v/>
      </c>
      <c r="IWL83" s="248" t="str">
        <f t="shared" si="110"/>
        <v/>
      </c>
      <c r="IWM83" s="248" t="str">
        <f t="shared" si="110"/>
        <v/>
      </c>
      <c r="IWN83" s="248" t="str">
        <f t="shared" si="110"/>
        <v/>
      </c>
      <c r="IWO83" s="248" t="str">
        <f t="shared" si="110"/>
        <v/>
      </c>
      <c r="IWP83" s="248" t="str">
        <f t="shared" si="110"/>
        <v/>
      </c>
      <c r="IWQ83" s="248" t="str">
        <f t="shared" si="110"/>
        <v/>
      </c>
      <c r="IWR83" s="248" t="str">
        <f t="shared" si="110"/>
        <v/>
      </c>
      <c r="IWS83" s="248" t="str">
        <f t="shared" si="110"/>
        <v/>
      </c>
      <c r="IWT83" s="248" t="str">
        <f t="shared" si="110"/>
        <v/>
      </c>
      <c r="IWU83" s="248" t="str">
        <f t="shared" si="110"/>
        <v/>
      </c>
      <c r="IWV83" s="248" t="str">
        <f t="shared" si="110"/>
        <v/>
      </c>
      <c r="IWW83" s="248" t="str">
        <f t="shared" si="110"/>
        <v/>
      </c>
      <c r="IWX83" s="248" t="str">
        <f t="shared" si="110"/>
        <v/>
      </c>
      <c r="IWY83" s="248" t="str">
        <f t="shared" si="110"/>
        <v/>
      </c>
      <c r="IWZ83" s="248" t="str">
        <f t="shared" si="110"/>
        <v/>
      </c>
      <c r="IXA83" s="248" t="str">
        <f t="shared" si="110"/>
        <v/>
      </c>
      <c r="IXB83" s="248" t="str">
        <f t="shared" si="110"/>
        <v/>
      </c>
      <c r="IXC83" s="248" t="str">
        <f t="shared" si="110"/>
        <v/>
      </c>
      <c r="IXD83" s="248" t="str">
        <f t="shared" si="110"/>
        <v/>
      </c>
      <c r="IXE83" s="248" t="str">
        <f t="shared" si="110"/>
        <v/>
      </c>
      <c r="IXF83" s="248" t="str">
        <f t="shared" si="110"/>
        <v/>
      </c>
      <c r="IXG83" s="248" t="str">
        <f t="shared" si="110"/>
        <v/>
      </c>
      <c r="IXH83" s="248" t="str">
        <f t="shared" si="110"/>
        <v/>
      </c>
      <c r="IXI83" s="248" t="str">
        <f t="shared" si="110"/>
        <v/>
      </c>
      <c r="IXJ83" s="248" t="str">
        <f t="shared" si="110"/>
        <v/>
      </c>
      <c r="IXK83" s="248" t="str">
        <f t="shared" si="110"/>
        <v/>
      </c>
      <c r="IXL83" s="248" t="str">
        <f t="shared" si="110"/>
        <v/>
      </c>
      <c r="IXM83" s="248" t="str">
        <f t="shared" si="110"/>
        <v/>
      </c>
      <c r="IXN83" s="248" t="str">
        <f t="shared" si="110"/>
        <v/>
      </c>
      <c r="IXO83" s="248" t="str">
        <f t="shared" si="110"/>
        <v/>
      </c>
      <c r="IXP83" s="248" t="str">
        <f t="shared" si="110"/>
        <v/>
      </c>
      <c r="IXQ83" s="248" t="str">
        <f t="shared" si="110"/>
        <v/>
      </c>
      <c r="IXR83" s="248" t="str">
        <f t="shared" si="110"/>
        <v/>
      </c>
      <c r="IXS83" s="248" t="str">
        <f t="shared" si="110"/>
        <v/>
      </c>
      <c r="IXT83" s="248" t="str">
        <f t="shared" si="110"/>
        <v/>
      </c>
      <c r="IXU83" s="248" t="str">
        <f t="shared" si="110"/>
        <v/>
      </c>
      <c r="IXV83" s="248" t="str">
        <f t="shared" si="110"/>
        <v/>
      </c>
      <c r="IXW83" s="248" t="str">
        <f t="shared" si="110"/>
        <v/>
      </c>
      <c r="IXX83" s="248" t="str">
        <f t="shared" si="110"/>
        <v/>
      </c>
      <c r="IXY83" s="248" t="str">
        <f t="shared" si="110"/>
        <v/>
      </c>
      <c r="IXZ83" s="248" t="str">
        <f t="shared" si="110"/>
        <v/>
      </c>
      <c r="IYA83" s="248" t="str">
        <f t="shared" si="110"/>
        <v/>
      </c>
      <c r="IYB83" s="248" t="str">
        <f t="shared" si="110"/>
        <v/>
      </c>
      <c r="IYC83" s="248" t="str">
        <f t="shared" si="110"/>
        <v/>
      </c>
      <c r="IYD83" s="248" t="str">
        <f t="shared" si="110"/>
        <v/>
      </c>
      <c r="IYE83" s="248" t="str">
        <f t="shared" si="110"/>
        <v/>
      </c>
      <c r="IYF83" s="248" t="str">
        <f t="shared" si="110"/>
        <v/>
      </c>
      <c r="IYG83" s="248" t="str">
        <f t="shared" si="110"/>
        <v/>
      </c>
      <c r="IYH83" s="248" t="str">
        <f t="shared" si="110"/>
        <v/>
      </c>
      <c r="IYI83" s="248" t="str">
        <f t="shared" si="110"/>
        <v/>
      </c>
      <c r="IYJ83" s="248" t="str">
        <f t="shared" si="110"/>
        <v/>
      </c>
      <c r="IYK83" s="248" t="str">
        <f t="shared" si="110"/>
        <v/>
      </c>
      <c r="IYL83" s="248" t="str">
        <f t="shared" si="110"/>
        <v/>
      </c>
      <c r="IYM83" s="248" t="str">
        <f t="shared" si="110"/>
        <v/>
      </c>
      <c r="IYN83" s="248" t="str">
        <f t="shared" si="110"/>
        <v/>
      </c>
      <c r="IYO83" s="248" t="str">
        <f t="shared" si="110"/>
        <v/>
      </c>
      <c r="IYP83" s="248" t="str">
        <f t="shared" si="110"/>
        <v/>
      </c>
      <c r="IYQ83" s="248" t="str">
        <f t="shared" ref="IYQ83:JBB83" si="111">UPPER(IYO83)</f>
        <v/>
      </c>
      <c r="IYR83" s="248" t="str">
        <f t="shared" si="111"/>
        <v/>
      </c>
      <c r="IYS83" s="248" t="str">
        <f t="shared" si="111"/>
        <v/>
      </c>
      <c r="IYT83" s="248" t="str">
        <f t="shared" si="111"/>
        <v/>
      </c>
      <c r="IYU83" s="248" t="str">
        <f t="shared" si="111"/>
        <v/>
      </c>
      <c r="IYV83" s="248" t="str">
        <f t="shared" si="111"/>
        <v/>
      </c>
      <c r="IYW83" s="248" t="str">
        <f t="shared" si="111"/>
        <v/>
      </c>
      <c r="IYX83" s="248" t="str">
        <f t="shared" si="111"/>
        <v/>
      </c>
      <c r="IYY83" s="248" t="str">
        <f t="shared" si="111"/>
        <v/>
      </c>
      <c r="IYZ83" s="248" t="str">
        <f t="shared" si="111"/>
        <v/>
      </c>
      <c r="IZA83" s="248" t="str">
        <f t="shared" si="111"/>
        <v/>
      </c>
      <c r="IZB83" s="248" t="str">
        <f t="shared" si="111"/>
        <v/>
      </c>
      <c r="IZC83" s="248" t="str">
        <f t="shared" si="111"/>
        <v/>
      </c>
      <c r="IZD83" s="248" t="str">
        <f t="shared" si="111"/>
        <v/>
      </c>
      <c r="IZE83" s="248" t="str">
        <f t="shared" si="111"/>
        <v/>
      </c>
      <c r="IZF83" s="248" t="str">
        <f t="shared" si="111"/>
        <v/>
      </c>
      <c r="IZG83" s="248" t="str">
        <f t="shared" si="111"/>
        <v/>
      </c>
      <c r="IZH83" s="248" t="str">
        <f t="shared" si="111"/>
        <v/>
      </c>
      <c r="IZI83" s="248" t="str">
        <f t="shared" si="111"/>
        <v/>
      </c>
      <c r="IZJ83" s="248" t="str">
        <f t="shared" si="111"/>
        <v/>
      </c>
      <c r="IZK83" s="248" t="str">
        <f t="shared" si="111"/>
        <v/>
      </c>
      <c r="IZL83" s="248" t="str">
        <f t="shared" si="111"/>
        <v/>
      </c>
      <c r="IZM83" s="248" t="str">
        <f t="shared" si="111"/>
        <v/>
      </c>
      <c r="IZN83" s="248" t="str">
        <f t="shared" si="111"/>
        <v/>
      </c>
      <c r="IZO83" s="248" t="str">
        <f t="shared" si="111"/>
        <v/>
      </c>
      <c r="IZP83" s="248" t="str">
        <f t="shared" si="111"/>
        <v/>
      </c>
      <c r="IZQ83" s="248" t="str">
        <f t="shared" si="111"/>
        <v/>
      </c>
      <c r="IZR83" s="248" t="str">
        <f t="shared" si="111"/>
        <v/>
      </c>
      <c r="IZS83" s="248" t="str">
        <f t="shared" si="111"/>
        <v/>
      </c>
      <c r="IZT83" s="248" t="str">
        <f t="shared" si="111"/>
        <v/>
      </c>
      <c r="IZU83" s="248" t="str">
        <f t="shared" si="111"/>
        <v/>
      </c>
      <c r="IZV83" s="248" t="str">
        <f t="shared" si="111"/>
        <v/>
      </c>
      <c r="IZW83" s="248" t="str">
        <f t="shared" si="111"/>
        <v/>
      </c>
      <c r="IZX83" s="248" t="str">
        <f t="shared" si="111"/>
        <v/>
      </c>
      <c r="IZY83" s="248" t="str">
        <f t="shared" si="111"/>
        <v/>
      </c>
      <c r="IZZ83" s="248" t="str">
        <f t="shared" si="111"/>
        <v/>
      </c>
      <c r="JAA83" s="248" t="str">
        <f t="shared" si="111"/>
        <v/>
      </c>
      <c r="JAB83" s="248" t="str">
        <f t="shared" si="111"/>
        <v/>
      </c>
      <c r="JAC83" s="248" t="str">
        <f t="shared" si="111"/>
        <v/>
      </c>
      <c r="JAD83" s="248" t="str">
        <f t="shared" si="111"/>
        <v/>
      </c>
      <c r="JAE83" s="248" t="str">
        <f t="shared" si="111"/>
        <v/>
      </c>
      <c r="JAF83" s="248" t="str">
        <f t="shared" si="111"/>
        <v/>
      </c>
      <c r="JAG83" s="248" t="str">
        <f t="shared" si="111"/>
        <v/>
      </c>
      <c r="JAH83" s="248" t="str">
        <f t="shared" si="111"/>
        <v/>
      </c>
      <c r="JAI83" s="248" t="str">
        <f t="shared" si="111"/>
        <v/>
      </c>
      <c r="JAJ83" s="248" t="str">
        <f t="shared" si="111"/>
        <v/>
      </c>
      <c r="JAK83" s="248" t="str">
        <f t="shared" si="111"/>
        <v/>
      </c>
      <c r="JAL83" s="248" t="str">
        <f t="shared" si="111"/>
        <v/>
      </c>
      <c r="JAM83" s="248" t="str">
        <f t="shared" si="111"/>
        <v/>
      </c>
      <c r="JAN83" s="248" t="str">
        <f t="shared" si="111"/>
        <v/>
      </c>
      <c r="JAO83" s="248" t="str">
        <f t="shared" si="111"/>
        <v/>
      </c>
      <c r="JAP83" s="248" t="str">
        <f t="shared" si="111"/>
        <v/>
      </c>
      <c r="JAQ83" s="248" t="str">
        <f t="shared" si="111"/>
        <v/>
      </c>
      <c r="JAR83" s="248" t="str">
        <f t="shared" si="111"/>
        <v/>
      </c>
      <c r="JAS83" s="248" t="str">
        <f t="shared" si="111"/>
        <v/>
      </c>
      <c r="JAT83" s="248" t="str">
        <f t="shared" si="111"/>
        <v/>
      </c>
      <c r="JAU83" s="248" t="str">
        <f t="shared" si="111"/>
        <v/>
      </c>
      <c r="JAV83" s="248" t="str">
        <f t="shared" si="111"/>
        <v/>
      </c>
      <c r="JAW83" s="248" t="str">
        <f t="shared" si="111"/>
        <v/>
      </c>
      <c r="JAX83" s="248" t="str">
        <f t="shared" si="111"/>
        <v/>
      </c>
      <c r="JAY83" s="248" t="str">
        <f t="shared" si="111"/>
        <v/>
      </c>
      <c r="JAZ83" s="248" t="str">
        <f t="shared" si="111"/>
        <v/>
      </c>
      <c r="JBA83" s="248" t="str">
        <f t="shared" si="111"/>
        <v/>
      </c>
      <c r="JBB83" s="248" t="str">
        <f t="shared" si="111"/>
        <v/>
      </c>
      <c r="JBC83" s="248" t="str">
        <f t="shared" ref="JBC83:JDN83" si="112">UPPER(JBA83)</f>
        <v/>
      </c>
      <c r="JBD83" s="248" t="str">
        <f t="shared" si="112"/>
        <v/>
      </c>
      <c r="JBE83" s="248" t="str">
        <f t="shared" si="112"/>
        <v/>
      </c>
      <c r="JBF83" s="248" t="str">
        <f t="shared" si="112"/>
        <v/>
      </c>
      <c r="JBG83" s="248" t="str">
        <f t="shared" si="112"/>
        <v/>
      </c>
      <c r="JBH83" s="248" t="str">
        <f t="shared" si="112"/>
        <v/>
      </c>
      <c r="JBI83" s="248" t="str">
        <f t="shared" si="112"/>
        <v/>
      </c>
      <c r="JBJ83" s="248" t="str">
        <f t="shared" si="112"/>
        <v/>
      </c>
      <c r="JBK83" s="248" t="str">
        <f t="shared" si="112"/>
        <v/>
      </c>
      <c r="JBL83" s="248" t="str">
        <f t="shared" si="112"/>
        <v/>
      </c>
      <c r="JBM83" s="248" t="str">
        <f t="shared" si="112"/>
        <v/>
      </c>
      <c r="JBN83" s="248" t="str">
        <f t="shared" si="112"/>
        <v/>
      </c>
      <c r="JBO83" s="248" t="str">
        <f t="shared" si="112"/>
        <v/>
      </c>
      <c r="JBP83" s="248" t="str">
        <f t="shared" si="112"/>
        <v/>
      </c>
      <c r="JBQ83" s="248" t="str">
        <f t="shared" si="112"/>
        <v/>
      </c>
      <c r="JBR83" s="248" t="str">
        <f t="shared" si="112"/>
        <v/>
      </c>
      <c r="JBS83" s="248" t="str">
        <f t="shared" si="112"/>
        <v/>
      </c>
      <c r="JBT83" s="248" t="str">
        <f t="shared" si="112"/>
        <v/>
      </c>
      <c r="JBU83" s="248" t="str">
        <f t="shared" si="112"/>
        <v/>
      </c>
      <c r="JBV83" s="248" t="str">
        <f t="shared" si="112"/>
        <v/>
      </c>
      <c r="JBW83" s="248" t="str">
        <f t="shared" si="112"/>
        <v/>
      </c>
      <c r="JBX83" s="248" t="str">
        <f t="shared" si="112"/>
        <v/>
      </c>
      <c r="JBY83" s="248" t="str">
        <f t="shared" si="112"/>
        <v/>
      </c>
      <c r="JBZ83" s="248" t="str">
        <f t="shared" si="112"/>
        <v/>
      </c>
      <c r="JCA83" s="248" t="str">
        <f t="shared" si="112"/>
        <v/>
      </c>
      <c r="JCB83" s="248" t="str">
        <f t="shared" si="112"/>
        <v/>
      </c>
      <c r="JCC83" s="248" t="str">
        <f t="shared" si="112"/>
        <v/>
      </c>
      <c r="JCD83" s="248" t="str">
        <f t="shared" si="112"/>
        <v/>
      </c>
      <c r="JCE83" s="248" t="str">
        <f t="shared" si="112"/>
        <v/>
      </c>
      <c r="JCF83" s="248" t="str">
        <f t="shared" si="112"/>
        <v/>
      </c>
      <c r="JCG83" s="248" t="str">
        <f t="shared" si="112"/>
        <v/>
      </c>
      <c r="JCH83" s="248" t="str">
        <f t="shared" si="112"/>
        <v/>
      </c>
      <c r="JCI83" s="248" t="str">
        <f t="shared" si="112"/>
        <v/>
      </c>
      <c r="JCJ83" s="248" t="str">
        <f t="shared" si="112"/>
        <v/>
      </c>
      <c r="JCK83" s="248" t="str">
        <f t="shared" si="112"/>
        <v/>
      </c>
      <c r="JCL83" s="248" t="str">
        <f t="shared" si="112"/>
        <v/>
      </c>
      <c r="JCM83" s="248" t="str">
        <f t="shared" si="112"/>
        <v/>
      </c>
      <c r="JCN83" s="248" t="str">
        <f t="shared" si="112"/>
        <v/>
      </c>
      <c r="JCO83" s="248" t="str">
        <f t="shared" si="112"/>
        <v/>
      </c>
      <c r="JCP83" s="248" t="str">
        <f t="shared" si="112"/>
        <v/>
      </c>
      <c r="JCQ83" s="248" t="str">
        <f t="shared" si="112"/>
        <v/>
      </c>
      <c r="JCR83" s="248" t="str">
        <f t="shared" si="112"/>
        <v/>
      </c>
      <c r="JCS83" s="248" t="str">
        <f t="shared" si="112"/>
        <v/>
      </c>
      <c r="JCT83" s="248" t="str">
        <f t="shared" si="112"/>
        <v/>
      </c>
      <c r="JCU83" s="248" t="str">
        <f t="shared" si="112"/>
        <v/>
      </c>
      <c r="JCV83" s="248" t="str">
        <f t="shared" si="112"/>
        <v/>
      </c>
      <c r="JCW83" s="248" t="str">
        <f t="shared" si="112"/>
        <v/>
      </c>
      <c r="JCX83" s="248" t="str">
        <f t="shared" si="112"/>
        <v/>
      </c>
      <c r="JCY83" s="248" t="str">
        <f t="shared" si="112"/>
        <v/>
      </c>
      <c r="JCZ83" s="248" t="str">
        <f t="shared" si="112"/>
        <v/>
      </c>
      <c r="JDA83" s="248" t="str">
        <f t="shared" si="112"/>
        <v/>
      </c>
      <c r="JDB83" s="248" t="str">
        <f t="shared" si="112"/>
        <v/>
      </c>
      <c r="JDC83" s="248" t="str">
        <f t="shared" si="112"/>
        <v/>
      </c>
      <c r="JDD83" s="248" t="str">
        <f t="shared" si="112"/>
        <v/>
      </c>
      <c r="JDE83" s="248" t="str">
        <f t="shared" si="112"/>
        <v/>
      </c>
      <c r="JDF83" s="248" t="str">
        <f t="shared" si="112"/>
        <v/>
      </c>
      <c r="JDG83" s="248" t="str">
        <f t="shared" si="112"/>
        <v/>
      </c>
      <c r="JDH83" s="248" t="str">
        <f t="shared" si="112"/>
        <v/>
      </c>
      <c r="JDI83" s="248" t="str">
        <f t="shared" si="112"/>
        <v/>
      </c>
      <c r="JDJ83" s="248" t="str">
        <f t="shared" si="112"/>
        <v/>
      </c>
      <c r="JDK83" s="248" t="str">
        <f t="shared" si="112"/>
        <v/>
      </c>
      <c r="JDL83" s="248" t="str">
        <f t="shared" si="112"/>
        <v/>
      </c>
      <c r="JDM83" s="248" t="str">
        <f t="shared" si="112"/>
        <v/>
      </c>
      <c r="JDN83" s="248" t="str">
        <f t="shared" si="112"/>
        <v/>
      </c>
      <c r="JDO83" s="248" t="str">
        <f t="shared" ref="JDO83:JFZ83" si="113">UPPER(JDM83)</f>
        <v/>
      </c>
      <c r="JDP83" s="248" t="str">
        <f t="shared" si="113"/>
        <v/>
      </c>
      <c r="JDQ83" s="248" t="str">
        <f t="shared" si="113"/>
        <v/>
      </c>
      <c r="JDR83" s="248" t="str">
        <f t="shared" si="113"/>
        <v/>
      </c>
      <c r="JDS83" s="248" t="str">
        <f t="shared" si="113"/>
        <v/>
      </c>
      <c r="JDT83" s="248" t="str">
        <f t="shared" si="113"/>
        <v/>
      </c>
      <c r="JDU83" s="248" t="str">
        <f t="shared" si="113"/>
        <v/>
      </c>
      <c r="JDV83" s="248" t="str">
        <f t="shared" si="113"/>
        <v/>
      </c>
      <c r="JDW83" s="248" t="str">
        <f t="shared" si="113"/>
        <v/>
      </c>
      <c r="JDX83" s="248" t="str">
        <f t="shared" si="113"/>
        <v/>
      </c>
      <c r="JDY83" s="248" t="str">
        <f t="shared" si="113"/>
        <v/>
      </c>
      <c r="JDZ83" s="248" t="str">
        <f t="shared" si="113"/>
        <v/>
      </c>
      <c r="JEA83" s="248" t="str">
        <f t="shared" si="113"/>
        <v/>
      </c>
      <c r="JEB83" s="248" t="str">
        <f t="shared" si="113"/>
        <v/>
      </c>
      <c r="JEC83" s="248" t="str">
        <f t="shared" si="113"/>
        <v/>
      </c>
      <c r="JED83" s="248" t="str">
        <f t="shared" si="113"/>
        <v/>
      </c>
      <c r="JEE83" s="248" t="str">
        <f t="shared" si="113"/>
        <v/>
      </c>
      <c r="JEF83" s="248" t="str">
        <f t="shared" si="113"/>
        <v/>
      </c>
      <c r="JEG83" s="248" t="str">
        <f t="shared" si="113"/>
        <v/>
      </c>
      <c r="JEH83" s="248" t="str">
        <f t="shared" si="113"/>
        <v/>
      </c>
      <c r="JEI83" s="248" t="str">
        <f t="shared" si="113"/>
        <v/>
      </c>
      <c r="JEJ83" s="248" t="str">
        <f t="shared" si="113"/>
        <v/>
      </c>
      <c r="JEK83" s="248" t="str">
        <f t="shared" si="113"/>
        <v/>
      </c>
      <c r="JEL83" s="248" t="str">
        <f t="shared" si="113"/>
        <v/>
      </c>
      <c r="JEM83" s="248" t="str">
        <f t="shared" si="113"/>
        <v/>
      </c>
      <c r="JEN83" s="248" t="str">
        <f t="shared" si="113"/>
        <v/>
      </c>
      <c r="JEO83" s="248" t="str">
        <f t="shared" si="113"/>
        <v/>
      </c>
      <c r="JEP83" s="248" t="str">
        <f t="shared" si="113"/>
        <v/>
      </c>
      <c r="JEQ83" s="248" t="str">
        <f t="shared" si="113"/>
        <v/>
      </c>
      <c r="JER83" s="248" t="str">
        <f t="shared" si="113"/>
        <v/>
      </c>
      <c r="JES83" s="248" t="str">
        <f t="shared" si="113"/>
        <v/>
      </c>
      <c r="JET83" s="248" t="str">
        <f t="shared" si="113"/>
        <v/>
      </c>
      <c r="JEU83" s="248" t="str">
        <f t="shared" si="113"/>
        <v/>
      </c>
      <c r="JEV83" s="248" t="str">
        <f t="shared" si="113"/>
        <v/>
      </c>
      <c r="JEW83" s="248" t="str">
        <f t="shared" si="113"/>
        <v/>
      </c>
      <c r="JEX83" s="248" t="str">
        <f t="shared" si="113"/>
        <v/>
      </c>
      <c r="JEY83" s="248" t="str">
        <f t="shared" si="113"/>
        <v/>
      </c>
      <c r="JEZ83" s="248" t="str">
        <f t="shared" si="113"/>
        <v/>
      </c>
      <c r="JFA83" s="248" t="str">
        <f t="shared" si="113"/>
        <v/>
      </c>
      <c r="JFB83" s="248" t="str">
        <f t="shared" si="113"/>
        <v/>
      </c>
      <c r="JFC83" s="248" t="str">
        <f t="shared" si="113"/>
        <v/>
      </c>
      <c r="JFD83" s="248" t="str">
        <f t="shared" si="113"/>
        <v/>
      </c>
      <c r="JFE83" s="248" t="str">
        <f t="shared" si="113"/>
        <v/>
      </c>
      <c r="JFF83" s="248" t="str">
        <f t="shared" si="113"/>
        <v/>
      </c>
      <c r="JFG83" s="248" t="str">
        <f t="shared" si="113"/>
        <v/>
      </c>
      <c r="JFH83" s="248" t="str">
        <f t="shared" si="113"/>
        <v/>
      </c>
      <c r="JFI83" s="248" t="str">
        <f t="shared" si="113"/>
        <v/>
      </c>
      <c r="JFJ83" s="248" t="str">
        <f t="shared" si="113"/>
        <v/>
      </c>
      <c r="JFK83" s="248" t="str">
        <f t="shared" si="113"/>
        <v/>
      </c>
      <c r="JFL83" s="248" t="str">
        <f t="shared" si="113"/>
        <v/>
      </c>
      <c r="JFM83" s="248" t="str">
        <f t="shared" si="113"/>
        <v/>
      </c>
      <c r="JFN83" s="248" t="str">
        <f t="shared" si="113"/>
        <v/>
      </c>
      <c r="JFO83" s="248" t="str">
        <f t="shared" si="113"/>
        <v/>
      </c>
      <c r="JFP83" s="248" t="str">
        <f t="shared" si="113"/>
        <v/>
      </c>
      <c r="JFQ83" s="248" t="str">
        <f t="shared" si="113"/>
        <v/>
      </c>
      <c r="JFR83" s="248" t="str">
        <f t="shared" si="113"/>
        <v/>
      </c>
      <c r="JFS83" s="248" t="str">
        <f t="shared" si="113"/>
        <v/>
      </c>
      <c r="JFT83" s="248" t="str">
        <f t="shared" si="113"/>
        <v/>
      </c>
      <c r="JFU83" s="248" t="str">
        <f t="shared" si="113"/>
        <v/>
      </c>
      <c r="JFV83" s="248" t="str">
        <f t="shared" si="113"/>
        <v/>
      </c>
      <c r="JFW83" s="248" t="str">
        <f t="shared" si="113"/>
        <v/>
      </c>
      <c r="JFX83" s="248" t="str">
        <f t="shared" si="113"/>
        <v/>
      </c>
      <c r="JFY83" s="248" t="str">
        <f t="shared" si="113"/>
        <v/>
      </c>
      <c r="JFZ83" s="248" t="str">
        <f t="shared" si="113"/>
        <v/>
      </c>
      <c r="JGA83" s="248" t="str">
        <f t="shared" ref="JGA83:JIL83" si="114">UPPER(JFY83)</f>
        <v/>
      </c>
      <c r="JGB83" s="248" t="str">
        <f t="shared" si="114"/>
        <v/>
      </c>
      <c r="JGC83" s="248" t="str">
        <f t="shared" si="114"/>
        <v/>
      </c>
      <c r="JGD83" s="248" t="str">
        <f t="shared" si="114"/>
        <v/>
      </c>
      <c r="JGE83" s="248" t="str">
        <f t="shared" si="114"/>
        <v/>
      </c>
      <c r="JGF83" s="248" t="str">
        <f t="shared" si="114"/>
        <v/>
      </c>
      <c r="JGG83" s="248" t="str">
        <f t="shared" si="114"/>
        <v/>
      </c>
      <c r="JGH83" s="248" t="str">
        <f t="shared" si="114"/>
        <v/>
      </c>
      <c r="JGI83" s="248" t="str">
        <f t="shared" si="114"/>
        <v/>
      </c>
      <c r="JGJ83" s="248" t="str">
        <f t="shared" si="114"/>
        <v/>
      </c>
      <c r="JGK83" s="248" t="str">
        <f t="shared" si="114"/>
        <v/>
      </c>
      <c r="JGL83" s="248" t="str">
        <f t="shared" si="114"/>
        <v/>
      </c>
      <c r="JGM83" s="248" t="str">
        <f t="shared" si="114"/>
        <v/>
      </c>
      <c r="JGN83" s="248" t="str">
        <f t="shared" si="114"/>
        <v/>
      </c>
      <c r="JGO83" s="248" t="str">
        <f t="shared" si="114"/>
        <v/>
      </c>
      <c r="JGP83" s="248" t="str">
        <f t="shared" si="114"/>
        <v/>
      </c>
      <c r="JGQ83" s="248" t="str">
        <f t="shared" si="114"/>
        <v/>
      </c>
      <c r="JGR83" s="248" t="str">
        <f t="shared" si="114"/>
        <v/>
      </c>
      <c r="JGS83" s="248" t="str">
        <f t="shared" si="114"/>
        <v/>
      </c>
      <c r="JGT83" s="248" t="str">
        <f t="shared" si="114"/>
        <v/>
      </c>
      <c r="JGU83" s="248" t="str">
        <f t="shared" si="114"/>
        <v/>
      </c>
      <c r="JGV83" s="248" t="str">
        <f t="shared" si="114"/>
        <v/>
      </c>
      <c r="JGW83" s="248" t="str">
        <f t="shared" si="114"/>
        <v/>
      </c>
      <c r="JGX83" s="248" t="str">
        <f t="shared" si="114"/>
        <v/>
      </c>
      <c r="JGY83" s="248" t="str">
        <f t="shared" si="114"/>
        <v/>
      </c>
      <c r="JGZ83" s="248" t="str">
        <f t="shared" si="114"/>
        <v/>
      </c>
      <c r="JHA83" s="248" t="str">
        <f t="shared" si="114"/>
        <v/>
      </c>
      <c r="JHB83" s="248" t="str">
        <f t="shared" si="114"/>
        <v/>
      </c>
      <c r="JHC83" s="248" t="str">
        <f t="shared" si="114"/>
        <v/>
      </c>
      <c r="JHD83" s="248" t="str">
        <f t="shared" si="114"/>
        <v/>
      </c>
      <c r="JHE83" s="248" t="str">
        <f t="shared" si="114"/>
        <v/>
      </c>
      <c r="JHF83" s="248" t="str">
        <f t="shared" si="114"/>
        <v/>
      </c>
      <c r="JHG83" s="248" t="str">
        <f t="shared" si="114"/>
        <v/>
      </c>
      <c r="JHH83" s="248" t="str">
        <f t="shared" si="114"/>
        <v/>
      </c>
      <c r="JHI83" s="248" t="str">
        <f t="shared" si="114"/>
        <v/>
      </c>
      <c r="JHJ83" s="248" t="str">
        <f t="shared" si="114"/>
        <v/>
      </c>
      <c r="JHK83" s="248" t="str">
        <f t="shared" si="114"/>
        <v/>
      </c>
      <c r="JHL83" s="248" t="str">
        <f t="shared" si="114"/>
        <v/>
      </c>
      <c r="JHM83" s="248" t="str">
        <f t="shared" si="114"/>
        <v/>
      </c>
      <c r="JHN83" s="248" t="str">
        <f t="shared" si="114"/>
        <v/>
      </c>
      <c r="JHO83" s="248" t="str">
        <f t="shared" si="114"/>
        <v/>
      </c>
      <c r="JHP83" s="248" t="str">
        <f t="shared" si="114"/>
        <v/>
      </c>
      <c r="JHQ83" s="248" t="str">
        <f t="shared" si="114"/>
        <v/>
      </c>
      <c r="JHR83" s="248" t="str">
        <f t="shared" si="114"/>
        <v/>
      </c>
      <c r="JHS83" s="248" t="str">
        <f t="shared" si="114"/>
        <v/>
      </c>
      <c r="JHT83" s="248" t="str">
        <f t="shared" si="114"/>
        <v/>
      </c>
      <c r="JHU83" s="248" t="str">
        <f t="shared" si="114"/>
        <v/>
      </c>
      <c r="JHV83" s="248" t="str">
        <f t="shared" si="114"/>
        <v/>
      </c>
      <c r="JHW83" s="248" t="str">
        <f t="shared" si="114"/>
        <v/>
      </c>
      <c r="JHX83" s="248" t="str">
        <f t="shared" si="114"/>
        <v/>
      </c>
      <c r="JHY83" s="248" t="str">
        <f t="shared" si="114"/>
        <v/>
      </c>
      <c r="JHZ83" s="248" t="str">
        <f t="shared" si="114"/>
        <v/>
      </c>
      <c r="JIA83" s="248" t="str">
        <f t="shared" si="114"/>
        <v/>
      </c>
      <c r="JIB83" s="248" t="str">
        <f t="shared" si="114"/>
        <v/>
      </c>
      <c r="JIC83" s="248" t="str">
        <f t="shared" si="114"/>
        <v/>
      </c>
      <c r="JID83" s="248" t="str">
        <f t="shared" si="114"/>
        <v/>
      </c>
      <c r="JIE83" s="248" t="str">
        <f t="shared" si="114"/>
        <v/>
      </c>
      <c r="JIF83" s="248" t="str">
        <f t="shared" si="114"/>
        <v/>
      </c>
      <c r="JIG83" s="248" t="str">
        <f t="shared" si="114"/>
        <v/>
      </c>
      <c r="JIH83" s="248" t="str">
        <f t="shared" si="114"/>
        <v/>
      </c>
      <c r="JII83" s="248" t="str">
        <f t="shared" si="114"/>
        <v/>
      </c>
      <c r="JIJ83" s="248" t="str">
        <f t="shared" si="114"/>
        <v/>
      </c>
      <c r="JIK83" s="248" t="str">
        <f t="shared" si="114"/>
        <v/>
      </c>
      <c r="JIL83" s="248" t="str">
        <f t="shared" si="114"/>
        <v/>
      </c>
      <c r="JIM83" s="248" t="str">
        <f t="shared" ref="JIM83:JKX83" si="115">UPPER(JIK83)</f>
        <v/>
      </c>
      <c r="JIN83" s="248" t="str">
        <f t="shared" si="115"/>
        <v/>
      </c>
      <c r="JIO83" s="248" t="str">
        <f t="shared" si="115"/>
        <v/>
      </c>
      <c r="JIP83" s="248" t="str">
        <f t="shared" si="115"/>
        <v/>
      </c>
      <c r="JIQ83" s="248" t="str">
        <f t="shared" si="115"/>
        <v/>
      </c>
      <c r="JIR83" s="248" t="str">
        <f t="shared" si="115"/>
        <v/>
      </c>
      <c r="JIS83" s="248" t="str">
        <f t="shared" si="115"/>
        <v/>
      </c>
      <c r="JIT83" s="248" t="str">
        <f t="shared" si="115"/>
        <v/>
      </c>
      <c r="JIU83" s="248" t="str">
        <f t="shared" si="115"/>
        <v/>
      </c>
      <c r="JIV83" s="248" t="str">
        <f t="shared" si="115"/>
        <v/>
      </c>
      <c r="JIW83" s="248" t="str">
        <f t="shared" si="115"/>
        <v/>
      </c>
      <c r="JIX83" s="248" t="str">
        <f t="shared" si="115"/>
        <v/>
      </c>
      <c r="JIY83" s="248" t="str">
        <f t="shared" si="115"/>
        <v/>
      </c>
      <c r="JIZ83" s="248" t="str">
        <f t="shared" si="115"/>
        <v/>
      </c>
      <c r="JJA83" s="248" t="str">
        <f t="shared" si="115"/>
        <v/>
      </c>
      <c r="JJB83" s="248" t="str">
        <f t="shared" si="115"/>
        <v/>
      </c>
      <c r="JJC83" s="248" t="str">
        <f t="shared" si="115"/>
        <v/>
      </c>
      <c r="JJD83" s="248" t="str">
        <f t="shared" si="115"/>
        <v/>
      </c>
      <c r="JJE83" s="248" t="str">
        <f t="shared" si="115"/>
        <v/>
      </c>
      <c r="JJF83" s="248" t="str">
        <f t="shared" si="115"/>
        <v/>
      </c>
      <c r="JJG83" s="248" t="str">
        <f t="shared" si="115"/>
        <v/>
      </c>
      <c r="JJH83" s="248" t="str">
        <f t="shared" si="115"/>
        <v/>
      </c>
      <c r="JJI83" s="248" t="str">
        <f t="shared" si="115"/>
        <v/>
      </c>
      <c r="JJJ83" s="248" t="str">
        <f t="shared" si="115"/>
        <v/>
      </c>
      <c r="JJK83" s="248" t="str">
        <f t="shared" si="115"/>
        <v/>
      </c>
      <c r="JJL83" s="248" t="str">
        <f t="shared" si="115"/>
        <v/>
      </c>
      <c r="JJM83" s="248" t="str">
        <f t="shared" si="115"/>
        <v/>
      </c>
      <c r="JJN83" s="248" t="str">
        <f t="shared" si="115"/>
        <v/>
      </c>
      <c r="JJO83" s="248" t="str">
        <f t="shared" si="115"/>
        <v/>
      </c>
      <c r="JJP83" s="248" t="str">
        <f t="shared" si="115"/>
        <v/>
      </c>
      <c r="JJQ83" s="248" t="str">
        <f t="shared" si="115"/>
        <v/>
      </c>
      <c r="JJR83" s="248" t="str">
        <f t="shared" si="115"/>
        <v/>
      </c>
      <c r="JJS83" s="248" t="str">
        <f t="shared" si="115"/>
        <v/>
      </c>
      <c r="JJT83" s="248" t="str">
        <f t="shared" si="115"/>
        <v/>
      </c>
      <c r="JJU83" s="248" t="str">
        <f t="shared" si="115"/>
        <v/>
      </c>
      <c r="JJV83" s="248" t="str">
        <f t="shared" si="115"/>
        <v/>
      </c>
      <c r="JJW83" s="248" t="str">
        <f t="shared" si="115"/>
        <v/>
      </c>
      <c r="JJX83" s="248" t="str">
        <f t="shared" si="115"/>
        <v/>
      </c>
      <c r="JJY83" s="248" t="str">
        <f t="shared" si="115"/>
        <v/>
      </c>
      <c r="JJZ83" s="248" t="str">
        <f t="shared" si="115"/>
        <v/>
      </c>
      <c r="JKA83" s="248" t="str">
        <f t="shared" si="115"/>
        <v/>
      </c>
      <c r="JKB83" s="248" t="str">
        <f t="shared" si="115"/>
        <v/>
      </c>
      <c r="JKC83" s="248" t="str">
        <f t="shared" si="115"/>
        <v/>
      </c>
      <c r="JKD83" s="248" t="str">
        <f t="shared" si="115"/>
        <v/>
      </c>
      <c r="JKE83" s="248" t="str">
        <f t="shared" si="115"/>
        <v/>
      </c>
      <c r="JKF83" s="248" t="str">
        <f t="shared" si="115"/>
        <v/>
      </c>
      <c r="JKG83" s="248" t="str">
        <f t="shared" si="115"/>
        <v/>
      </c>
      <c r="JKH83" s="248" t="str">
        <f t="shared" si="115"/>
        <v/>
      </c>
      <c r="JKI83" s="248" t="str">
        <f t="shared" si="115"/>
        <v/>
      </c>
      <c r="JKJ83" s="248" t="str">
        <f t="shared" si="115"/>
        <v/>
      </c>
      <c r="JKK83" s="248" t="str">
        <f t="shared" si="115"/>
        <v/>
      </c>
      <c r="JKL83" s="248" t="str">
        <f t="shared" si="115"/>
        <v/>
      </c>
      <c r="JKM83" s="248" t="str">
        <f t="shared" si="115"/>
        <v/>
      </c>
      <c r="JKN83" s="248" t="str">
        <f t="shared" si="115"/>
        <v/>
      </c>
      <c r="JKO83" s="248" t="str">
        <f t="shared" si="115"/>
        <v/>
      </c>
      <c r="JKP83" s="248" t="str">
        <f t="shared" si="115"/>
        <v/>
      </c>
      <c r="JKQ83" s="248" t="str">
        <f t="shared" si="115"/>
        <v/>
      </c>
      <c r="JKR83" s="248" t="str">
        <f t="shared" si="115"/>
        <v/>
      </c>
      <c r="JKS83" s="248" t="str">
        <f t="shared" si="115"/>
        <v/>
      </c>
      <c r="JKT83" s="248" t="str">
        <f t="shared" si="115"/>
        <v/>
      </c>
      <c r="JKU83" s="248" t="str">
        <f t="shared" si="115"/>
        <v/>
      </c>
      <c r="JKV83" s="248" t="str">
        <f t="shared" si="115"/>
        <v/>
      </c>
      <c r="JKW83" s="248" t="str">
        <f t="shared" si="115"/>
        <v/>
      </c>
      <c r="JKX83" s="248" t="str">
        <f t="shared" si="115"/>
        <v/>
      </c>
      <c r="JKY83" s="248" t="str">
        <f t="shared" ref="JKY83:JNJ83" si="116">UPPER(JKW83)</f>
        <v/>
      </c>
      <c r="JKZ83" s="248" t="str">
        <f t="shared" si="116"/>
        <v/>
      </c>
      <c r="JLA83" s="248" t="str">
        <f t="shared" si="116"/>
        <v/>
      </c>
      <c r="JLB83" s="248" t="str">
        <f t="shared" si="116"/>
        <v/>
      </c>
      <c r="JLC83" s="248" t="str">
        <f t="shared" si="116"/>
        <v/>
      </c>
      <c r="JLD83" s="248" t="str">
        <f t="shared" si="116"/>
        <v/>
      </c>
      <c r="JLE83" s="248" t="str">
        <f t="shared" si="116"/>
        <v/>
      </c>
      <c r="JLF83" s="248" t="str">
        <f t="shared" si="116"/>
        <v/>
      </c>
      <c r="JLG83" s="248" t="str">
        <f t="shared" si="116"/>
        <v/>
      </c>
      <c r="JLH83" s="248" t="str">
        <f t="shared" si="116"/>
        <v/>
      </c>
      <c r="JLI83" s="248" t="str">
        <f t="shared" si="116"/>
        <v/>
      </c>
      <c r="JLJ83" s="248" t="str">
        <f t="shared" si="116"/>
        <v/>
      </c>
      <c r="JLK83" s="248" t="str">
        <f t="shared" si="116"/>
        <v/>
      </c>
      <c r="JLL83" s="248" t="str">
        <f t="shared" si="116"/>
        <v/>
      </c>
      <c r="JLM83" s="248" t="str">
        <f t="shared" si="116"/>
        <v/>
      </c>
      <c r="JLN83" s="248" t="str">
        <f t="shared" si="116"/>
        <v/>
      </c>
      <c r="JLO83" s="248" t="str">
        <f t="shared" si="116"/>
        <v/>
      </c>
      <c r="JLP83" s="248" t="str">
        <f t="shared" si="116"/>
        <v/>
      </c>
      <c r="JLQ83" s="248" t="str">
        <f t="shared" si="116"/>
        <v/>
      </c>
      <c r="JLR83" s="248" t="str">
        <f t="shared" si="116"/>
        <v/>
      </c>
      <c r="JLS83" s="248" t="str">
        <f t="shared" si="116"/>
        <v/>
      </c>
      <c r="JLT83" s="248" t="str">
        <f t="shared" si="116"/>
        <v/>
      </c>
      <c r="JLU83" s="248" t="str">
        <f t="shared" si="116"/>
        <v/>
      </c>
      <c r="JLV83" s="248" t="str">
        <f t="shared" si="116"/>
        <v/>
      </c>
      <c r="JLW83" s="248" t="str">
        <f t="shared" si="116"/>
        <v/>
      </c>
      <c r="JLX83" s="248" t="str">
        <f t="shared" si="116"/>
        <v/>
      </c>
      <c r="JLY83" s="248" t="str">
        <f t="shared" si="116"/>
        <v/>
      </c>
      <c r="JLZ83" s="248" t="str">
        <f t="shared" si="116"/>
        <v/>
      </c>
      <c r="JMA83" s="248" t="str">
        <f t="shared" si="116"/>
        <v/>
      </c>
      <c r="JMB83" s="248" t="str">
        <f t="shared" si="116"/>
        <v/>
      </c>
      <c r="JMC83" s="248" t="str">
        <f t="shared" si="116"/>
        <v/>
      </c>
      <c r="JMD83" s="248" t="str">
        <f t="shared" si="116"/>
        <v/>
      </c>
      <c r="JME83" s="248" t="str">
        <f t="shared" si="116"/>
        <v/>
      </c>
      <c r="JMF83" s="248" t="str">
        <f t="shared" si="116"/>
        <v/>
      </c>
      <c r="JMG83" s="248" t="str">
        <f t="shared" si="116"/>
        <v/>
      </c>
      <c r="JMH83" s="248" t="str">
        <f t="shared" si="116"/>
        <v/>
      </c>
      <c r="JMI83" s="248" t="str">
        <f t="shared" si="116"/>
        <v/>
      </c>
      <c r="JMJ83" s="248" t="str">
        <f t="shared" si="116"/>
        <v/>
      </c>
      <c r="JMK83" s="248" t="str">
        <f t="shared" si="116"/>
        <v/>
      </c>
      <c r="JML83" s="248" t="str">
        <f t="shared" si="116"/>
        <v/>
      </c>
      <c r="JMM83" s="248" t="str">
        <f t="shared" si="116"/>
        <v/>
      </c>
      <c r="JMN83" s="248" t="str">
        <f t="shared" si="116"/>
        <v/>
      </c>
      <c r="JMO83" s="248" t="str">
        <f t="shared" si="116"/>
        <v/>
      </c>
      <c r="JMP83" s="248" t="str">
        <f t="shared" si="116"/>
        <v/>
      </c>
      <c r="JMQ83" s="248" t="str">
        <f t="shared" si="116"/>
        <v/>
      </c>
      <c r="JMR83" s="248" t="str">
        <f t="shared" si="116"/>
        <v/>
      </c>
      <c r="JMS83" s="248" t="str">
        <f t="shared" si="116"/>
        <v/>
      </c>
      <c r="JMT83" s="248" t="str">
        <f t="shared" si="116"/>
        <v/>
      </c>
      <c r="JMU83" s="248" t="str">
        <f t="shared" si="116"/>
        <v/>
      </c>
      <c r="JMV83" s="248" t="str">
        <f t="shared" si="116"/>
        <v/>
      </c>
      <c r="JMW83" s="248" t="str">
        <f t="shared" si="116"/>
        <v/>
      </c>
      <c r="JMX83" s="248" t="str">
        <f t="shared" si="116"/>
        <v/>
      </c>
      <c r="JMY83" s="248" t="str">
        <f t="shared" si="116"/>
        <v/>
      </c>
      <c r="JMZ83" s="248" t="str">
        <f t="shared" si="116"/>
        <v/>
      </c>
      <c r="JNA83" s="248" t="str">
        <f t="shared" si="116"/>
        <v/>
      </c>
      <c r="JNB83" s="248" t="str">
        <f t="shared" si="116"/>
        <v/>
      </c>
      <c r="JNC83" s="248" t="str">
        <f t="shared" si="116"/>
        <v/>
      </c>
      <c r="JND83" s="248" t="str">
        <f t="shared" si="116"/>
        <v/>
      </c>
      <c r="JNE83" s="248" t="str">
        <f t="shared" si="116"/>
        <v/>
      </c>
      <c r="JNF83" s="248" t="str">
        <f t="shared" si="116"/>
        <v/>
      </c>
      <c r="JNG83" s="248" t="str">
        <f t="shared" si="116"/>
        <v/>
      </c>
      <c r="JNH83" s="248" t="str">
        <f t="shared" si="116"/>
        <v/>
      </c>
      <c r="JNI83" s="248" t="str">
        <f t="shared" si="116"/>
        <v/>
      </c>
      <c r="JNJ83" s="248" t="str">
        <f t="shared" si="116"/>
        <v/>
      </c>
      <c r="JNK83" s="248" t="str">
        <f t="shared" ref="JNK83:JPV83" si="117">UPPER(JNI83)</f>
        <v/>
      </c>
      <c r="JNL83" s="248" t="str">
        <f t="shared" si="117"/>
        <v/>
      </c>
      <c r="JNM83" s="248" t="str">
        <f t="shared" si="117"/>
        <v/>
      </c>
      <c r="JNN83" s="248" t="str">
        <f t="shared" si="117"/>
        <v/>
      </c>
      <c r="JNO83" s="248" t="str">
        <f t="shared" si="117"/>
        <v/>
      </c>
      <c r="JNP83" s="248" t="str">
        <f t="shared" si="117"/>
        <v/>
      </c>
      <c r="JNQ83" s="248" t="str">
        <f t="shared" si="117"/>
        <v/>
      </c>
      <c r="JNR83" s="248" t="str">
        <f t="shared" si="117"/>
        <v/>
      </c>
      <c r="JNS83" s="248" t="str">
        <f t="shared" si="117"/>
        <v/>
      </c>
      <c r="JNT83" s="248" t="str">
        <f t="shared" si="117"/>
        <v/>
      </c>
      <c r="JNU83" s="248" t="str">
        <f t="shared" si="117"/>
        <v/>
      </c>
      <c r="JNV83" s="248" t="str">
        <f t="shared" si="117"/>
        <v/>
      </c>
      <c r="JNW83" s="248" t="str">
        <f t="shared" si="117"/>
        <v/>
      </c>
      <c r="JNX83" s="248" t="str">
        <f t="shared" si="117"/>
        <v/>
      </c>
      <c r="JNY83" s="248" t="str">
        <f t="shared" si="117"/>
        <v/>
      </c>
      <c r="JNZ83" s="248" t="str">
        <f t="shared" si="117"/>
        <v/>
      </c>
      <c r="JOA83" s="248" t="str">
        <f t="shared" si="117"/>
        <v/>
      </c>
      <c r="JOB83" s="248" t="str">
        <f t="shared" si="117"/>
        <v/>
      </c>
      <c r="JOC83" s="248" t="str">
        <f t="shared" si="117"/>
        <v/>
      </c>
      <c r="JOD83" s="248" t="str">
        <f t="shared" si="117"/>
        <v/>
      </c>
      <c r="JOE83" s="248" t="str">
        <f t="shared" si="117"/>
        <v/>
      </c>
      <c r="JOF83" s="248" t="str">
        <f t="shared" si="117"/>
        <v/>
      </c>
      <c r="JOG83" s="248" t="str">
        <f t="shared" si="117"/>
        <v/>
      </c>
      <c r="JOH83" s="248" t="str">
        <f t="shared" si="117"/>
        <v/>
      </c>
      <c r="JOI83" s="248" t="str">
        <f t="shared" si="117"/>
        <v/>
      </c>
      <c r="JOJ83" s="248" t="str">
        <f t="shared" si="117"/>
        <v/>
      </c>
      <c r="JOK83" s="248" t="str">
        <f t="shared" si="117"/>
        <v/>
      </c>
      <c r="JOL83" s="248" t="str">
        <f t="shared" si="117"/>
        <v/>
      </c>
      <c r="JOM83" s="248" t="str">
        <f t="shared" si="117"/>
        <v/>
      </c>
      <c r="JON83" s="248" t="str">
        <f t="shared" si="117"/>
        <v/>
      </c>
      <c r="JOO83" s="248" t="str">
        <f t="shared" si="117"/>
        <v/>
      </c>
      <c r="JOP83" s="248" t="str">
        <f t="shared" si="117"/>
        <v/>
      </c>
      <c r="JOQ83" s="248" t="str">
        <f t="shared" si="117"/>
        <v/>
      </c>
      <c r="JOR83" s="248" t="str">
        <f t="shared" si="117"/>
        <v/>
      </c>
      <c r="JOS83" s="248" t="str">
        <f t="shared" si="117"/>
        <v/>
      </c>
      <c r="JOT83" s="248" t="str">
        <f t="shared" si="117"/>
        <v/>
      </c>
      <c r="JOU83" s="248" t="str">
        <f t="shared" si="117"/>
        <v/>
      </c>
      <c r="JOV83" s="248" t="str">
        <f t="shared" si="117"/>
        <v/>
      </c>
      <c r="JOW83" s="248" t="str">
        <f t="shared" si="117"/>
        <v/>
      </c>
      <c r="JOX83" s="248" t="str">
        <f t="shared" si="117"/>
        <v/>
      </c>
      <c r="JOY83" s="248" t="str">
        <f t="shared" si="117"/>
        <v/>
      </c>
      <c r="JOZ83" s="248" t="str">
        <f t="shared" si="117"/>
        <v/>
      </c>
      <c r="JPA83" s="248" t="str">
        <f t="shared" si="117"/>
        <v/>
      </c>
      <c r="JPB83" s="248" t="str">
        <f t="shared" si="117"/>
        <v/>
      </c>
      <c r="JPC83" s="248" t="str">
        <f t="shared" si="117"/>
        <v/>
      </c>
      <c r="JPD83" s="248" t="str">
        <f t="shared" si="117"/>
        <v/>
      </c>
      <c r="JPE83" s="248" t="str">
        <f t="shared" si="117"/>
        <v/>
      </c>
      <c r="JPF83" s="248" t="str">
        <f t="shared" si="117"/>
        <v/>
      </c>
      <c r="JPG83" s="248" t="str">
        <f t="shared" si="117"/>
        <v/>
      </c>
      <c r="JPH83" s="248" t="str">
        <f t="shared" si="117"/>
        <v/>
      </c>
      <c r="JPI83" s="248" t="str">
        <f t="shared" si="117"/>
        <v/>
      </c>
      <c r="JPJ83" s="248" t="str">
        <f t="shared" si="117"/>
        <v/>
      </c>
      <c r="JPK83" s="248" t="str">
        <f t="shared" si="117"/>
        <v/>
      </c>
      <c r="JPL83" s="248" t="str">
        <f t="shared" si="117"/>
        <v/>
      </c>
      <c r="JPM83" s="248" t="str">
        <f t="shared" si="117"/>
        <v/>
      </c>
      <c r="JPN83" s="248" t="str">
        <f t="shared" si="117"/>
        <v/>
      </c>
      <c r="JPO83" s="248" t="str">
        <f t="shared" si="117"/>
        <v/>
      </c>
      <c r="JPP83" s="248" t="str">
        <f t="shared" si="117"/>
        <v/>
      </c>
      <c r="JPQ83" s="248" t="str">
        <f t="shared" si="117"/>
        <v/>
      </c>
      <c r="JPR83" s="248" t="str">
        <f t="shared" si="117"/>
        <v/>
      </c>
      <c r="JPS83" s="248" t="str">
        <f t="shared" si="117"/>
        <v/>
      </c>
      <c r="JPT83" s="248" t="str">
        <f t="shared" si="117"/>
        <v/>
      </c>
      <c r="JPU83" s="248" t="str">
        <f t="shared" si="117"/>
        <v/>
      </c>
      <c r="JPV83" s="248" t="str">
        <f t="shared" si="117"/>
        <v/>
      </c>
      <c r="JPW83" s="248" t="str">
        <f t="shared" ref="JPW83:JSH83" si="118">UPPER(JPU83)</f>
        <v/>
      </c>
      <c r="JPX83" s="248" t="str">
        <f t="shared" si="118"/>
        <v/>
      </c>
      <c r="JPY83" s="248" t="str">
        <f t="shared" si="118"/>
        <v/>
      </c>
      <c r="JPZ83" s="248" t="str">
        <f t="shared" si="118"/>
        <v/>
      </c>
      <c r="JQA83" s="248" t="str">
        <f t="shared" si="118"/>
        <v/>
      </c>
      <c r="JQB83" s="248" t="str">
        <f t="shared" si="118"/>
        <v/>
      </c>
      <c r="JQC83" s="248" t="str">
        <f t="shared" si="118"/>
        <v/>
      </c>
      <c r="JQD83" s="248" t="str">
        <f t="shared" si="118"/>
        <v/>
      </c>
      <c r="JQE83" s="248" t="str">
        <f t="shared" si="118"/>
        <v/>
      </c>
      <c r="JQF83" s="248" t="str">
        <f t="shared" si="118"/>
        <v/>
      </c>
      <c r="JQG83" s="248" t="str">
        <f t="shared" si="118"/>
        <v/>
      </c>
      <c r="JQH83" s="248" t="str">
        <f t="shared" si="118"/>
        <v/>
      </c>
      <c r="JQI83" s="248" t="str">
        <f t="shared" si="118"/>
        <v/>
      </c>
      <c r="JQJ83" s="248" t="str">
        <f t="shared" si="118"/>
        <v/>
      </c>
      <c r="JQK83" s="248" t="str">
        <f t="shared" si="118"/>
        <v/>
      </c>
      <c r="JQL83" s="248" t="str">
        <f t="shared" si="118"/>
        <v/>
      </c>
      <c r="JQM83" s="248" t="str">
        <f t="shared" si="118"/>
        <v/>
      </c>
      <c r="JQN83" s="248" t="str">
        <f t="shared" si="118"/>
        <v/>
      </c>
      <c r="JQO83" s="248" t="str">
        <f t="shared" si="118"/>
        <v/>
      </c>
      <c r="JQP83" s="248" t="str">
        <f t="shared" si="118"/>
        <v/>
      </c>
      <c r="JQQ83" s="248" t="str">
        <f t="shared" si="118"/>
        <v/>
      </c>
      <c r="JQR83" s="248" t="str">
        <f t="shared" si="118"/>
        <v/>
      </c>
      <c r="JQS83" s="248" t="str">
        <f t="shared" si="118"/>
        <v/>
      </c>
      <c r="JQT83" s="248" t="str">
        <f t="shared" si="118"/>
        <v/>
      </c>
      <c r="JQU83" s="248" t="str">
        <f t="shared" si="118"/>
        <v/>
      </c>
      <c r="JQV83" s="248" t="str">
        <f t="shared" si="118"/>
        <v/>
      </c>
      <c r="JQW83" s="248" t="str">
        <f t="shared" si="118"/>
        <v/>
      </c>
      <c r="JQX83" s="248" t="str">
        <f t="shared" si="118"/>
        <v/>
      </c>
      <c r="JQY83" s="248" t="str">
        <f t="shared" si="118"/>
        <v/>
      </c>
      <c r="JQZ83" s="248" t="str">
        <f t="shared" si="118"/>
        <v/>
      </c>
      <c r="JRA83" s="248" t="str">
        <f t="shared" si="118"/>
        <v/>
      </c>
      <c r="JRB83" s="248" t="str">
        <f t="shared" si="118"/>
        <v/>
      </c>
      <c r="JRC83" s="248" t="str">
        <f t="shared" si="118"/>
        <v/>
      </c>
      <c r="JRD83" s="248" t="str">
        <f t="shared" si="118"/>
        <v/>
      </c>
      <c r="JRE83" s="248" t="str">
        <f t="shared" si="118"/>
        <v/>
      </c>
      <c r="JRF83" s="248" t="str">
        <f t="shared" si="118"/>
        <v/>
      </c>
      <c r="JRG83" s="248" t="str">
        <f t="shared" si="118"/>
        <v/>
      </c>
      <c r="JRH83" s="248" t="str">
        <f t="shared" si="118"/>
        <v/>
      </c>
      <c r="JRI83" s="248" t="str">
        <f t="shared" si="118"/>
        <v/>
      </c>
      <c r="JRJ83" s="248" t="str">
        <f t="shared" si="118"/>
        <v/>
      </c>
      <c r="JRK83" s="248" t="str">
        <f t="shared" si="118"/>
        <v/>
      </c>
      <c r="JRL83" s="248" t="str">
        <f t="shared" si="118"/>
        <v/>
      </c>
      <c r="JRM83" s="248" t="str">
        <f t="shared" si="118"/>
        <v/>
      </c>
      <c r="JRN83" s="248" t="str">
        <f t="shared" si="118"/>
        <v/>
      </c>
      <c r="JRO83" s="248" t="str">
        <f t="shared" si="118"/>
        <v/>
      </c>
      <c r="JRP83" s="248" t="str">
        <f t="shared" si="118"/>
        <v/>
      </c>
      <c r="JRQ83" s="248" t="str">
        <f t="shared" si="118"/>
        <v/>
      </c>
      <c r="JRR83" s="248" t="str">
        <f t="shared" si="118"/>
        <v/>
      </c>
      <c r="JRS83" s="248" t="str">
        <f t="shared" si="118"/>
        <v/>
      </c>
      <c r="JRT83" s="248" t="str">
        <f t="shared" si="118"/>
        <v/>
      </c>
      <c r="JRU83" s="248" t="str">
        <f t="shared" si="118"/>
        <v/>
      </c>
      <c r="JRV83" s="248" t="str">
        <f t="shared" si="118"/>
        <v/>
      </c>
      <c r="JRW83" s="248" t="str">
        <f t="shared" si="118"/>
        <v/>
      </c>
      <c r="JRX83" s="248" t="str">
        <f t="shared" si="118"/>
        <v/>
      </c>
      <c r="JRY83" s="248" t="str">
        <f t="shared" si="118"/>
        <v/>
      </c>
      <c r="JRZ83" s="248" t="str">
        <f t="shared" si="118"/>
        <v/>
      </c>
      <c r="JSA83" s="248" t="str">
        <f t="shared" si="118"/>
        <v/>
      </c>
      <c r="JSB83" s="248" t="str">
        <f t="shared" si="118"/>
        <v/>
      </c>
      <c r="JSC83" s="248" t="str">
        <f t="shared" si="118"/>
        <v/>
      </c>
      <c r="JSD83" s="248" t="str">
        <f t="shared" si="118"/>
        <v/>
      </c>
      <c r="JSE83" s="248" t="str">
        <f t="shared" si="118"/>
        <v/>
      </c>
      <c r="JSF83" s="248" t="str">
        <f t="shared" si="118"/>
        <v/>
      </c>
      <c r="JSG83" s="248" t="str">
        <f t="shared" si="118"/>
        <v/>
      </c>
      <c r="JSH83" s="248" t="str">
        <f t="shared" si="118"/>
        <v/>
      </c>
      <c r="JSI83" s="248" t="str">
        <f t="shared" ref="JSI83:JUT83" si="119">UPPER(JSG83)</f>
        <v/>
      </c>
      <c r="JSJ83" s="248" t="str">
        <f t="shared" si="119"/>
        <v/>
      </c>
      <c r="JSK83" s="248" t="str">
        <f t="shared" si="119"/>
        <v/>
      </c>
      <c r="JSL83" s="248" t="str">
        <f t="shared" si="119"/>
        <v/>
      </c>
      <c r="JSM83" s="248" t="str">
        <f t="shared" si="119"/>
        <v/>
      </c>
      <c r="JSN83" s="248" t="str">
        <f t="shared" si="119"/>
        <v/>
      </c>
      <c r="JSO83" s="248" t="str">
        <f t="shared" si="119"/>
        <v/>
      </c>
      <c r="JSP83" s="248" t="str">
        <f t="shared" si="119"/>
        <v/>
      </c>
      <c r="JSQ83" s="248" t="str">
        <f t="shared" si="119"/>
        <v/>
      </c>
      <c r="JSR83" s="248" t="str">
        <f t="shared" si="119"/>
        <v/>
      </c>
      <c r="JSS83" s="248" t="str">
        <f t="shared" si="119"/>
        <v/>
      </c>
      <c r="JST83" s="248" t="str">
        <f t="shared" si="119"/>
        <v/>
      </c>
      <c r="JSU83" s="248" t="str">
        <f t="shared" si="119"/>
        <v/>
      </c>
      <c r="JSV83" s="248" t="str">
        <f t="shared" si="119"/>
        <v/>
      </c>
      <c r="JSW83" s="248" t="str">
        <f t="shared" si="119"/>
        <v/>
      </c>
      <c r="JSX83" s="248" t="str">
        <f t="shared" si="119"/>
        <v/>
      </c>
      <c r="JSY83" s="248" t="str">
        <f t="shared" si="119"/>
        <v/>
      </c>
      <c r="JSZ83" s="248" t="str">
        <f t="shared" si="119"/>
        <v/>
      </c>
      <c r="JTA83" s="248" t="str">
        <f t="shared" si="119"/>
        <v/>
      </c>
      <c r="JTB83" s="248" t="str">
        <f t="shared" si="119"/>
        <v/>
      </c>
      <c r="JTC83" s="248" t="str">
        <f t="shared" si="119"/>
        <v/>
      </c>
      <c r="JTD83" s="248" t="str">
        <f t="shared" si="119"/>
        <v/>
      </c>
      <c r="JTE83" s="248" t="str">
        <f t="shared" si="119"/>
        <v/>
      </c>
      <c r="JTF83" s="248" t="str">
        <f t="shared" si="119"/>
        <v/>
      </c>
      <c r="JTG83" s="248" t="str">
        <f t="shared" si="119"/>
        <v/>
      </c>
      <c r="JTH83" s="248" t="str">
        <f t="shared" si="119"/>
        <v/>
      </c>
      <c r="JTI83" s="248" t="str">
        <f t="shared" si="119"/>
        <v/>
      </c>
      <c r="JTJ83" s="248" t="str">
        <f t="shared" si="119"/>
        <v/>
      </c>
      <c r="JTK83" s="248" t="str">
        <f t="shared" si="119"/>
        <v/>
      </c>
      <c r="JTL83" s="248" t="str">
        <f t="shared" si="119"/>
        <v/>
      </c>
      <c r="JTM83" s="248" t="str">
        <f t="shared" si="119"/>
        <v/>
      </c>
      <c r="JTN83" s="248" t="str">
        <f t="shared" si="119"/>
        <v/>
      </c>
      <c r="JTO83" s="248" t="str">
        <f t="shared" si="119"/>
        <v/>
      </c>
      <c r="JTP83" s="248" t="str">
        <f t="shared" si="119"/>
        <v/>
      </c>
      <c r="JTQ83" s="248" t="str">
        <f t="shared" si="119"/>
        <v/>
      </c>
      <c r="JTR83" s="248" t="str">
        <f t="shared" si="119"/>
        <v/>
      </c>
      <c r="JTS83" s="248" t="str">
        <f t="shared" si="119"/>
        <v/>
      </c>
      <c r="JTT83" s="248" t="str">
        <f t="shared" si="119"/>
        <v/>
      </c>
      <c r="JTU83" s="248" t="str">
        <f t="shared" si="119"/>
        <v/>
      </c>
      <c r="JTV83" s="248" t="str">
        <f t="shared" si="119"/>
        <v/>
      </c>
      <c r="JTW83" s="248" t="str">
        <f t="shared" si="119"/>
        <v/>
      </c>
      <c r="JTX83" s="248" t="str">
        <f t="shared" si="119"/>
        <v/>
      </c>
      <c r="JTY83" s="248" t="str">
        <f t="shared" si="119"/>
        <v/>
      </c>
      <c r="JTZ83" s="248" t="str">
        <f t="shared" si="119"/>
        <v/>
      </c>
      <c r="JUA83" s="248" t="str">
        <f t="shared" si="119"/>
        <v/>
      </c>
      <c r="JUB83" s="248" t="str">
        <f t="shared" si="119"/>
        <v/>
      </c>
      <c r="JUC83" s="248" t="str">
        <f t="shared" si="119"/>
        <v/>
      </c>
      <c r="JUD83" s="248" t="str">
        <f t="shared" si="119"/>
        <v/>
      </c>
      <c r="JUE83" s="248" t="str">
        <f t="shared" si="119"/>
        <v/>
      </c>
      <c r="JUF83" s="248" t="str">
        <f t="shared" si="119"/>
        <v/>
      </c>
      <c r="JUG83" s="248" t="str">
        <f t="shared" si="119"/>
        <v/>
      </c>
      <c r="JUH83" s="248" t="str">
        <f t="shared" si="119"/>
        <v/>
      </c>
      <c r="JUI83" s="248" t="str">
        <f t="shared" si="119"/>
        <v/>
      </c>
      <c r="JUJ83" s="248" t="str">
        <f t="shared" si="119"/>
        <v/>
      </c>
      <c r="JUK83" s="248" t="str">
        <f t="shared" si="119"/>
        <v/>
      </c>
      <c r="JUL83" s="248" t="str">
        <f t="shared" si="119"/>
        <v/>
      </c>
      <c r="JUM83" s="248" t="str">
        <f t="shared" si="119"/>
        <v/>
      </c>
      <c r="JUN83" s="248" t="str">
        <f t="shared" si="119"/>
        <v/>
      </c>
      <c r="JUO83" s="248" t="str">
        <f t="shared" si="119"/>
        <v/>
      </c>
      <c r="JUP83" s="248" t="str">
        <f t="shared" si="119"/>
        <v/>
      </c>
      <c r="JUQ83" s="248" t="str">
        <f t="shared" si="119"/>
        <v/>
      </c>
      <c r="JUR83" s="248" t="str">
        <f t="shared" si="119"/>
        <v/>
      </c>
      <c r="JUS83" s="248" t="str">
        <f t="shared" si="119"/>
        <v/>
      </c>
      <c r="JUT83" s="248" t="str">
        <f t="shared" si="119"/>
        <v/>
      </c>
      <c r="JUU83" s="248" t="str">
        <f t="shared" ref="JUU83:JXF83" si="120">UPPER(JUS83)</f>
        <v/>
      </c>
      <c r="JUV83" s="248" t="str">
        <f t="shared" si="120"/>
        <v/>
      </c>
      <c r="JUW83" s="248" t="str">
        <f t="shared" si="120"/>
        <v/>
      </c>
      <c r="JUX83" s="248" t="str">
        <f t="shared" si="120"/>
        <v/>
      </c>
      <c r="JUY83" s="248" t="str">
        <f t="shared" si="120"/>
        <v/>
      </c>
      <c r="JUZ83" s="248" t="str">
        <f t="shared" si="120"/>
        <v/>
      </c>
      <c r="JVA83" s="248" t="str">
        <f t="shared" si="120"/>
        <v/>
      </c>
      <c r="JVB83" s="248" t="str">
        <f t="shared" si="120"/>
        <v/>
      </c>
      <c r="JVC83" s="248" t="str">
        <f t="shared" si="120"/>
        <v/>
      </c>
      <c r="JVD83" s="248" t="str">
        <f t="shared" si="120"/>
        <v/>
      </c>
      <c r="JVE83" s="248" t="str">
        <f t="shared" si="120"/>
        <v/>
      </c>
      <c r="JVF83" s="248" t="str">
        <f t="shared" si="120"/>
        <v/>
      </c>
      <c r="JVG83" s="248" t="str">
        <f t="shared" si="120"/>
        <v/>
      </c>
      <c r="JVH83" s="248" t="str">
        <f t="shared" si="120"/>
        <v/>
      </c>
      <c r="JVI83" s="248" t="str">
        <f t="shared" si="120"/>
        <v/>
      </c>
      <c r="JVJ83" s="248" t="str">
        <f t="shared" si="120"/>
        <v/>
      </c>
      <c r="JVK83" s="248" t="str">
        <f t="shared" si="120"/>
        <v/>
      </c>
      <c r="JVL83" s="248" t="str">
        <f t="shared" si="120"/>
        <v/>
      </c>
      <c r="JVM83" s="248" t="str">
        <f t="shared" si="120"/>
        <v/>
      </c>
      <c r="JVN83" s="248" t="str">
        <f t="shared" si="120"/>
        <v/>
      </c>
      <c r="JVO83" s="248" t="str">
        <f t="shared" si="120"/>
        <v/>
      </c>
      <c r="JVP83" s="248" t="str">
        <f t="shared" si="120"/>
        <v/>
      </c>
      <c r="JVQ83" s="248" t="str">
        <f t="shared" si="120"/>
        <v/>
      </c>
      <c r="JVR83" s="248" t="str">
        <f t="shared" si="120"/>
        <v/>
      </c>
      <c r="JVS83" s="248" t="str">
        <f t="shared" si="120"/>
        <v/>
      </c>
      <c r="JVT83" s="248" t="str">
        <f t="shared" si="120"/>
        <v/>
      </c>
      <c r="JVU83" s="248" t="str">
        <f t="shared" si="120"/>
        <v/>
      </c>
      <c r="JVV83" s="248" t="str">
        <f t="shared" si="120"/>
        <v/>
      </c>
      <c r="JVW83" s="248" t="str">
        <f t="shared" si="120"/>
        <v/>
      </c>
      <c r="JVX83" s="248" t="str">
        <f t="shared" si="120"/>
        <v/>
      </c>
      <c r="JVY83" s="248" t="str">
        <f t="shared" si="120"/>
        <v/>
      </c>
      <c r="JVZ83" s="248" t="str">
        <f t="shared" si="120"/>
        <v/>
      </c>
      <c r="JWA83" s="248" t="str">
        <f t="shared" si="120"/>
        <v/>
      </c>
      <c r="JWB83" s="248" t="str">
        <f t="shared" si="120"/>
        <v/>
      </c>
      <c r="JWC83" s="248" t="str">
        <f t="shared" si="120"/>
        <v/>
      </c>
      <c r="JWD83" s="248" t="str">
        <f t="shared" si="120"/>
        <v/>
      </c>
      <c r="JWE83" s="248" t="str">
        <f t="shared" si="120"/>
        <v/>
      </c>
      <c r="JWF83" s="248" t="str">
        <f t="shared" si="120"/>
        <v/>
      </c>
      <c r="JWG83" s="248" t="str">
        <f t="shared" si="120"/>
        <v/>
      </c>
      <c r="JWH83" s="248" t="str">
        <f t="shared" si="120"/>
        <v/>
      </c>
      <c r="JWI83" s="248" t="str">
        <f t="shared" si="120"/>
        <v/>
      </c>
      <c r="JWJ83" s="248" t="str">
        <f t="shared" si="120"/>
        <v/>
      </c>
      <c r="JWK83" s="248" t="str">
        <f t="shared" si="120"/>
        <v/>
      </c>
      <c r="JWL83" s="248" t="str">
        <f t="shared" si="120"/>
        <v/>
      </c>
      <c r="JWM83" s="248" t="str">
        <f t="shared" si="120"/>
        <v/>
      </c>
      <c r="JWN83" s="248" t="str">
        <f t="shared" si="120"/>
        <v/>
      </c>
      <c r="JWO83" s="248" t="str">
        <f t="shared" si="120"/>
        <v/>
      </c>
      <c r="JWP83" s="248" t="str">
        <f t="shared" si="120"/>
        <v/>
      </c>
      <c r="JWQ83" s="248" t="str">
        <f t="shared" si="120"/>
        <v/>
      </c>
      <c r="JWR83" s="248" t="str">
        <f t="shared" si="120"/>
        <v/>
      </c>
      <c r="JWS83" s="248" t="str">
        <f t="shared" si="120"/>
        <v/>
      </c>
      <c r="JWT83" s="248" t="str">
        <f t="shared" si="120"/>
        <v/>
      </c>
      <c r="JWU83" s="248" t="str">
        <f t="shared" si="120"/>
        <v/>
      </c>
      <c r="JWV83" s="248" t="str">
        <f t="shared" si="120"/>
        <v/>
      </c>
      <c r="JWW83" s="248" t="str">
        <f t="shared" si="120"/>
        <v/>
      </c>
      <c r="JWX83" s="248" t="str">
        <f t="shared" si="120"/>
        <v/>
      </c>
      <c r="JWY83" s="248" t="str">
        <f t="shared" si="120"/>
        <v/>
      </c>
      <c r="JWZ83" s="248" t="str">
        <f t="shared" si="120"/>
        <v/>
      </c>
      <c r="JXA83" s="248" t="str">
        <f t="shared" si="120"/>
        <v/>
      </c>
      <c r="JXB83" s="248" t="str">
        <f t="shared" si="120"/>
        <v/>
      </c>
      <c r="JXC83" s="248" t="str">
        <f t="shared" si="120"/>
        <v/>
      </c>
      <c r="JXD83" s="248" t="str">
        <f t="shared" si="120"/>
        <v/>
      </c>
      <c r="JXE83" s="248" t="str">
        <f t="shared" si="120"/>
        <v/>
      </c>
      <c r="JXF83" s="248" t="str">
        <f t="shared" si="120"/>
        <v/>
      </c>
      <c r="JXG83" s="248" t="str">
        <f t="shared" ref="JXG83:JZR83" si="121">UPPER(JXE83)</f>
        <v/>
      </c>
      <c r="JXH83" s="248" t="str">
        <f t="shared" si="121"/>
        <v/>
      </c>
      <c r="JXI83" s="248" t="str">
        <f t="shared" si="121"/>
        <v/>
      </c>
      <c r="JXJ83" s="248" t="str">
        <f t="shared" si="121"/>
        <v/>
      </c>
      <c r="JXK83" s="248" t="str">
        <f t="shared" si="121"/>
        <v/>
      </c>
      <c r="JXL83" s="248" t="str">
        <f t="shared" si="121"/>
        <v/>
      </c>
      <c r="JXM83" s="248" t="str">
        <f t="shared" si="121"/>
        <v/>
      </c>
      <c r="JXN83" s="248" t="str">
        <f t="shared" si="121"/>
        <v/>
      </c>
      <c r="JXO83" s="248" t="str">
        <f t="shared" si="121"/>
        <v/>
      </c>
      <c r="JXP83" s="248" t="str">
        <f t="shared" si="121"/>
        <v/>
      </c>
      <c r="JXQ83" s="248" t="str">
        <f t="shared" si="121"/>
        <v/>
      </c>
      <c r="JXR83" s="248" t="str">
        <f t="shared" si="121"/>
        <v/>
      </c>
      <c r="JXS83" s="248" t="str">
        <f t="shared" si="121"/>
        <v/>
      </c>
      <c r="JXT83" s="248" t="str">
        <f t="shared" si="121"/>
        <v/>
      </c>
      <c r="JXU83" s="248" t="str">
        <f t="shared" si="121"/>
        <v/>
      </c>
      <c r="JXV83" s="248" t="str">
        <f t="shared" si="121"/>
        <v/>
      </c>
      <c r="JXW83" s="248" t="str">
        <f t="shared" si="121"/>
        <v/>
      </c>
      <c r="JXX83" s="248" t="str">
        <f t="shared" si="121"/>
        <v/>
      </c>
      <c r="JXY83" s="248" t="str">
        <f t="shared" si="121"/>
        <v/>
      </c>
      <c r="JXZ83" s="248" t="str">
        <f t="shared" si="121"/>
        <v/>
      </c>
      <c r="JYA83" s="248" t="str">
        <f t="shared" si="121"/>
        <v/>
      </c>
      <c r="JYB83" s="248" t="str">
        <f t="shared" si="121"/>
        <v/>
      </c>
      <c r="JYC83" s="248" t="str">
        <f t="shared" si="121"/>
        <v/>
      </c>
      <c r="JYD83" s="248" t="str">
        <f t="shared" si="121"/>
        <v/>
      </c>
      <c r="JYE83" s="248" t="str">
        <f t="shared" si="121"/>
        <v/>
      </c>
      <c r="JYF83" s="248" t="str">
        <f t="shared" si="121"/>
        <v/>
      </c>
      <c r="JYG83" s="248" t="str">
        <f t="shared" si="121"/>
        <v/>
      </c>
      <c r="JYH83" s="248" t="str">
        <f t="shared" si="121"/>
        <v/>
      </c>
      <c r="JYI83" s="248" t="str">
        <f t="shared" si="121"/>
        <v/>
      </c>
      <c r="JYJ83" s="248" t="str">
        <f t="shared" si="121"/>
        <v/>
      </c>
      <c r="JYK83" s="248" t="str">
        <f t="shared" si="121"/>
        <v/>
      </c>
      <c r="JYL83" s="248" t="str">
        <f t="shared" si="121"/>
        <v/>
      </c>
      <c r="JYM83" s="248" t="str">
        <f t="shared" si="121"/>
        <v/>
      </c>
      <c r="JYN83" s="248" t="str">
        <f t="shared" si="121"/>
        <v/>
      </c>
      <c r="JYO83" s="248" t="str">
        <f t="shared" si="121"/>
        <v/>
      </c>
      <c r="JYP83" s="248" t="str">
        <f t="shared" si="121"/>
        <v/>
      </c>
      <c r="JYQ83" s="248" t="str">
        <f t="shared" si="121"/>
        <v/>
      </c>
      <c r="JYR83" s="248" t="str">
        <f t="shared" si="121"/>
        <v/>
      </c>
      <c r="JYS83" s="248" t="str">
        <f t="shared" si="121"/>
        <v/>
      </c>
      <c r="JYT83" s="248" t="str">
        <f t="shared" si="121"/>
        <v/>
      </c>
      <c r="JYU83" s="248" t="str">
        <f t="shared" si="121"/>
        <v/>
      </c>
      <c r="JYV83" s="248" t="str">
        <f t="shared" si="121"/>
        <v/>
      </c>
      <c r="JYW83" s="248" t="str">
        <f t="shared" si="121"/>
        <v/>
      </c>
      <c r="JYX83" s="248" t="str">
        <f t="shared" si="121"/>
        <v/>
      </c>
      <c r="JYY83" s="248" t="str">
        <f t="shared" si="121"/>
        <v/>
      </c>
      <c r="JYZ83" s="248" t="str">
        <f t="shared" si="121"/>
        <v/>
      </c>
      <c r="JZA83" s="248" t="str">
        <f t="shared" si="121"/>
        <v/>
      </c>
      <c r="JZB83" s="248" t="str">
        <f t="shared" si="121"/>
        <v/>
      </c>
      <c r="JZC83" s="248" t="str">
        <f t="shared" si="121"/>
        <v/>
      </c>
      <c r="JZD83" s="248" t="str">
        <f t="shared" si="121"/>
        <v/>
      </c>
      <c r="JZE83" s="248" t="str">
        <f t="shared" si="121"/>
        <v/>
      </c>
      <c r="JZF83" s="248" t="str">
        <f t="shared" si="121"/>
        <v/>
      </c>
      <c r="JZG83" s="248" t="str">
        <f t="shared" si="121"/>
        <v/>
      </c>
      <c r="JZH83" s="248" t="str">
        <f t="shared" si="121"/>
        <v/>
      </c>
      <c r="JZI83" s="248" t="str">
        <f t="shared" si="121"/>
        <v/>
      </c>
      <c r="JZJ83" s="248" t="str">
        <f t="shared" si="121"/>
        <v/>
      </c>
      <c r="JZK83" s="248" t="str">
        <f t="shared" si="121"/>
        <v/>
      </c>
      <c r="JZL83" s="248" t="str">
        <f t="shared" si="121"/>
        <v/>
      </c>
      <c r="JZM83" s="248" t="str">
        <f t="shared" si="121"/>
        <v/>
      </c>
      <c r="JZN83" s="248" t="str">
        <f t="shared" si="121"/>
        <v/>
      </c>
      <c r="JZO83" s="248" t="str">
        <f t="shared" si="121"/>
        <v/>
      </c>
      <c r="JZP83" s="248" t="str">
        <f t="shared" si="121"/>
        <v/>
      </c>
      <c r="JZQ83" s="248" t="str">
        <f t="shared" si="121"/>
        <v/>
      </c>
      <c r="JZR83" s="248" t="str">
        <f t="shared" si="121"/>
        <v/>
      </c>
      <c r="JZS83" s="248" t="str">
        <f t="shared" ref="JZS83:KCD83" si="122">UPPER(JZQ83)</f>
        <v/>
      </c>
      <c r="JZT83" s="248" t="str">
        <f t="shared" si="122"/>
        <v/>
      </c>
      <c r="JZU83" s="248" t="str">
        <f t="shared" si="122"/>
        <v/>
      </c>
      <c r="JZV83" s="248" t="str">
        <f t="shared" si="122"/>
        <v/>
      </c>
      <c r="JZW83" s="248" t="str">
        <f t="shared" si="122"/>
        <v/>
      </c>
      <c r="JZX83" s="248" t="str">
        <f t="shared" si="122"/>
        <v/>
      </c>
      <c r="JZY83" s="248" t="str">
        <f t="shared" si="122"/>
        <v/>
      </c>
      <c r="JZZ83" s="248" t="str">
        <f t="shared" si="122"/>
        <v/>
      </c>
      <c r="KAA83" s="248" t="str">
        <f t="shared" si="122"/>
        <v/>
      </c>
      <c r="KAB83" s="248" t="str">
        <f t="shared" si="122"/>
        <v/>
      </c>
      <c r="KAC83" s="248" t="str">
        <f t="shared" si="122"/>
        <v/>
      </c>
      <c r="KAD83" s="248" t="str">
        <f t="shared" si="122"/>
        <v/>
      </c>
      <c r="KAE83" s="248" t="str">
        <f t="shared" si="122"/>
        <v/>
      </c>
      <c r="KAF83" s="248" t="str">
        <f t="shared" si="122"/>
        <v/>
      </c>
      <c r="KAG83" s="248" t="str">
        <f t="shared" si="122"/>
        <v/>
      </c>
      <c r="KAH83" s="248" t="str">
        <f t="shared" si="122"/>
        <v/>
      </c>
      <c r="KAI83" s="248" t="str">
        <f t="shared" si="122"/>
        <v/>
      </c>
      <c r="KAJ83" s="248" t="str">
        <f t="shared" si="122"/>
        <v/>
      </c>
      <c r="KAK83" s="248" t="str">
        <f t="shared" si="122"/>
        <v/>
      </c>
      <c r="KAL83" s="248" t="str">
        <f t="shared" si="122"/>
        <v/>
      </c>
      <c r="KAM83" s="248" t="str">
        <f t="shared" si="122"/>
        <v/>
      </c>
      <c r="KAN83" s="248" t="str">
        <f t="shared" si="122"/>
        <v/>
      </c>
      <c r="KAO83" s="248" t="str">
        <f t="shared" si="122"/>
        <v/>
      </c>
      <c r="KAP83" s="248" t="str">
        <f t="shared" si="122"/>
        <v/>
      </c>
      <c r="KAQ83" s="248" t="str">
        <f t="shared" si="122"/>
        <v/>
      </c>
      <c r="KAR83" s="248" t="str">
        <f t="shared" si="122"/>
        <v/>
      </c>
      <c r="KAS83" s="248" t="str">
        <f t="shared" si="122"/>
        <v/>
      </c>
      <c r="KAT83" s="248" t="str">
        <f t="shared" si="122"/>
        <v/>
      </c>
      <c r="KAU83" s="248" t="str">
        <f t="shared" si="122"/>
        <v/>
      </c>
      <c r="KAV83" s="248" t="str">
        <f t="shared" si="122"/>
        <v/>
      </c>
      <c r="KAW83" s="248" t="str">
        <f t="shared" si="122"/>
        <v/>
      </c>
      <c r="KAX83" s="248" t="str">
        <f t="shared" si="122"/>
        <v/>
      </c>
      <c r="KAY83" s="248" t="str">
        <f t="shared" si="122"/>
        <v/>
      </c>
      <c r="KAZ83" s="248" t="str">
        <f t="shared" si="122"/>
        <v/>
      </c>
      <c r="KBA83" s="248" t="str">
        <f t="shared" si="122"/>
        <v/>
      </c>
      <c r="KBB83" s="248" t="str">
        <f t="shared" si="122"/>
        <v/>
      </c>
      <c r="KBC83" s="248" t="str">
        <f t="shared" si="122"/>
        <v/>
      </c>
      <c r="KBD83" s="248" t="str">
        <f t="shared" si="122"/>
        <v/>
      </c>
      <c r="KBE83" s="248" t="str">
        <f t="shared" si="122"/>
        <v/>
      </c>
      <c r="KBF83" s="248" t="str">
        <f t="shared" si="122"/>
        <v/>
      </c>
      <c r="KBG83" s="248" t="str">
        <f t="shared" si="122"/>
        <v/>
      </c>
      <c r="KBH83" s="248" t="str">
        <f t="shared" si="122"/>
        <v/>
      </c>
      <c r="KBI83" s="248" t="str">
        <f t="shared" si="122"/>
        <v/>
      </c>
      <c r="KBJ83" s="248" t="str">
        <f t="shared" si="122"/>
        <v/>
      </c>
      <c r="KBK83" s="248" t="str">
        <f t="shared" si="122"/>
        <v/>
      </c>
      <c r="KBL83" s="248" t="str">
        <f t="shared" si="122"/>
        <v/>
      </c>
      <c r="KBM83" s="248" t="str">
        <f t="shared" si="122"/>
        <v/>
      </c>
      <c r="KBN83" s="248" t="str">
        <f t="shared" si="122"/>
        <v/>
      </c>
      <c r="KBO83" s="248" t="str">
        <f t="shared" si="122"/>
        <v/>
      </c>
      <c r="KBP83" s="248" t="str">
        <f t="shared" si="122"/>
        <v/>
      </c>
      <c r="KBQ83" s="248" t="str">
        <f t="shared" si="122"/>
        <v/>
      </c>
      <c r="KBR83" s="248" t="str">
        <f t="shared" si="122"/>
        <v/>
      </c>
      <c r="KBS83" s="248" t="str">
        <f t="shared" si="122"/>
        <v/>
      </c>
      <c r="KBT83" s="248" t="str">
        <f t="shared" si="122"/>
        <v/>
      </c>
      <c r="KBU83" s="248" t="str">
        <f t="shared" si="122"/>
        <v/>
      </c>
      <c r="KBV83" s="248" t="str">
        <f t="shared" si="122"/>
        <v/>
      </c>
      <c r="KBW83" s="248" t="str">
        <f t="shared" si="122"/>
        <v/>
      </c>
      <c r="KBX83" s="248" t="str">
        <f t="shared" si="122"/>
        <v/>
      </c>
      <c r="KBY83" s="248" t="str">
        <f t="shared" si="122"/>
        <v/>
      </c>
      <c r="KBZ83" s="248" t="str">
        <f t="shared" si="122"/>
        <v/>
      </c>
      <c r="KCA83" s="248" t="str">
        <f t="shared" si="122"/>
        <v/>
      </c>
      <c r="KCB83" s="248" t="str">
        <f t="shared" si="122"/>
        <v/>
      </c>
      <c r="KCC83" s="248" t="str">
        <f t="shared" si="122"/>
        <v/>
      </c>
      <c r="KCD83" s="248" t="str">
        <f t="shared" si="122"/>
        <v/>
      </c>
      <c r="KCE83" s="248" t="str">
        <f t="shared" ref="KCE83:KEP83" si="123">UPPER(KCC83)</f>
        <v/>
      </c>
      <c r="KCF83" s="248" t="str">
        <f t="shared" si="123"/>
        <v/>
      </c>
      <c r="KCG83" s="248" t="str">
        <f t="shared" si="123"/>
        <v/>
      </c>
      <c r="KCH83" s="248" t="str">
        <f t="shared" si="123"/>
        <v/>
      </c>
      <c r="KCI83" s="248" t="str">
        <f t="shared" si="123"/>
        <v/>
      </c>
      <c r="KCJ83" s="248" t="str">
        <f t="shared" si="123"/>
        <v/>
      </c>
      <c r="KCK83" s="248" t="str">
        <f t="shared" si="123"/>
        <v/>
      </c>
      <c r="KCL83" s="248" t="str">
        <f t="shared" si="123"/>
        <v/>
      </c>
      <c r="KCM83" s="248" t="str">
        <f t="shared" si="123"/>
        <v/>
      </c>
      <c r="KCN83" s="248" t="str">
        <f t="shared" si="123"/>
        <v/>
      </c>
      <c r="KCO83" s="248" t="str">
        <f t="shared" si="123"/>
        <v/>
      </c>
      <c r="KCP83" s="248" t="str">
        <f t="shared" si="123"/>
        <v/>
      </c>
      <c r="KCQ83" s="248" t="str">
        <f t="shared" si="123"/>
        <v/>
      </c>
      <c r="KCR83" s="248" t="str">
        <f t="shared" si="123"/>
        <v/>
      </c>
      <c r="KCS83" s="248" t="str">
        <f t="shared" si="123"/>
        <v/>
      </c>
      <c r="KCT83" s="248" t="str">
        <f t="shared" si="123"/>
        <v/>
      </c>
      <c r="KCU83" s="248" t="str">
        <f t="shared" si="123"/>
        <v/>
      </c>
      <c r="KCV83" s="248" t="str">
        <f t="shared" si="123"/>
        <v/>
      </c>
      <c r="KCW83" s="248" t="str">
        <f t="shared" si="123"/>
        <v/>
      </c>
      <c r="KCX83" s="248" t="str">
        <f t="shared" si="123"/>
        <v/>
      </c>
      <c r="KCY83" s="248" t="str">
        <f t="shared" si="123"/>
        <v/>
      </c>
      <c r="KCZ83" s="248" t="str">
        <f t="shared" si="123"/>
        <v/>
      </c>
      <c r="KDA83" s="248" t="str">
        <f t="shared" si="123"/>
        <v/>
      </c>
      <c r="KDB83" s="248" t="str">
        <f t="shared" si="123"/>
        <v/>
      </c>
      <c r="KDC83" s="248" t="str">
        <f t="shared" si="123"/>
        <v/>
      </c>
      <c r="KDD83" s="248" t="str">
        <f t="shared" si="123"/>
        <v/>
      </c>
      <c r="KDE83" s="248" t="str">
        <f t="shared" si="123"/>
        <v/>
      </c>
      <c r="KDF83" s="248" t="str">
        <f t="shared" si="123"/>
        <v/>
      </c>
      <c r="KDG83" s="248" t="str">
        <f t="shared" si="123"/>
        <v/>
      </c>
      <c r="KDH83" s="248" t="str">
        <f t="shared" si="123"/>
        <v/>
      </c>
      <c r="KDI83" s="248" t="str">
        <f t="shared" si="123"/>
        <v/>
      </c>
      <c r="KDJ83" s="248" t="str">
        <f t="shared" si="123"/>
        <v/>
      </c>
      <c r="KDK83" s="248" t="str">
        <f t="shared" si="123"/>
        <v/>
      </c>
      <c r="KDL83" s="248" t="str">
        <f t="shared" si="123"/>
        <v/>
      </c>
      <c r="KDM83" s="248" t="str">
        <f t="shared" si="123"/>
        <v/>
      </c>
      <c r="KDN83" s="248" t="str">
        <f t="shared" si="123"/>
        <v/>
      </c>
      <c r="KDO83" s="248" t="str">
        <f t="shared" si="123"/>
        <v/>
      </c>
      <c r="KDP83" s="248" t="str">
        <f t="shared" si="123"/>
        <v/>
      </c>
      <c r="KDQ83" s="248" t="str">
        <f t="shared" si="123"/>
        <v/>
      </c>
      <c r="KDR83" s="248" t="str">
        <f t="shared" si="123"/>
        <v/>
      </c>
      <c r="KDS83" s="248" t="str">
        <f t="shared" si="123"/>
        <v/>
      </c>
      <c r="KDT83" s="248" t="str">
        <f t="shared" si="123"/>
        <v/>
      </c>
      <c r="KDU83" s="248" t="str">
        <f t="shared" si="123"/>
        <v/>
      </c>
      <c r="KDV83" s="248" t="str">
        <f t="shared" si="123"/>
        <v/>
      </c>
      <c r="KDW83" s="248" t="str">
        <f t="shared" si="123"/>
        <v/>
      </c>
      <c r="KDX83" s="248" t="str">
        <f t="shared" si="123"/>
        <v/>
      </c>
      <c r="KDY83" s="248" t="str">
        <f t="shared" si="123"/>
        <v/>
      </c>
      <c r="KDZ83" s="248" t="str">
        <f t="shared" si="123"/>
        <v/>
      </c>
      <c r="KEA83" s="248" t="str">
        <f t="shared" si="123"/>
        <v/>
      </c>
      <c r="KEB83" s="248" t="str">
        <f t="shared" si="123"/>
        <v/>
      </c>
      <c r="KEC83" s="248" t="str">
        <f t="shared" si="123"/>
        <v/>
      </c>
      <c r="KED83" s="248" t="str">
        <f t="shared" si="123"/>
        <v/>
      </c>
      <c r="KEE83" s="248" t="str">
        <f t="shared" si="123"/>
        <v/>
      </c>
      <c r="KEF83" s="248" t="str">
        <f t="shared" si="123"/>
        <v/>
      </c>
      <c r="KEG83" s="248" t="str">
        <f t="shared" si="123"/>
        <v/>
      </c>
      <c r="KEH83" s="248" t="str">
        <f t="shared" si="123"/>
        <v/>
      </c>
      <c r="KEI83" s="248" t="str">
        <f t="shared" si="123"/>
        <v/>
      </c>
      <c r="KEJ83" s="248" t="str">
        <f t="shared" si="123"/>
        <v/>
      </c>
      <c r="KEK83" s="248" t="str">
        <f t="shared" si="123"/>
        <v/>
      </c>
      <c r="KEL83" s="248" t="str">
        <f t="shared" si="123"/>
        <v/>
      </c>
      <c r="KEM83" s="248" t="str">
        <f t="shared" si="123"/>
        <v/>
      </c>
      <c r="KEN83" s="248" t="str">
        <f t="shared" si="123"/>
        <v/>
      </c>
      <c r="KEO83" s="248" t="str">
        <f t="shared" si="123"/>
        <v/>
      </c>
      <c r="KEP83" s="248" t="str">
        <f t="shared" si="123"/>
        <v/>
      </c>
      <c r="KEQ83" s="248" t="str">
        <f t="shared" ref="KEQ83:KHB83" si="124">UPPER(KEO83)</f>
        <v/>
      </c>
      <c r="KER83" s="248" t="str">
        <f t="shared" si="124"/>
        <v/>
      </c>
      <c r="KES83" s="248" t="str">
        <f t="shared" si="124"/>
        <v/>
      </c>
      <c r="KET83" s="248" t="str">
        <f t="shared" si="124"/>
        <v/>
      </c>
      <c r="KEU83" s="248" t="str">
        <f t="shared" si="124"/>
        <v/>
      </c>
      <c r="KEV83" s="248" t="str">
        <f t="shared" si="124"/>
        <v/>
      </c>
      <c r="KEW83" s="248" t="str">
        <f t="shared" si="124"/>
        <v/>
      </c>
      <c r="KEX83" s="248" t="str">
        <f t="shared" si="124"/>
        <v/>
      </c>
      <c r="KEY83" s="248" t="str">
        <f t="shared" si="124"/>
        <v/>
      </c>
      <c r="KEZ83" s="248" t="str">
        <f t="shared" si="124"/>
        <v/>
      </c>
      <c r="KFA83" s="248" t="str">
        <f t="shared" si="124"/>
        <v/>
      </c>
      <c r="KFB83" s="248" t="str">
        <f t="shared" si="124"/>
        <v/>
      </c>
      <c r="KFC83" s="248" t="str">
        <f t="shared" si="124"/>
        <v/>
      </c>
      <c r="KFD83" s="248" t="str">
        <f t="shared" si="124"/>
        <v/>
      </c>
      <c r="KFE83" s="248" t="str">
        <f t="shared" si="124"/>
        <v/>
      </c>
      <c r="KFF83" s="248" t="str">
        <f t="shared" si="124"/>
        <v/>
      </c>
      <c r="KFG83" s="248" t="str">
        <f t="shared" si="124"/>
        <v/>
      </c>
      <c r="KFH83" s="248" t="str">
        <f t="shared" si="124"/>
        <v/>
      </c>
      <c r="KFI83" s="248" t="str">
        <f t="shared" si="124"/>
        <v/>
      </c>
      <c r="KFJ83" s="248" t="str">
        <f t="shared" si="124"/>
        <v/>
      </c>
      <c r="KFK83" s="248" t="str">
        <f t="shared" si="124"/>
        <v/>
      </c>
      <c r="KFL83" s="248" t="str">
        <f t="shared" si="124"/>
        <v/>
      </c>
      <c r="KFM83" s="248" t="str">
        <f t="shared" si="124"/>
        <v/>
      </c>
      <c r="KFN83" s="248" t="str">
        <f t="shared" si="124"/>
        <v/>
      </c>
      <c r="KFO83" s="248" t="str">
        <f t="shared" si="124"/>
        <v/>
      </c>
      <c r="KFP83" s="248" t="str">
        <f t="shared" si="124"/>
        <v/>
      </c>
      <c r="KFQ83" s="248" t="str">
        <f t="shared" si="124"/>
        <v/>
      </c>
      <c r="KFR83" s="248" t="str">
        <f t="shared" si="124"/>
        <v/>
      </c>
      <c r="KFS83" s="248" t="str">
        <f t="shared" si="124"/>
        <v/>
      </c>
      <c r="KFT83" s="248" t="str">
        <f t="shared" si="124"/>
        <v/>
      </c>
      <c r="KFU83" s="248" t="str">
        <f t="shared" si="124"/>
        <v/>
      </c>
      <c r="KFV83" s="248" t="str">
        <f t="shared" si="124"/>
        <v/>
      </c>
      <c r="KFW83" s="248" t="str">
        <f t="shared" si="124"/>
        <v/>
      </c>
      <c r="KFX83" s="248" t="str">
        <f t="shared" si="124"/>
        <v/>
      </c>
      <c r="KFY83" s="248" t="str">
        <f t="shared" si="124"/>
        <v/>
      </c>
      <c r="KFZ83" s="248" t="str">
        <f t="shared" si="124"/>
        <v/>
      </c>
      <c r="KGA83" s="248" t="str">
        <f t="shared" si="124"/>
        <v/>
      </c>
      <c r="KGB83" s="248" t="str">
        <f t="shared" si="124"/>
        <v/>
      </c>
      <c r="KGC83" s="248" t="str">
        <f t="shared" si="124"/>
        <v/>
      </c>
      <c r="KGD83" s="248" t="str">
        <f t="shared" si="124"/>
        <v/>
      </c>
      <c r="KGE83" s="248" t="str">
        <f t="shared" si="124"/>
        <v/>
      </c>
      <c r="KGF83" s="248" t="str">
        <f t="shared" si="124"/>
        <v/>
      </c>
      <c r="KGG83" s="248" t="str">
        <f t="shared" si="124"/>
        <v/>
      </c>
      <c r="KGH83" s="248" t="str">
        <f t="shared" si="124"/>
        <v/>
      </c>
      <c r="KGI83" s="248" t="str">
        <f t="shared" si="124"/>
        <v/>
      </c>
      <c r="KGJ83" s="248" t="str">
        <f t="shared" si="124"/>
        <v/>
      </c>
      <c r="KGK83" s="248" t="str">
        <f t="shared" si="124"/>
        <v/>
      </c>
      <c r="KGL83" s="248" t="str">
        <f t="shared" si="124"/>
        <v/>
      </c>
      <c r="KGM83" s="248" t="str">
        <f t="shared" si="124"/>
        <v/>
      </c>
      <c r="KGN83" s="248" t="str">
        <f t="shared" si="124"/>
        <v/>
      </c>
      <c r="KGO83" s="248" t="str">
        <f t="shared" si="124"/>
        <v/>
      </c>
      <c r="KGP83" s="248" t="str">
        <f t="shared" si="124"/>
        <v/>
      </c>
      <c r="KGQ83" s="248" t="str">
        <f t="shared" si="124"/>
        <v/>
      </c>
      <c r="KGR83" s="248" t="str">
        <f t="shared" si="124"/>
        <v/>
      </c>
      <c r="KGS83" s="248" t="str">
        <f t="shared" si="124"/>
        <v/>
      </c>
      <c r="KGT83" s="248" t="str">
        <f t="shared" si="124"/>
        <v/>
      </c>
      <c r="KGU83" s="248" t="str">
        <f t="shared" si="124"/>
        <v/>
      </c>
      <c r="KGV83" s="248" t="str">
        <f t="shared" si="124"/>
        <v/>
      </c>
      <c r="KGW83" s="248" t="str">
        <f t="shared" si="124"/>
        <v/>
      </c>
      <c r="KGX83" s="248" t="str">
        <f t="shared" si="124"/>
        <v/>
      </c>
      <c r="KGY83" s="248" t="str">
        <f t="shared" si="124"/>
        <v/>
      </c>
      <c r="KGZ83" s="248" t="str">
        <f t="shared" si="124"/>
        <v/>
      </c>
      <c r="KHA83" s="248" t="str">
        <f t="shared" si="124"/>
        <v/>
      </c>
      <c r="KHB83" s="248" t="str">
        <f t="shared" si="124"/>
        <v/>
      </c>
      <c r="KHC83" s="248" t="str">
        <f t="shared" ref="KHC83:KJN83" si="125">UPPER(KHA83)</f>
        <v/>
      </c>
      <c r="KHD83" s="248" t="str">
        <f t="shared" si="125"/>
        <v/>
      </c>
      <c r="KHE83" s="248" t="str">
        <f t="shared" si="125"/>
        <v/>
      </c>
      <c r="KHF83" s="248" t="str">
        <f t="shared" si="125"/>
        <v/>
      </c>
      <c r="KHG83" s="248" t="str">
        <f t="shared" si="125"/>
        <v/>
      </c>
      <c r="KHH83" s="248" t="str">
        <f t="shared" si="125"/>
        <v/>
      </c>
      <c r="KHI83" s="248" t="str">
        <f t="shared" si="125"/>
        <v/>
      </c>
      <c r="KHJ83" s="248" t="str">
        <f t="shared" si="125"/>
        <v/>
      </c>
      <c r="KHK83" s="248" t="str">
        <f t="shared" si="125"/>
        <v/>
      </c>
      <c r="KHL83" s="248" t="str">
        <f t="shared" si="125"/>
        <v/>
      </c>
      <c r="KHM83" s="248" t="str">
        <f t="shared" si="125"/>
        <v/>
      </c>
      <c r="KHN83" s="248" t="str">
        <f t="shared" si="125"/>
        <v/>
      </c>
      <c r="KHO83" s="248" t="str">
        <f t="shared" si="125"/>
        <v/>
      </c>
      <c r="KHP83" s="248" t="str">
        <f t="shared" si="125"/>
        <v/>
      </c>
      <c r="KHQ83" s="248" t="str">
        <f t="shared" si="125"/>
        <v/>
      </c>
      <c r="KHR83" s="248" t="str">
        <f t="shared" si="125"/>
        <v/>
      </c>
      <c r="KHS83" s="248" t="str">
        <f t="shared" si="125"/>
        <v/>
      </c>
      <c r="KHT83" s="248" t="str">
        <f t="shared" si="125"/>
        <v/>
      </c>
      <c r="KHU83" s="248" t="str">
        <f t="shared" si="125"/>
        <v/>
      </c>
      <c r="KHV83" s="248" t="str">
        <f t="shared" si="125"/>
        <v/>
      </c>
      <c r="KHW83" s="248" t="str">
        <f t="shared" si="125"/>
        <v/>
      </c>
      <c r="KHX83" s="248" t="str">
        <f t="shared" si="125"/>
        <v/>
      </c>
      <c r="KHY83" s="248" t="str">
        <f t="shared" si="125"/>
        <v/>
      </c>
      <c r="KHZ83" s="248" t="str">
        <f t="shared" si="125"/>
        <v/>
      </c>
      <c r="KIA83" s="248" t="str">
        <f t="shared" si="125"/>
        <v/>
      </c>
      <c r="KIB83" s="248" t="str">
        <f t="shared" si="125"/>
        <v/>
      </c>
      <c r="KIC83" s="248" t="str">
        <f t="shared" si="125"/>
        <v/>
      </c>
      <c r="KID83" s="248" t="str">
        <f t="shared" si="125"/>
        <v/>
      </c>
      <c r="KIE83" s="248" t="str">
        <f t="shared" si="125"/>
        <v/>
      </c>
      <c r="KIF83" s="248" t="str">
        <f t="shared" si="125"/>
        <v/>
      </c>
      <c r="KIG83" s="248" t="str">
        <f t="shared" si="125"/>
        <v/>
      </c>
      <c r="KIH83" s="248" t="str">
        <f t="shared" si="125"/>
        <v/>
      </c>
      <c r="KII83" s="248" t="str">
        <f t="shared" si="125"/>
        <v/>
      </c>
      <c r="KIJ83" s="248" t="str">
        <f t="shared" si="125"/>
        <v/>
      </c>
      <c r="KIK83" s="248" t="str">
        <f t="shared" si="125"/>
        <v/>
      </c>
      <c r="KIL83" s="248" t="str">
        <f t="shared" si="125"/>
        <v/>
      </c>
      <c r="KIM83" s="248" t="str">
        <f t="shared" si="125"/>
        <v/>
      </c>
      <c r="KIN83" s="248" t="str">
        <f t="shared" si="125"/>
        <v/>
      </c>
      <c r="KIO83" s="248" t="str">
        <f t="shared" si="125"/>
        <v/>
      </c>
      <c r="KIP83" s="248" t="str">
        <f t="shared" si="125"/>
        <v/>
      </c>
      <c r="KIQ83" s="248" t="str">
        <f t="shared" si="125"/>
        <v/>
      </c>
      <c r="KIR83" s="248" t="str">
        <f t="shared" si="125"/>
        <v/>
      </c>
      <c r="KIS83" s="248" t="str">
        <f t="shared" si="125"/>
        <v/>
      </c>
      <c r="KIT83" s="248" t="str">
        <f t="shared" si="125"/>
        <v/>
      </c>
      <c r="KIU83" s="248" t="str">
        <f t="shared" si="125"/>
        <v/>
      </c>
      <c r="KIV83" s="248" t="str">
        <f t="shared" si="125"/>
        <v/>
      </c>
      <c r="KIW83" s="248" t="str">
        <f t="shared" si="125"/>
        <v/>
      </c>
      <c r="KIX83" s="248" t="str">
        <f t="shared" si="125"/>
        <v/>
      </c>
      <c r="KIY83" s="248" t="str">
        <f t="shared" si="125"/>
        <v/>
      </c>
      <c r="KIZ83" s="248" t="str">
        <f t="shared" si="125"/>
        <v/>
      </c>
      <c r="KJA83" s="248" t="str">
        <f t="shared" si="125"/>
        <v/>
      </c>
      <c r="KJB83" s="248" t="str">
        <f t="shared" si="125"/>
        <v/>
      </c>
      <c r="KJC83" s="248" t="str">
        <f t="shared" si="125"/>
        <v/>
      </c>
      <c r="KJD83" s="248" t="str">
        <f t="shared" si="125"/>
        <v/>
      </c>
      <c r="KJE83" s="248" t="str">
        <f t="shared" si="125"/>
        <v/>
      </c>
      <c r="KJF83" s="248" t="str">
        <f t="shared" si="125"/>
        <v/>
      </c>
      <c r="KJG83" s="248" t="str">
        <f t="shared" si="125"/>
        <v/>
      </c>
      <c r="KJH83" s="248" t="str">
        <f t="shared" si="125"/>
        <v/>
      </c>
      <c r="KJI83" s="248" t="str">
        <f t="shared" si="125"/>
        <v/>
      </c>
      <c r="KJJ83" s="248" t="str">
        <f t="shared" si="125"/>
        <v/>
      </c>
      <c r="KJK83" s="248" t="str">
        <f t="shared" si="125"/>
        <v/>
      </c>
      <c r="KJL83" s="248" t="str">
        <f t="shared" si="125"/>
        <v/>
      </c>
      <c r="KJM83" s="248" t="str">
        <f t="shared" si="125"/>
        <v/>
      </c>
      <c r="KJN83" s="248" t="str">
        <f t="shared" si="125"/>
        <v/>
      </c>
      <c r="KJO83" s="248" t="str">
        <f t="shared" ref="KJO83:KLZ83" si="126">UPPER(KJM83)</f>
        <v/>
      </c>
      <c r="KJP83" s="248" t="str">
        <f t="shared" si="126"/>
        <v/>
      </c>
      <c r="KJQ83" s="248" t="str">
        <f t="shared" si="126"/>
        <v/>
      </c>
      <c r="KJR83" s="248" t="str">
        <f t="shared" si="126"/>
        <v/>
      </c>
      <c r="KJS83" s="248" t="str">
        <f t="shared" si="126"/>
        <v/>
      </c>
      <c r="KJT83" s="248" t="str">
        <f t="shared" si="126"/>
        <v/>
      </c>
      <c r="KJU83" s="248" t="str">
        <f t="shared" si="126"/>
        <v/>
      </c>
      <c r="KJV83" s="248" t="str">
        <f t="shared" si="126"/>
        <v/>
      </c>
      <c r="KJW83" s="248" t="str">
        <f t="shared" si="126"/>
        <v/>
      </c>
      <c r="KJX83" s="248" t="str">
        <f t="shared" si="126"/>
        <v/>
      </c>
      <c r="KJY83" s="248" t="str">
        <f t="shared" si="126"/>
        <v/>
      </c>
      <c r="KJZ83" s="248" t="str">
        <f t="shared" si="126"/>
        <v/>
      </c>
      <c r="KKA83" s="248" t="str">
        <f t="shared" si="126"/>
        <v/>
      </c>
      <c r="KKB83" s="248" t="str">
        <f t="shared" si="126"/>
        <v/>
      </c>
      <c r="KKC83" s="248" t="str">
        <f t="shared" si="126"/>
        <v/>
      </c>
      <c r="KKD83" s="248" t="str">
        <f t="shared" si="126"/>
        <v/>
      </c>
      <c r="KKE83" s="248" t="str">
        <f t="shared" si="126"/>
        <v/>
      </c>
      <c r="KKF83" s="248" t="str">
        <f t="shared" si="126"/>
        <v/>
      </c>
      <c r="KKG83" s="248" t="str">
        <f t="shared" si="126"/>
        <v/>
      </c>
      <c r="KKH83" s="248" t="str">
        <f t="shared" si="126"/>
        <v/>
      </c>
      <c r="KKI83" s="248" t="str">
        <f t="shared" si="126"/>
        <v/>
      </c>
      <c r="KKJ83" s="248" t="str">
        <f t="shared" si="126"/>
        <v/>
      </c>
      <c r="KKK83" s="248" t="str">
        <f t="shared" si="126"/>
        <v/>
      </c>
      <c r="KKL83" s="248" t="str">
        <f t="shared" si="126"/>
        <v/>
      </c>
      <c r="KKM83" s="248" t="str">
        <f t="shared" si="126"/>
        <v/>
      </c>
      <c r="KKN83" s="248" t="str">
        <f t="shared" si="126"/>
        <v/>
      </c>
      <c r="KKO83" s="248" t="str">
        <f t="shared" si="126"/>
        <v/>
      </c>
      <c r="KKP83" s="248" t="str">
        <f t="shared" si="126"/>
        <v/>
      </c>
      <c r="KKQ83" s="248" t="str">
        <f t="shared" si="126"/>
        <v/>
      </c>
      <c r="KKR83" s="248" t="str">
        <f t="shared" si="126"/>
        <v/>
      </c>
      <c r="KKS83" s="248" t="str">
        <f t="shared" si="126"/>
        <v/>
      </c>
      <c r="KKT83" s="248" t="str">
        <f t="shared" si="126"/>
        <v/>
      </c>
      <c r="KKU83" s="248" t="str">
        <f t="shared" si="126"/>
        <v/>
      </c>
      <c r="KKV83" s="248" t="str">
        <f t="shared" si="126"/>
        <v/>
      </c>
      <c r="KKW83" s="248" t="str">
        <f t="shared" si="126"/>
        <v/>
      </c>
      <c r="KKX83" s="248" t="str">
        <f t="shared" si="126"/>
        <v/>
      </c>
      <c r="KKY83" s="248" t="str">
        <f t="shared" si="126"/>
        <v/>
      </c>
      <c r="KKZ83" s="248" t="str">
        <f t="shared" si="126"/>
        <v/>
      </c>
      <c r="KLA83" s="248" t="str">
        <f t="shared" si="126"/>
        <v/>
      </c>
      <c r="KLB83" s="248" t="str">
        <f t="shared" si="126"/>
        <v/>
      </c>
      <c r="KLC83" s="248" t="str">
        <f t="shared" si="126"/>
        <v/>
      </c>
      <c r="KLD83" s="248" t="str">
        <f t="shared" si="126"/>
        <v/>
      </c>
      <c r="KLE83" s="248" t="str">
        <f t="shared" si="126"/>
        <v/>
      </c>
      <c r="KLF83" s="248" t="str">
        <f t="shared" si="126"/>
        <v/>
      </c>
      <c r="KLG83" s="248" t="str">
        <f t="shared" si="126"/>
        <v/>
      </c>
      <c r="KLH83" s="248" t="str">
        <f t="shared" si="126"/>
        <v/>
      </c>
      <c r="KLI83" s="248" t="str">
        <f t="shared" si="126"/>
        <v/>
      </c>
      <c r="KLJ83" s="248" t="str">
        <f t="shared" si="126"/>
        <v/>
      </c>
      <c r="KLK83" s="248" t="str">
        <f t="shared" si="126"/>
        <v/>
      </c>
      <c r="KLL83" s="248" t="str">
        <f t="shared" si="126"/>
        <v/>
      </c>
      <c r="KLM83" s="248" t="str">
        <f t="shared" si="126"/>
        <v/>
      </c>
      <c r="KLN83" s="248" t="str">
        <f t="shared" si="126"/>
        <v/>
      </c>
      <c r="KLO83" s="248" t="str">
        <f t="shared" si="126"/>
        <v/>
      </c>
      <c r="KLP83" s="248" t="str">
        <f t="shared" si="126"/>
        <v/>
      </c>
      <c r="KLQ83" s="248" t="str">
        <f t="shared" si="126"/>
        <v/>
      </c>
      <c r="KLR83" s="248" t="str">
        <f t="shared" si="126"/>
        <v/>
      </c>
      <c r="KLS83" s="248" t="str">
        <f t="shared" si="126"/>
        <v/>
      </c>
      <c r="KLT83" s="248" t="str">
        <f t="shared" si="126"/>
        <v/>
      </c>
      <c r="KLU83" s="248" t="str">
        <f t="shared" si="126"/>
        <v/>
      </c>
      <c r="KLV83" s="248" t="str">
        <f t="shared" si="126"/>
        <v/>
      </c>
      <c r="KLW83" s="248" t="str">
        <f t="shared" si="126"/>
        <v/>
      </c>
      <c r="KLX83" s="248" t="str">
        <f t="shared" si="126"/>
        <v/>
      </c>
      <c r="KLY83" s="248" t="str">
        <f t="shared" si="126"/>
        <v/>
      </c>
      <c r="KLZ83" s="248" t="str">
        <f t="shared" si="126"/>
        <v/>
      </c>
      <c r="KMA83" s="248" t="str">
        <f t="shared" ref="KMA83:KOL83" si="127">UPPER(KLY83)</f>
        <v/>
      </c>
      <c r="KMB83" s="248" t="str">
        <f t="shared" si="127"/>
        <v/>
      </c>
      <c r="KMC83" s="248" t="str">
        <f t="shared" si="127"/>
        <v/>
      </c>
      <c r="KMD83" s="248" t="str">
        <f t="shared" si="127"/>
        <v/>
      </c>
      <c r="KME83" s="248" t="str">
        <f t="shared" si="127"/>
        <v/>
      </c>
      <c r="KMF83" s="248" t="str">
        <f t="shared" si="127"/>
        <v/>
      </c>
      <c r="KMG83" s="248" t="str">
        <f t="shared" si="127"/>
        <v/>
      </c>
      <c r="KMH83" s="248" t="str">
        <f t="shared" si="127"/>
        <v/>
      </c>
      <c r="KMI83" s="248" t="str">
        <f t="shared" si="127"/>
        <v/>
      </c>
      <c r="KMJ83" s="248" t="str">
        <f t="shared" si="127"/>
        <v/>
      </c>
      <c r="KMK83" s="248" t="str">
        <f t="shared" si="127"/>
        <v/>
      </c>
      <c r="KML83" s="248" t="str">
        <f t="shared" si="127"/>
        <v/>
      </c>
      <c r="KMM83" s="248" t="str">
        <f t="shared" si="127"/>
        <v/>
      </c>
      <c r="KMN83" s="248" t="str">
        <f t="shared" si="127"/>
        <v/>
      </c>
      <c r="KMO83" s="248" t="str">
        <f t="shared" si="127"/>
        <v/>
      </c>
      <c r="KMP83" s="248" t="str">
        <f t="shared" si="127"/>
        <v/>
      </c>
      <c r="KMQ83" s="248" t="str">
        <f t="shared" si="127"/>
        <v/>
      </c>
      <c r="KMR83" s="248" t="str">
        <f t="shared" si="127"/>
        <v/>
      </c>
      <c r="KMS83" s="248" t="str">
        <f t="shared" si="127"/>
        <v/>
      </c>
      <c r="KMT83" s="248" t="str">
        <f t="shared" si="127"/>
        <v/>
      </c>
      <c r="KMU83" s="248" t="str">
        <f t="shared" si="127"/>
        <v/>
      </c>
      <c r="KMV83" s="248" t="str">
        <f t="shared" si="127"/>
        <v/>
      </c>
      <c r="KMW83" s="248" t="str">
        <f t="shared" si="127"/>
        <v/>
      </c>
      <c r="KMX83" s="248" t="str">
        <f t="shared" si="127"/>
        <v/>
      </c>
      <c r="KMY83" s="248" t="str">
        <f t="shared" si="127"/>
        <v/>
      </c>
      <c r="KMZ83" s="248" t="str">
        <f t="shared" si="127"/>
        <v/>
      </c>
      <c r="KNA83" s="248" t="str">
        <f t="shared" si="127"/>
        <v/>
      </c>
      <c r="KNB83" s="248" t="str">
        <f t="shared" si="127"/>
        <v/>
      </c>
      <c r="KNC83" s="248" t="str">
        <f t="shared" si="127"/>
        <v/>
      </c>
      <c r="KND83" s="248" t="str">
        <f t="shared" si="127"/>
        <v/>
      </c>
      <c r="KNE83" s="248" t="str">
        <f t="shared" si="127"/>
        <v/>
      </c>
      <c r="KNF83" s="248" t="str">
        <f t="shared" si="127"/>
        <v/>
      </c>
      <c r="KNG83" s="248" t="str">
        <f t="shared" si="127"/>
        <v/>
      </c>
      <c r="KNH83" s="248" t="str">
        <f t="shared" si="127"/>
        <v/>
      </c>
      <c r="KNI83" s="248" t="str">
        <f t="shared" si="127"/>
        <v/>
      </c>
      <c r="KNJ83" s="248" t="str">
        <f t="shared" si="127"/>
        <v/>
      </c>
      <c r="KNK83" s="248" t="str">
        <f t="shared" si="127"/>
        <v/>
      </c>
      <c r="KNL83" s="248" t="str">
        <f t="shared" si="127"/>
        <v/>
      </c>
      <c r="KNM83" s="248" t="str">
        <f t="shared" si="127"/>
        <v/>
      </c>
      <c r="KNN83" s="248" t="str">
        <f t="shared" si="127"/>
        <v/>
      </c>
      <c r="KNO83" s="248" t="str">
        <f t="shared" si="127"/>
        <v/>
      </c>
      <c r="KNP83" s="248" t="str">
        <f t="shared" si="127"/>
        <v/>
      </c>
      <c r="KNQ83" s="248" t="str">
        <f t="shared" si="127"/>
        <v/>
      </c>
      <c r="KNR83" s="248" t="str">
        <f t="shared" si="127"/>
        <v/>
      </c>
      <c r="KNS83" s="248" t="str">
        <f t="shared" si="127"/>
        <v/>
      </c>
      <c r="KNT83" s="248" t="str">
        <f t="shared" si="127"/>
        <v/>
      </c>
      <c r="KNU83" s="248" t="str">
        <f t="shared" si="127"/>
        <v/>
      </c>
      <c r="KNV83" s="248" t="str">
        <f t="shared" si="127"/>
        <v/>
      </c>
      <c r="KNW83" s="248" t="str">
        <f t="shared" si="127"/>
        <v/>
      </c>
      <c r="KNX83" s="248" t="str">
        <f t="shared" si="127"/>
        <v/>
      </c>
      <c r="KNY83" s="248" t="str">
        <f t="shared" si="127"/>
        <v/>
      </c>
      <c r="KNZ83" s="248" t="str">
        <f t="shared" si="127"/>
        <v/>
      </c>
      <c r="KOA83" s="248" t="str">
        <f t="shared" si="127"/>
        <v/>
      </c>
      <c r="KOB83" s="248" t="str">
        <f t="shared" si="127"/>
        <v/>
      </c>
      <c r="KOC83" s="248" t="str">
        <f t="shared" si="127"/>
        <v/>
      </c>
      <c r="KOD83" s="248" t="str">
        <f t="shared" si="127"/>
        <v/>
      </c>
      <c r="KOE83" s="248" t="str">
        <f t="shared" si="127"/>
        <v/>
      </c>
      <c r="KOF83" s="248" t="str">
        <f t="shared" si="127"/>
        <v/>
      </c>
      <c r="KOG83" s="248" t="str">
        <f t="shared" si="127"/>
        <v/>
      </c>
      <c r="KOH83" s="248" t="str">
        <f t="shared" si="127"/>
        <v/>
      </c>
      <c r="KOI83" s="248" t="str">
        <f t="shared" si="127"/>
        <v/>
      </c>
      <c r="KOJ83" s="248" t="str">
        <f t="shared" si="127"/>
        <v/>
      </c>
      <c r="KOK83" s="248" t="str">
        <f t="shared" si="127"/>
        <v/>
      </c>
      <c r="KOL83" s="248" t="str">
        <f t="shared" si="127"/>
        <v/>
      </c>
      <c r="KOM83" s="248" t="str">
        <f t="shared" ref="KOM83:KQX83" si="128">UPPER(KOK83)</f>
        <v/>
      </c>
      <c r="KON83" s="248" t="str">
        <f t="shared" si="128"/>
        <v/>
      </c>
      <c r="KOO83" s="248" t="str">
        <f t="shared" si="128"/>
        <v/>
      </c>
      <c r="KOP83" s="248" t="str">
        <f t="shared" si="128"/>
        <v/>
      </c>
      <c r="KOQ83" s="248" t="str">
        <f t="shared" si="128"/>
        <v/>
      </c>
      <c r="KOR83" s="248" t="str">
        <f t="shared" si="128"/>
        <v/>
      </c>
      <c r="KOS83" s="248" t="str">
        <f t="shared" si="128"/>
        <v/>
      </c>
      <c r="KOT83" s="248" t="str">
        <f t="shared" si="128"/>
        <v/>
      </c>
      <c r="KOU83" s="248" t="str">
        <f t="shared" si="128"/>
        <v/>
      </c>
      <c r="KOV83" s="248" t="str">
        <f t="shared" si="128"/>
        <v/>
      </c>
      <c r="KOW83" s="248" t="str">
        <f t="shared" si="128"/>
        <v/>
      </c>
      <c r="KOX83" s="248" t="str">
        <f t="shared" si="128"/>
        <v/>
      </c>
      <c r="KOY83" s="248" t="str">
        <f t="shared" si="128"/>
        <v/>
      </c>
      <c r="KOZ83" s="248" t="str">
        <f t="shared" si="128"/>
        <v/>
      </c>
      <c r="KPA83" s="248" t="str">
        <f t="shared" si="128"/>
        <v/>
      </c>
      <c r="KPB83" s="248" t="str">
        <f t="shared" si="128"/>
        <v/>
      </c>
      <c r="KPC83" s="248" t="str">
        <f t="shared" si="128"/>
        <v/>
      </c>
      <c r="KPD83" s="248" t="str">
        <f t="shared" si="128"/>
        <v/>
      </c>
      <c r="KPE83" s="248" t="str">
        <f t="shared" si="128"/>
        <v/>
      </c>
      <c r="KPF83" s="248" t="str">
        <f t="shared" si="128"/>
        <v/>
      </c>
      <c r="KPG83" s="248" t="str">
        <f t="shared" si="128"/>
        <v/>
      </c>
      <c r="KPH83" s="248" t="str">
        <f t="shared" si="128"/>
        <v/>
      </c>
      <c r="KPI83" s="248" t="str">
        <f t="shared" si="128"/>
        <v/>
      </c>
      <c r="KPJ83" s="248" t="str">
        <f t="shared" si="128"/>
        <v/>
      </c>
      <c r="KPK83" s="248" t="str">
        <f t="shared" si="128"/>
        <v/>
      </c>
      <c r="KPL83" s="248" t="str">
        <f t="shared" si="128"/>
        <v/>
      </c>
      <c r="KPM83" s="248" t="str">
        <f t="shared" si="128"/>
        <v/>
      </c>
      <c r="KPN83" s="248" t="str">
        <f t="shared" si="128"/>
        <v/>
      </c>
      <c r="KPO83" s="248" t="str">
        <f t="shared" si="128"/>
        <v/>
      </c>
      <c r="KPP83" s="248" t="str">
        <f t="shared" si="128"/>
        <v/>
      </c>
      <c r="KPQ83" s="248" t="str">
        <f t="shared" si="128"/>
        <v/>
      </c>
      <c r="KPR83" s="248" t="str">
        <f t="shared" si="128"/>
        <v/>
      </c>
      <c r="KPS83" s="248" t="str">
        <f t="shared" si="128"/>
        <v/>
      </c>
      <c r="KPT83" s="248" t="str">
        <f t="shared" si="128"/>
        <v/>
      </c>
      <c r="KPU83" s="248" t="str">
        <f t="shared" si="128"/>
        <v/>
      </c>
      <c r="KPV83" s="248" t="str">
        <f t="shared" si="128"/>
        <v/>
      </c>
      <c r="KPW83" s="248" t="str">
        <f t="shared" si="128"/>
        <v/>
      </c>
      <c r="KPX83" s="248" t="str">
        <f t="shared" si="128"/>
        <v/>
      </c>
      <c r="KPY83" s="248" t="str">
        <f t="shared" si="128"/>
        <v/>
      </c>
      <c r="KPZ83" s="248" t="str">
        <f t="shared" si="128"/>
        <v/>
      </c>
      <c r="KQA83" s="248" t="str">
        <f t="shared" si="128"/>
        <v/>
      </c>
      <c r="KQB83" s="248" t="str">
        <f t="shared" si="128"/>
        <v/>
      </c>
      <c r="KQC83" s="248" t="str">
        <f t="shared" si="128"/>
        <v/>
      </c>
      <c r="KQD83" s="248" t="str">
        <f t="shared" si="128"/>
        <v/>
      </c>
      <c r="KQE83" s="248" t="str">
        <f t="shared" si="128"/>
        <v/>
      </c>
      <c r="KQF83" s="248" t="str">
        <f t="shared" si="128"/>
        <v/>
      </c>
      <c r="KQG83" s="248" t="str">
        <f t="shared" si="128"/>
        <v/>
      </c>
      <c r="KQH83" s="248" t="str">
        <f t="shared" si="128"/>
        <v/>
      </c>
      <c r="KQI83" s="248" t="str">
        <f t="shared" si="128"/>
        <v/>
      </c>
      <c r="KQJ83" s="248" t="str">
        <f t="shared" si="128"/>
        <v/>
      </c>
      <c r="KQK83" s="248" t="str">
        <f t="shared" si="128"/>
        <v/>
      </c>
      <c r="KQL83" s="248" t="str">
        <f t="shared" si="128"/>
        <v/>
      </c>
      <c r="KQM83" s="248" t="str">
        <f t="shared" si="128"/>
        <v/>
      </c>
      <c r="KQN83" s="248" t="str">
        <f t="shared" si="128"/>
        <v/>
      </c>
      <c r="KQO83" s="248" t="str">
        <f t="shared" si="128"/>
        <v/>
      </c>
      <c r="KQP83" s="248" t="str">
        <f t="shared" si="128"/>
        <v/>
      </c>
      <c r="KQQ83" s="248" t="str">
        <f t="shared" si="128"/>
        <v/>
      </c>
      <c r="KQR83" s="248" t="str">
        <f t="shared" si="128"/>
        <v/>
      </c>
      <c r="KQS83" s="248" t="str">
        <f t="shared" si="128"/>
        <v/>
      </c>
      <c r="KQT83" s="248" t="str">
        <f t="shared" si="128"/>
        <v/>
      </c>
      <c r="KQU83" s="248" t="str">
        <f t="shared" si="128"/>
        <v/>
      </c>
      <c r="KQV83" s="248" t="str">
        <f t="shared" si="128"/>
        <v/>
      </c>
      <c r="KQW83" s="248" t="str">
        <f t="shared" si="128"/>
        <v/>
      </c>
      <c r="KQX83" s="248" t="str">
        <f t="shared" si="128"/>
        <v/>
      </c>
      <c r="KQY83" s="248" t="str">
        <f t="shared" ref="KQY83:KTJ83" si="129">UPPER(KQW83)</f>
        <v/>
      </c>
      <c r="KQZ83" s="248" t="str">
        <f t="shared" si="129"/>
        <v/>
      </c>
      <c r="KRA83" s="248" t="str">
        <f t="shared" si="129"/>
        <v/>
      </c>
      <c r="KRB83" s="248" t="str">
        <f t="shared" si="129"/>
        <v/>
      </c>
      <c r="KRC83" s="248" t="str">
        <f t="shared" si="129"/>
        <v/>
      </c>
      <c r="KRD83" s="248" t="str">
        <f t="shared" si="129"/>
        <v/>
      </c>
      <c r="KRE83" s="248" t="str">
        <f t="shared" si="129"/>
        <v/>
      </c>
      <c r="KRF83" s="248" t="str">
        <f t="shared" si="129"/>
        <v/>
      </c>
      <c r="KRG83" s="248" t="str">
        <f t="shared" si="129"/>
        <v/>
      </c>
      <c r="KRH83" s="248" t="str">
        <f t="shared" si="129"/>
        <v/>
      </c>
      <c r="KRI83" s="248" t="str">
        <f t="shared" si="129"/>
        <v/>
      </c>
      <c r="KRJ83" s="248" t="str">
        <f t="shared" si="129"/>
        <v/>
      </c>
      <c r="KRK83" s="248" t="str">
        <f t="shared" si="129"/>
        <v/>
      </c>
      <c r="KRL83" s="248" t="str">
        <f t="shared" si="129"/>
        <v/>
      </c>
      <c r="KRM83" s="248" t="str">
        <f t="shared" si="129"/>
        <v/>
      </c>
      <c r="KRN83" s="248" t="str">
        <f t="shared" si="129"/>
        <v/>
      </c>
      <c r="KRO83" s="248" t="str">
        <f t="shared" si="129"/>
        <v/>
      </c>
      <c r="KRP83" s="248" t="str">
        <f t="shared" si="129"/>
        <v/>
      </c>
      <c r="KRQ83" s="248" t="str">
        <f t="shared" si="129"/>
        <v/>
      </c>
      <c r="KRR83" s="248" t="str">
        <f t="shared" si="129"/>
        <v/>
      </c>
      <c r="KRS83" s="248" t="str">
        <f t="shared" si="129"/>
        <v/>
      </c>
      <c r="KRT83" s="248" t="str">
        <f t="shared" si="129"/>
        <v/>
      </c>
      <c r="KRU83" s="248" t="str">
        <f t="shared" si="129"/>
        <v/>
      </c>
      <c r="KRV83" s="248" t="str">
        <f t="shared" si="129"/>
        <v/>
      </c>
      <c r="KRW83" s="248" t="str">
        <f t="shared" si="129"/>
        <v/>
      </c>
      <c r="KRX83" s="248" t="str">
        <f t="shared" si="129"/>
        <v/>
      </c>
      <c r="KRY83" s="248" t="str">
        <f t="shared" si="129"/>
        <v/>
      </c>
      <c r="KRZ83" s="248" t="str">
        <f t="shared" si="129"/>
        <v/>
      </c>
      <c r="KSA83" s="248" t="str">
        <f t="shared" si="129"/>
        <v/>
      </c>
      <c r="KSB83" s="248" t="str">
        <f t="shared" si="129"/>
        <v/>
      </c>
      <c r="KSC83" s="248" t="str">
        <f t="shared" si="129"/>
        <v/>
      </c>
      <c r="KSD83" s="248" t="str">
        <f t="shared" si="129"/>
        <v/>
      </c>
      <c r="KSE83" s="248" t="str">
        <f t="shared" si="129"/>
        <v/>
      </c>
      <c r="KSF83" s="248" t="str">
        <f t="shared" si="129"/>
        <v/>
      </c>
      <c r="KSG83" s="248" t="str">
        <f t="shared" si="129"/>
        <v/>
      </c>
      <c r="KSH83" s="248" t="str">
        <f t="shared" si="129"/>
        <v/>
      </c>
      <c r="KSI83" s="248" t="str">
        <f t="shared" si="129"/>
        <v/>
      </c>
      <c r="KSJ83" s="248" t="str">
        <f t="shared" si="129"/>
        <v/>
      </c>
      <c r="KSK83" s="248" t="str">
        <f t="shared" si="129"/>
        <v/>
      </c>
      <c r="KSL83" s="248" t="str">
        <f t="shared" si="129"/>
        <v/>
      </c>
      <c r="KSM83" s="248" t="str">
        <f t="shared" si="129"/>
        <v/>
      </c>
      <c r="KSN83" s="248" t="str">
        <f t="shared" si="129"/>
        <v/>
      </c>
      <c r="KSO83" s="248" t="str">
        <f t="shared" si="129"/>
        <v/>
      </c>
      <c r="KSP83" s="248" t="str">
        <f t="shared" si="129"/>
        <v/>
      </c>
      <c r="KSQ83" s="248" t="str">
        <f t="shared" si="129"/>
        <v/>
      </c>
      <c r="KSR83" s="248" t="str">
        <f t="shared" si="129"/>
        <v/>
      </c>
      <c r="KSS83" s="248" t="str">
        <f t="shared" si="129"/>
        <v/>
      </c>
      <c r="KST83" s="248" t="str">
        <f t="shared" si="129"/>
        <v/>
      </c>
      <c r="KSU83" s="248" t="str">
        <f t="shared" si="129"/>
        <v/>
      </c>
      <c r="KSV83" s="248" t="str">
        <f t="shared" si="129"/>
        <v/>
      </c>
      <c r="KSW83" s="248" t="str">
        <f t="shared" si="129"/>
        <v/>
      </c>
      <c r="KSX83" s="248" t="str">
        <f t="shared" si="129"/>
        <v/>
      </c>
      <c r="KSY83" s="248" t="str">
        <f t="shared" si="129"/>
        <v/>
      </c>
      <c r="KSZ83" s="248" t="str">
        <f t="shared" si="129"/>
        <v/>
      </c>
      <c r="KTA83" s="248" t="str">
        <f t="shared" si="129"/>
        <v/>
      </c>
      <c r="KTB83" s="248" t="str">
        <f t="shared" si="129"/>
        <v/>
      </c>
      <c r="KTC83" s="248" t="str">
        <f t="shared" si="129"/>
        <v/>
      </c>
      <c r="KTD83" s="248" t="str">
        <f t="shared" si="129"/>
        <v/>
      </c>
      <c r="KTE83" s="248" t="str">
        <f t="shared" si="129"/>
        <v/>
      </c>
      <c r="KTF83" s="248" t="str">
        <f t="shared" si="129"/>
        <v/>
      </c>
      <c r="KTG83" s="248" t="str">
        <f t="shared" si="129"/>
        <v/>
      </c>
      <c r="KTH83" s="248" t="str">
        <f t="shared" si="129"/>
        <v/>
      </c>
      <c r="KTI83" s="248" t="str">
        <f t="shared" si="129"/>
        <v/>
      </c>
      <c r="KTJ83" s="248" t="str">
        <f t="shared" si="129"/>
        <v/>
      </c>
      <c r="KTK83" s="248" t="str">
        <f t="shared" ref="KTK83:KVV83" si="130">UPPER(KTI83)</f>
        <v/>
      </c>
      <c r="KTL83" s="248" t="str">
        <f t="shared" si="130"/>
        <v/>
      </c>
      <c r="KTM83" s="248" t="str">
        <f t="shared" si="130"/>
        <v/>
      </c>
      <c r="KTN83" s="248" t="str">
        <f t="shared" si="130"/>
        <v/>
      </c>
      <c r="KTO83" s="248" t="str">
        <f t="shared" si="130"/>
        <v/>
      </c>
      <c r="KTP83" s="248" t="str">
        <f t="shared" si="130"/>
        <v/>
      </c>
      <c r="KTQ83" s="248" t="str">
        <f t="shared" si="130"/>
        <v/>
      </c>
      <c r="KTR83" s="248" t="str">
        <f t="shared" si="130"/>
        <v/>
      </c>
      <c r="KTS83" s="248" t="str">
        <f t="shared" si="130"/>
        <v/>
      </c>
      <c r="KTT83" s="248" t="str">
        <f t="shared" si="130"/>
        <v/>
      </c>
      <c r="KTU83" s="248" t="str">
        <f t="shared" si="130"/>
        <v/>
      </c>
      <c r="KTV83" s="248" t="str">
        <f t="shared" si="130"/>
        <v/>
      </c>
      <c r="KTW83" s="248" t="str">
        <f t="shared" si="130"/>
        <v/>
      </c>
      <c r="KTX83" s="248" t="str">
        <f t="shared" si="130"/>
        <v/>
      </c>
      <c r="KTY83" s="248" t="str">
        <f t="shared" si="130"/>
        <v/>
      </c>
      <c r="KTZ83" s="248" t="str">
        <f t="shared" si="130"/>
        <v/>
      </c>
      <c r="KUA83" s="248" t="str">
        <f t="shared" si="130"/>
        <v/>
      </c>
      <c r="KUB83" s="248" t="str">
        <f t="shared" si="130"/>
        <v/>
      </c>
      <c r="KUC83" s="248" t="str">
        <f t="shared" si="130"/>
        <v/>
      </c>
      <c r="KUD83" s="248" t="str">
        <f t="shared" si="130"/>
        <v/>
      </c>
      <c r="KUE83" s="248" t="str">
        <f t="shared" si="130"/>
        <v/>
      </c>
      <c r="KUF83" s="248" t="str">
        <f t="shared" si="130"/>
        <v/>
      </c>
      <c r="KUG83" s="248" t="str">
        <f t="shared" si="130"/>
        <v/>
      </c>
      <c r="KUH83" s="248" t="str">
        <f t="shared" si="130"/>
        <v/>
      </c>
      <c r="KUI83" s="248" t="str">
        <f t="shared" si="130"/>
        <v/>
      </c>
      <c r="KUJ83" s="248" t="str">
        <f t="shared" si="130"/>
        <v/>
      </c>
      <c r="KUK83" s="248" t="str">
        <f t="shared" si="130"/>
        <v/>
      </c>
      <c r="KUL83" s="248" t="str">
        <f t="shared" si="130"/>
        <v/>
      </c>
      <c r="KUM83" s="248" t="str">
        <f t="shared" si="130"/>
        <v/>
      </c>
      <c r="KUN83" s="248" t="str">
        <f t="shared" si="130"/>
        <v/>
      </c>
      <c r="KUO83" s="248" t="str">
        <f t="shared" si="130"/>
        <v/>
      </c>
      <c r="KUP83" s="248" t="str">
        <f t="shared" si="130"/>
        <v/>
      </c>
      <c r="KUQ83" s="248" t="str">
        <f t="shared" si="130"/>
        <v/>
      </c>
      <c r="KUR83" s="248" t="str">
        <f t="shared" si="130"/>
        <v/>
      </c>
      <c r="KUS83" s="248" t="str">
        <f t="shared" si="130"/>
        <v/>
      </c>
      <c r="KUT83" s="248" t="str">
        <f t="shared" si="130"/>
        <v/>
      </c>
      <c r="KUU83" s="248" t="str">
        <f t="shared" si="130"/>
        <v/>
      </c>
      <c r="KUV83" s="248" t="str">
        <f t="shared" si="130"/>
        <v/>
      </c>
      <c r="KUW83" s="248" t="str">
        <f t="shared" si="130"/>
        <v/>
      </c>
      <c r="KUX83" s="248" t="str">
        <f t="shared" si="130"/>
        <v/>
      </c>
      <c r="KUY83" s="248" t="str">
        <f t="shared" si="130"/>
        <v/>
      </c>
      <c r="KUZ83" s="248" t="str">
        <f t="shared" si="130"/>
        <v/>
      </c>
      <c r="KVA83" s="248" t="str">
        <f t="shared" si="130"/>
        <v/>
      </c>
      <c r="KVB83" s="248" t="str">
        <f t="shared" si="130"/>
        <v/>
      </c>
      <c r="KVC83" s="248" t="str">
        <f t="shared" si="130"/>
        <v/>
      </c>
      <c r="KVD83" s="248" t="str">
        <f t="shared" si="130"/>
        <v/>
      </c>
      <c r="KVE83" s="248" t="str">
        <f t="shared" si="130"/>
        <v/>
      </c>
      <c r="KVF83" s="248" t="str">
        <f t="shared" si="130"/>
        <v/>
      </c>
      <c r="KVG83" s="248" t="str">
        <f t="shared" si="130"/>
        <v/>
      </c>
      <c r="KVH83" s="248" t="str">
        <f t="shared" si="130"/>
        <v/>
      </c>
      <c r="KVI83" s="248" t="str">
        <f t="shared" si="130"/>
        <v/>
      </c>
      <c r="KVJ83" s="248" t="str">
        <f t="shared" si="130"/>
        <v/>
      </c>
      <c r="KVK83" s="248" t="str">
        <f t="shared" si="130"/>
        <v/>
      </c>
      <c r="KVL83" s="248" t="str">
        <f t="shared" si="130"/>
        <v/>
      </c>
      <c r="KVM83" s="248" t="str">
        <f t="shared" si="130"/>
        <v/>
      </c>
      <c r="KVN83" s="248" t="str">
        <f t="shared" si="130"/>
        <v/>
      </c>
      <c r="KVO83" s="248" t="str">
        <f t="shared" si="130"/>
        <v/>
      </c>
      <c r="KVP83" s="248" t="str">
        <f t="shared" si="130"/>
        <v/>
      </c>
      <c r="KVQ83" s="248" t="str">
        <f t="shared" si="130"/>
        <v/>
      </c>
      <c r="KVR83" s="248" t="str">
        <f t="shared" si="130"/>
        <v/>
      </c>
      <c r="KVS83" s="248" t="str">
        <f t="shared" si="130"/>
        <v/>
      </c>
      <c r="KVT83" s="248" t="str">
        <f t="shared" si="130"/>
        <v/>
      </c>
      <c r="KVU83" s="248" t="str">
        <f t="shared" si="130"/>
        <v/>
      </c>
      <c r="KVV83" s="248" t="str">
        <f t="shared" si="130"/>
        <v/>
      </c>
      <c r="KVW83" s="248" t="str">
        <f t="shared" ref="KVW83:KYH83" si="131">UPPER(KVU83)</f>
        <v/>
      </c>
      <c r="KVX83" s="248" t="str">
        <f t="shared" si="131"/>
        <v/>
      </c>
      <c r="KVY83" s="248" t="str">
        <f t="shared" si="131"/>
        <v/>
      </c>
      <c r="KVZ83" s="248" t="str">
        <f t="shared" si="131"/>
        <v/>
      </c>
      <c r="KWA83" s="248" t="str">
        <f t="shared" si="131"/>
        <v/>
      </c>
      <c r="KWB83" s="248" t="str">
        <f t="shared" si="131"/>
        <v/>
      </c>
      <c r="KWC83" s="248" t="str">
        <f t="shared" si="131"/>
        <v/>
      </c>
      <c r="KWD83" s="248" t="str">
        <f t="shared" si="131"/>
        <v/>
      </c>
      <c r="KWE83" s="248" t="str">
        <f t="shared" si="131"/>
        <v/>
      </c>
      <c r="KWF83" s="248" t="str">
        <f t="shared" si="131"/>
        <v/>
      </c>
      <c r="KWG83" s="248" t="str">
        <f t="shared" si="131"/>
        <v/>
      </c>
      <c r="KWH83" s="248" t="str">
        <f t="shared" si="131"/>
        <v/>
      </c>
      <c r="KWI83" s="248" t="str">
        <f t="shared" si="131"/>
        <v/>
      </c>
      <c r="KWJ83" s="248" t="str">
        <f t="shared" si="131"/>
        <v/>
      </c>
      <c r="KWK83" s="248" t="str">
        <f t="shared" si="131"/>
        <v/>
      </c>
      <c r="KWL83" s="248" t="str">
        <f t="shared" si="131"/>
        <v/>
      </c>
      <c r="KWM83" s="248" t="str">
        <f t="shared" si="131"/>
        <v/>
      </c>
      <c r="KWN83" s="248" t="str">
        <f t="shared" si="131"/>
        <v/>
      </c>
      <c r="KWO83" s="248" t="str">
        <f t="shared" si="131"/>
        <v/>
      </c>
      <c r="KWP83" s="248" t="str">
        <f t="shared" si="131"/>
        <v/>
      </c>
      <c r="KWQ83" s="248" t="str">
        <f t="shared" si="131"/>
        <v/>
      </c>
      <c r="KWR83" s="248" t="str">
        <f t="shared" si="131"/>
        <v/>
      </c>
      <c r="KWS83" s="248" t="str">
        <f t="shared" si="131"/>
        <v/>
      </c>
      <c r="KWT83" s="248" t="str">
        <f t="shared" si="131"/>
        <v/>
      </c>
      <c r="KWU83" s="248" t="str">
        <f t="shared" si="131"/>
        <v/>
      </c>
      <c r="KWV83" s="248" t="str">
        <f t="shared" si="131"/>
        <v/>
      </c>
      <c r="KWW83" s="248" t="str">
        <f t="shared" si="131"/>
        <v/>
      </c>
      <c r="KWX83" s="248" t="str">
        <f t="shared" si="131"/>
        <v/>
      </c>
      <c r="KWY83" s="248" t="str">
        <f t="shared" si="131"/>
        <v/>
      </c>
      <c r="KWZ83" s="248" t="str">
        <f t="shared" si="131"/>
        <v/>
      </c>
      <c r="KXA83" s="248" t="str">
        <f t="shared" si="131"/>
        <v/>
      </c>
      <c r="KXB83" s="248" t="str">
        <f t="shared" si="131"/>
        <v/>
      </c>
      <c r="KXC83" s="248" t="str">
        <f t="shared" si="131"/>
        <v/>
      </c>
      <c r="KXD83" s="248" t="str">
        <f t="shared" si="131"/>
        <v/>
      </c>
      <c r="KXE83" s="248" t="str">
        <f t="shared" si="131"/>
        <v/>
      </c>
      <c r="KXF83" s="248" t="str">
        <f t="shared" si="131"/>
        <v/>
      </c>
      <c r="KXG83" s="248" t="str">
        <f t="shared" si="131"/>
        <v/>
      </c>
      <c r="KXH83" s="248" t="str">
        <f t="shared" si="131"/>
        <v/>
      </c>
      <c r="KXI83" s="248" t="str">
        <f t="shared" si="131"/>
        <v/>
      </c>
      <c r="KXJ83" s="248" t="str">
        <f t="shared" si="131"/>
        <v/>
      </c>
      <c r="KXK83" s="248" t="str">
        <f t="shared" si="131"/>
        <v/>
      </c>
      <c r="KXL83" s="248" t="str">
        <f t="shared" si="131"/>
        <v/>
      </c>
      <c r="KXM83" s="248" t="str">
        <f t="shared" si="131"/>
        <v/>
      </c>
      <c r="KXN83" s="248" t="str">
        <f t="shared" si="131"/>
        <v/>
      </c>
      <c r="KXO83" s="248" t="str">
        <f t="shared" si="131"/>
        <v/>
      </c>
      <c r="KXP83" s="248" t="str">
        <f t="shared" si="131"/>
        <v/>
      </c>
      <c r="KXQ83" s="248" t="str">
        <f t="shared" si="131"/>
        <v/>
      </c>
      <c r="KXR83" s="248" t="str">
        <f t="shared" si="131"/>
        <v/>
      </c>
      <c r="KXS83" s="248" t="str">
        <f t="shared" si="131"/>
        <v/>
      </c>
      <c r="KXT83" s="248" t="str">
        <f t="shared" si="131"/>
        <v/>
      </c>
      <c r="KXU83" s="248" t="str">
        <f t="shared" si="131"/>
        <v/>
      </c>
      <c r="KXV83" s="248" t="str">
        <f t="shared" si="131"/>
        <v/>
      </c>
      <c r="KXW83" s="248" t="str">
        <f t="shared" si="131"/>
        <v/>
      </c>
      <c r="KXX83" s="248" t="str">
        <f t="shared" si="131"/>
        <v/>
      </c>
      <c r="KXY83" s="248" t="str">
        <f t="shared" si="131"/>
        <v/>
      </c>
      <c r="KXZ83" s="248" t="str">
        <f t="shared" si="131"/>
        <v/>
      </c>
      <c r="KYA83" s="248" t="str">
        <f t="shared" si="131"/>
        <v/>
      </c>
      <c r="KYB83" s="248" t="str">
        <f t="shared" si="131"/>
        <v/>
      </c>
      <c r="KYC83" s="248" t="str">
        <f t="shared" si="131"/>
        <v/>
      </c>
      <c r="KYD83" s="248" t="str">
        <f t="shared" si="131"/>
        <v/>
      </c>
      <c r="KYE83" s="248" t="str">
        <f t="shared" si="131"/>
        <v/>
      </c>
      <c r="KYF83" s="248" t="str">
        <f t="shared" si="131"/>
        <v/>
      </c>
      <c r="KYG83" s="248" t="str">
        <f t="shared" si="131"/>
        <v/>
      </c>
      <c r="KYH83" s="248" t="str">
        <f t="shared" si="131"/>
        <v/>
      </c>
      <c r="KYI83" s="248" t="str">
        <f t="shared" ref="KYI83:LAT83" si="132">UPPER(KYG83)</f>
        <v/>
      </c>
      <c r="KYJ83" s="248" t="str">
        <f t="shared" si="132"/>
        <v/>
      </c>
      <c r="KYK83" s="248" t="str">
        <f t="shared" si="132"/>
        <v/>
      </c>
      <c r="KYL83" s="248" t="str">
        <f t="shared" si="132"/>
        <v/>
      </c>
      <c r="KYM83" s="248" t="str">
        <f t="shared" si="132"/>
        <v/>
      </c>
      <c r="KYN83" s="248" t="str">
        <f t="shared" si="132"/>
        <v/>
      </c>
      <c r="KYO83" s="248" t="str">
        <f t="shared" si="132"/>
        <v/>
      </c>
      <c r="KYP83" s="248" t="str">
        <f t="shared" si="132"/>
        <v/>
      </c>
      <c r="KYQ83" s="248" t="str">
        <f t="shared" si="132"/>
        <v/>
      </c>
      <c r="KYR83" s="248" t="str">
        <f t="shared" si="132"/>
        <v/>
      </c>
      <c r="KYS83" s="248" t="str">
        <f t="shared" si="132"/>
        <v/>
      </c>
      <c r="KYT83" s="248" t="str">
        <f t="shared" si="132"/>
        <v/>
      </c>
      <c r="KYU83" s="248" t="str">
        <f t="shared" si="132"/>
        <v/>
      </c>
      <c r="KYV83" s="248" t="str">
        <f t="shared" si="132"/>
        <v/>
      </c>
      <c r="KYW83" s="248" t="str">
        <f t="shared" si="132"/>
        <v/>
      </c>
      <c r="KYX83" s="248" t="str">
        <f t="shared" si="132"/>
        <v/>
      </c>
      <c r="KYY83" s="248" t="str">
        <f t="shared" si="132"/>
        <v/>
      </c>
      <c r="KYZ83" s="248" t="str">
        <f t="shared" si="132"/>
        <v/>
      </c>
      <c r="KZA83" s="248" t="str">
        <f t="shared" si="132"/>
        <v/>
      </c>
      <c r="KZB83" s="248" t="str">
        <f t="shared" si="132"/>
        <v/>
      </c>
      <c r="KZC83" s="248" t="str">
        <f t="shared" si="132"/>
        <v/>
      </c>
      <c r="KZD83" s="248" t="str">
        <f t="shared" si="132"/>
        <v/>
      </c>
      <c r="KZE83" s="248" t="str">
        <f t="shared" si="132"/>
        <v/>
      </c>
      <c r="KZF83" s="248" t="str">
        <f t="shared" si="132"/>
        <v/>
      </c>
      <c r="KZG83" s="248" t="str">
        <f t="shared" si="132"/>
        <v/>
      </c>
      <c r="KZH83" s="248" t="str">
        <f t="shared" si="132"/>
        <v/>
      </c>
      <c r="KZI83" s="248" t="str">
        <f t="shared" si="132"/>
        <v/>
      </c>
      <c r="KZJ83" s="248" t="str">
        <f t="shared" si="132"/>
        <v/>
      </c>
      <c r="KZK83" s="248" t="str">
        <f t="shared" si="132"/>
        <v/>
      </c>
      <c r="KZL83" s="248" t="str">
        <f t="shared" si="132"/>
        <v/>
      </c>
      <c r="KZM83" s="248" t="str">
        <f t="shared" si="132"/>
        <v/>
      </c>
      <c r="KZN83" s="248" t="str">
        <f t="shared" si="132"/>
        <v/>
      </c>
      <c r="KZO83" s="248" t="str">
        <f t="shared" si="132"/>
        <v/>
      </c>
      <c r="KZP83" s="248" t="str">
        <f t="shared" si="132"/>
        <v/>
      </c>
      <c r="KZQ83" s="248" t="str">
        <f t="shared" si="132"/>
        <v/>
      </c>
      <c r="KZR83" s="248" t="str">
        <f t="shared" si="132"/>
        <v/>
      </c>
      <c r="KZS83" s="248" t="str">
        <f t="shared" si="132"/>
        <v/>
      </c>
      <c r="KZT83" s="248" t="str">
        <f t="shared" si="132"/>
        <v/>
      </c>
      <c r="KZU83" s="248" t="str">
        <f t="shared" si="132"/>
        <v/>
      </c>
      <c r="KZV83" s="248" t="str">
        <f t="shared" si="132"/>
        <v/>
      </c>
      <c r="KZW83" s="248" t="str">
        <f t="shared" si="132"/>
        <v/>
      </c>
      <c r="KZX83" s="248" t="str">
        <f t="shared" si="132"/>
        <v/>
      </c>
      <c r="KZY83" s="248" t="str">
        <f t="shared" si="132"/>
        <v/>
      </c>
      <c r="KZZ83" s="248" t="str">
        <f t="shared" si="132"/>
        <v/>
      </c>
      <c r="LAA83" s="248" t="str">
        <f t="shared" si="132"/>
        <v/>
      </c>
      <c r="LAB83" s="248" t="str">
        <f t="shared" si="132"/>
        <v/>
      </c>
      <c r="LAC83" s="248" t="str">
        <f t="shared" si="132"/>
        <v/>
      </c>
      <c r="LAD83" s="248" t="str">
        <f t="shared" si="132"/>
        <v/>
      </c>
      <c r="LAE83" s="248" t="str">
        <f t="shared" si="132"/>
        <v/>
      </c>
      <c r="LAF83" s="248" t="str">
        <f t="shared" si="132"/>
        <v/>
      </c>
      <c r="LAG83" s="248" t="str">
        <f t="shared" si="132"/>
        <v/>
      </c>
      <c r="LAH83" s="248" t="str">
        <f t="shared" si="132"/>
        <v/>
      </c>
      <c r="LAI83" s="248" t="str">
        <f t="shared" si="132"/>
        <v/>
      </c>
      <c r="LAJ83" s="248" t="str">
        <f t="shared" si="132"/>
        <v/>
      </c>
      <c r="LAK83" s="248" t="str">
        <f t="shared" si="132"/>
        <v/>
      </c>
      <c r="LAL83" s="248" t="str">
        <f t="shared" si="132"/>
        <v/>
      </c>
      <c r="LAM83" s="248" t="str">
        <f t="shared" si="132"/>
        <v/>
      </c>
      <c r="LAN83" s="248" t="str">
        <f t="shared" si="132"/>
        <v/>
      </c>
      <c r="LAO83" s="248" t="str">
        <f t="shared" si="132"/>
        <v/>
      </c>
      <c r="LAP83" s="248" t="str">
        <f t="shared" si="132"/>
        <v/>
      </c>
      <c r="LAQ83" s="248" t="str">
        <f t="shared" si="132"/>
        <v/>
      </c>
      <c r="LAR83" s="248" t="str">
        <f t="shared" si="132"/>
        <v/>
      </c>
      <c r="LAS83" s="248" t="str">
        <f t="shared" si="132"/>
        <v/>
      </c>
      <c r="LAT83" s="248" t="str">
        <f t="shared" si="132"/>
        <v/>
      </c>
      <c r="LAU83" s="248" t="str">
        <f t="shared" ref="LAU83:LDF83" si="133">UPPER(LAS83)</f>
        <v/>
      </c>
      <c r="LAV83" s="248" t="str">
        <f t="shared" si="133"/>
        <v/>
      </c>
      <c r="LAW83" s="248" t="str">
        <f t="shared" si="133"/>
        <v/>
      </c>
      <c r="LAX83" s="248" t="str">
        <f t="shared" si="133"/>
        <v/>
      </c>
      <c r="LAY83" s="248" t="str">
        <f t="shared" si="133"/>
        <v/>
      </c>
      <c r="LAZ83" s="248" t="str">
        <f t="shared" si="133"/>
        <v/>
      </c>
      <c r="LBA83" s="248" t="str">
        <f t="shared" si="133"/>
        <v/>
      </c>
      <c r="LBB83" s="248" t="str">
        <f t="shared" si="133"/>
        <v/>
      </c>
      <c r="LBC83" s="248" t="str">
        <f t="shared" si="133"/>
        <v/>
      </c>
      <c r="LBD83" s="248" t="str">
        <f t="shared" si="133"/>
        <v/>
      </c>
      <c r="LBE83" s="248" t="str">
        <f t="shared" si="133"/>
        <v/>
      </c>
      <c r="LBF83" s="248" t="str">
        <f t="shared" si="133"/>
        <v/>
      </c>
      <c r="LBG83" s="248" t="str">
        <f t="shared" si="133"/>
        <v/>
      </c>
      <c r="LBH83" s="248" t="str">
        <f t="shared" si="133"/>
        <v/>
      </c>
      <c r="LBI83" s="248" t="str">
        <f t="shared" si="133"/>
        <v/>
      </c>
      <c r="LBJ83" s="248" t="str">
        <f t="shared" si="133"/>
        <v/>
      </c>
      <c r="LBK83" s="248" t="str">
        <f t="shared" si="133"/>
        <v/>
      </c>
      <c r="LBL83" s="248" t="str">
        <f t="shared" si="133"/>
        <v/>
      </c>
      <c r="LBM83" s="248" t="str">
        <f t="shared" si="133"/>
        <v/>
      </c>
      <c r="LBN83" s="248" t="str">
        <f t="shared" si="133"/>
        <v/>
      </c>
      <c r="LBO83" s="248" t="str">
        <f t="shared" si="133"/>
        <v/>
      </c>
      <c r="LBP83" s="248" t="str">
        <f t="shared" si="133"/>
        <v/>
      </c>
      <c r="LBQ83" s="248" t="str">
        <f t="shared" si="133"/>
        <v/>
      </c>
      <c r="LBR83" s="248" t="str">
        <f t="shared" si="133"/>
        <v/>
      </c>
      <c r="LBS83" s="248" t="str">
        <f t="shared" si="133"/>
        <v/>
      </c>
      <c r="LBT83" s="248" t="str">
        <f t="shared" si="133"/>
        <v/>
      </c>
      <c r="LBU83" s="248" t="str">
        <f t="shared" si="133"/>
        <v/>
      </c>
      <c r="LBV83" s="248" t="str">
        <f t="shared" si="133"/>
        <v/>
      </c>
      <c r="LBW83" s="248" t="str">
        <f t="shared" si="133"/>
        <v/>
      </c>
      <c r="LBX83" s="248" t="str">
        <f t="shared" si="133"/>
        <v/>
      </c>
      <c r="LBY83" s="248" t="str">
        <f t="shared" si="133"/>
        <v/>
      </c>
      <c r="LBZ83" s="248" t="str">
        <f t="shared" si="133"/>
        <v/>
      </c>
      <c r="LCA83" s="248" t="str">
        <f t="shared" si="133"/>
        <v/>
      </c>
      <c r="LCB83" s="248" t="str">
        <f t="shared" si="133"/>
        <v/>
      </c>
      <c r="LCC83" s="248" t="str">
        <f t="shared" si="133"/>
        <v/>
      </c>
      <c r="LCD83" s="248" t="str">
        <f t="shared" si="133"/>
        <v/>
      </c>
      <c r="LCE83" s="248" t="str">
        <f t="shared" si="133"/>
        <v/>
      </c>
      <c r="LCF83" s="248" t="str">
        <f t="shared" si="133"/>
        <v/>
      </c>
      <c r="LCG83" s="248" t="str">
        <f t="shared" si="133"/>
        <v/>
      </c>
      <c r="LCH83" s="248" t="str">
        <f t="shared" si="133"/>
        <v/>
      </c>
      <c r="LCI83" s="248" t="str">
        <f t="shared" si="133"/>
        <v/>
      </c>
      <c r="LCJ83" s="248" t="str">
        <f t="shared" si="133"/>
        <v/>
      </c>
      <c r="LCK83" s="248" t="str">
        <f t="shared" si="133"/>
        <v/>
      </c>
      <c r="LCL83" s="248" t="str">
        <f t="shared" si="133"/>
        <v/>
      </c>
      <c r="LCM83" s="248" t="str">
        <f t="shared" si="133"/>
        <v/>
      </c>
      <c r="LCN83" s="248" t="str">
        <f t="shared" si="133"/>
        <v/>
      </c>
      <c r="LCO83" s="248" t="str">
        <f t="shared" si="133"/>
        <v/>
      </c>
      <c r="LCP83" s="248" t="str">
        <f t="shared" si="133"/>
        <v/>
      </c>
      <c r="LCQ83" s="248" t="str">
        <f t="shared" si="133"/>
        <v/>
      </c>
      <c r="LCR83" s="248" t="str">
        <f t="shared" si="133"/>
        <v/>
      </c>
      <c r="LCS83" s="248" t="str">
        <f t="shared" si="133"/>
        <v/>
      </c>
      <c r="LCT83" s="248" t="str">
        <f t="shared" si="133"/>
        <v/>
      </c>
      <c r="LCU83" s="248" t="str">
        <f t="shared" si="133"/>
        <v/>
      </c>
      <c r="LCV83" s="248" t="str">
        <f t="shared" si="133"/>
        <v/>
      </c>
      <c r="LCW83" s="248" t="str">
        <f t="shared" si="133"/>
        <v/>
      </c>
      <c r="LCX83" s="248" t="str">
        <f t="shared" si="133"/>
        <v/>
      </c>
      <c r="LCY83" s="248" t="str">
        <f t="shared" si="133"/>
        <v/>
      </c>
      <c r="LCZ83" s="248" t="str">
        <f t="shared" si="133"/>
        <v/>
      </c>
      <c r="LDA83" s="248" t="str">
        <f t="shared" si="133"/>
        <v/>
      </c>
      <c r="LDB83" s="248" t="str">
        <f t="shared" si="133"/>
        <v/>
      </c>
      <c r="LDC83" s="248" t="str">
        <f t="shared" si="133"/>
        <v/>
      </c>
      <c r="LDD83" s="248" t="str">
        <f t="shared" si="133"/>
        <v/>
      </c>
      <c r="LDE83" s="248" t="str">
        <f t="shared" si="133"/>
        <v/>
      </c>
      <c r="LDF83" s="248" t="str">
        <f t="shared" si="133"/>
        <v/>
      </c>
      <c r="LDG83" s="248" t="str">
        <f t="shared" ref="LDG83:LFR83" si="134">UPPER(LDE83)</f>
        <v/>
      </c>
      <c r="LDH83" s="248" t="str">
        <f t="shared" si="134"/>
        <v/>
      </c>
      <c r="LDI83" s="248" t="str">
        <f t="shared" si="134"/>
        <v/>
      </c>
      <c r="LDJ83" s="248" t="str">
        <f t="shared" si="134"/>
        <v/>
      </c>
      <c r="LDK83" s="248" t="str">
        <f t="shared" si="134"/>
        <v/>
      </c>
      <c r="LDL83" s="248" t="str">
        <f t="shared" si="134"/>
        <v/>
      </c>
      <c r="LDM83" s="248" t="str">
        <f t="shared" si="134"/>
        <v/>
      </c>
      <c r="LDN83" s="248" t="str">
        <f t="shared" si="134"/>
        <v/>
      </c>
      <c r="LDO83" s="248" t="str">
        <f t="shared" si="134"/>
        <v/>
      </c>
      <c r="LDP83" s="248" t="str">
        <f t="shared" si="134"/>
        <v/>
      </c>
      <c r="LDQ83" s="248" t="str">
        <f t="shared" si="134"/>
        <v/>
      </c>
      <c r="LDR83" s="248" t="str">
        <f t="shared" si="134"/>
        <v/>
      </c>
      <c r="LDS83" s="248" t="str">
        <f t="shared" si="134"/>
        <v/>
      </c>
      <c r="LDT83" s="248" t="str">
        <f t="shared" si="134"/>
        <v/>
      </c>
      <c r="LDU83" s="248" t="str">
        <f t="shared" si="134"/>
        <v/>
      </c>
      <c r="LDV83" s="248" t="str">
        <f t="shared" si="134"/>
        <v/>
      </c>
      <c r="LDW83" s="248" t="str">
        <f t="shared" si="134"/>
        <v/>
      </c>
      <c r="LDX83" s="248" t="str">
        <f t="shared" si="134"/>
        <v/>
      </c>
      <c r="LDY83" s="248" t="str">
        <f t="shared" si="134"/>
        <v/>
      </c>
      <c r="LDZ83" s="248" t="str">
        <f t="shared" si="134"/>
        <v/>
      </c>
      <c r="LEA83" s="248" t="str">
        <f t="shared" si="134"/>
        <v/>
      </c>
      <c r="LEB83" s="248" t="str">
        <f t="shared" si="134"/>
        <v/>
      </c>
      <c r="LEC83" s="248" t="str">
        <f t="shared" si="134"/>
        <v/>
      </c>
      <c r="LED83" s="248" t="str">
        <f t="shared" si="134"/>
        <v/>
      </c>
      <c r="LEE83" s="248" t="str">
        <f t="shared" si="134"/>
        <v/>
      </c>
      <c r="LEF83" s="248" t="str">
        <f t="shared" si="134"/>
        <v/>
      </c>
      <c r="LEG83" s="248" t="str">
        <f t="shared" si="134"/>
        <v/>
      </c>
      <c r="LEH83" s="248" t="str">
        <f t="shared" si="134"/>
        <v/>
      </c>
      <c r="LEI83" s="248" t="str">
        <f t="shared" si="134"/>
        <v/>
      </c>
      <c r="LEJ83" s="248" t="str">
        <f t="shared" si="134"/>
        <v/>
      </c>
      <c r="LEK83" s="248" t="str">
        <f t="shared" si="134"/>
        <v/>
      </c>
      <c r="LEL83" s="248" t="str">
        <f t="shared" si="134"/>
        <v/>
      </c>
      <c r="LEM83" s="248" t="str">
        <f t="shared" si="134"/>
        <v/>
      </c>
      <c r="LEN83" s="248" t="str">
        <f t="shared" si="134"/>
        <v/>
      </c>
      <c r="LEO83" s="248" t="str">
        <f t="shared" si="134"/>
        <v/>
      </c>
      <c r="LEP83" s="248" t="str">
        <f t="shared" si="134"/>
        <v/>
      </c>
      <c r="LEQ83" s="248" t="str">
        <f t="shared" si="134"/>
        <v/>
      </c>
      <c r="LER83" s="248" t="str">
        <f t="shared" si="134"/>
        <v/>
      </c>
      <c r="LES83" s="248" t="str">
        <f t="shared" si="134"/>
        <v/>
      </c>
      <c r="LET83" s="248" t="str">
        <f t="shared" si="134"/>
        <v/>
      </c>
      <c r="LEU83" s="248" t="str">
        <f t="shared" si="134"/>
        <v/>
      </c>
      <c r="LEV83" s="248" t="str">
        <f t="shared" si="134"/>
        <v/>
      </c>
      <c r="LEW83" s="248" t="str">
        <f t="shared" si="134"/>
        <v/>
      </c>
      <c r="LEX83" s="248" t="str">
        <f t="shared" si="134"/>
        <v/>
      </c>
      <c r="LEY83" s="248" t="str">
        <f t="shared" si="134"/>
        <v/>
      </c>
      <c r="LEZ83" s="248" t="str">
        <f t="shared" si="134"/>
        <v/>
      </c>
      <c r="LFA83" s="248" t="str">
        <f t="shared" si="134"/>
        <v/>
      </c>
      <c r="LFB83" s="248" t="str">
        <f t="shared" si="134"/>
        <v/>
      </c>
      <c r="LFC83" s="248" t="str">
        <f t="shared" si="134"/>
        <v/>
      </c>
      <c r="LFD83" s="248" t="str">
        <f t="shared" si="134"/>
        <v/>
      </c>
      <c r="LFE83" s="248" t="str">
        <f t="shared" si="134"/>
        <v/>
      </c>
      <c r="LFF83" s="248" t="str">
        <f t="shared" si="134"/>
        <v/>
      </c>
      <c r="LFG83" s="248" t="str">
        <f t="shared" si="134"/>
        <v/>
      </c>
      <c r="LFH83" s="248" t="str">
        <f t="shared" si="134"/>
        <v/>
      </c>
      <c r="LFI83" s="248" t="str">
        <f t="shared" si="134"/>
        <v/>
      </c>
      <c r="LFJ83" s="248" t="str">
        <f t="shared" si="134"/>
        <v/>
      </c>
      <c r="LFK83" s="248" t="str">
        <f t="shared" si="134"/>
        <v/>
      </c>
      <c r="LFL83" s="248" t="str">
        <f t="shared" si="134"/>
        <v/>
      </c>
      <c r="LFM83" s="248" t="str">
        <f t="shared" si="134"/>
        <v/>
      </c>
      <c r="LFN83" s="248" t="str">
        <f t="shared" si="134"/>
        <v/>
      </c>
      <c r="LFO83" s="248" t="str">
        <f t="shared" si="134"/>
        <v/>
      </c>
      <c r="LFP83" s="248" t="str">
        <f t="shared" si="134"/>
        <v/>
      </c>
      <c r="LFQ83" s="248" t="str">
        <f t="shared" si="134"/>
        <v/>
      </c>
      <c r="LFR83" s="248" t="str">
        <f t="shared" si="134"/>
        <v/>
      </c>
      <c r="LFS83" s="248" t="str">
        <f t="shared" ref="LFS83:LID83" si="135">UPPER(LFQ83)</f>
        <v/>
      </c>
      <c r="LFT83" s="248" t="str">
        <f t="shared" si="135"/>
        <v/>
      </c>
      <c r="LFU83" s="248" t="str">
        <f t="shared" si="135"/>
        <v/>
      </c>
      <c r="LFV83" s="248" t="str">
        <f t="shared" si="135"/>
        <v/>
      </c>
      <c r="LFW83" s="248" t="str">
        <f t="shared" si="135"/>
        <v/>
      </c>
      <c r="LFX83" s="248" t="str">
        <f t="shared" si="135"/>
        <v/>
      </c>
      <c r="LFY83" s="248" t="str">
        <f t="shared" si="135"/>
        <v/>
      </c>
      <c r="LFZ83" s="248" t="str">
        <f t="shared" si="135"/>
        <v/>
      </c>
      <c r="LGA83" s="248" t="str">
        <f t="shared" si="135"/>
        <v/>
      </c>
      <c r="LGB83" s="248" t="str">
        <f t="shared" si="135"/>
        <v/>
      </c>
      <c r="LGC83" s="248" t="str">
        <f t="shared" si="135"/>
        <v/>
      </c>
      <c r="LGD83" s="248" t="str">
        <f t="shared" si="135"/>
        <v/>
      </c>
      <c r="LGE83" s="248" t="str">
        <f t="shared" si="135"/>
        <v/>
      </c>
      <c r="LGF83" s="248" t="str">
        <f t="shared" si="135"/>
        <v/>
      </c>
      <c r="LGG83" s="248" t="str">
        <f t="shared" si="135"/>
        <v/>
      </c>
      <c r="LGH83" s="248" t="str">
        <f t="shared" si="135"/>
        <v/>
      </c>
      <c r="LGI83" s="248" t="str">
        <f t="shared" si="135"/>
        <v/>
      </c>
      <c r="LGJ83" s="248" t="str">
        <f t="shared" si="135"/>
        <v/>
      </c>
      <c r="LGK83" s="248" t="str">
        <f t="shared" si="135"/>
        <v/>
      </c>
      <c r="LGL83" s="248" t="str">
        <f t="shared" si="135"/>
        <v/>
      </c>
      <c r="LGM83" s="248" t="str">
        <f t="shared" si="135"/>
        <v/>
      </c>
      <c r="LGN83" s="248" t="str">
        <f t="shared" si="135"/>
        <v/>
      </c>
      <c r="LGO83" s="248" t="str">
        <f t="shared" si="135"/>
        <v/>
      </c>
      <c r="LGP83" s="248" t="str">
        <f t="shared" si="135"/>
        <v/>
      </c>
      <c r="LGQ83" s="248" t="str">
        <f t="shared" si="135"/>
        <v/>
      </c>
      <c r="LGR83" s="248" t="str">
        <f t="shared" si="135"/>
        <v/>
      </c>
      <c r="LGS83" s="248" t="str">
        <f t="shared" si="135"/>
        <v/>
      </c>
      <c r="LGT83" s="248" t="str">
        <f t="shared" si="135"/>
        <v/>
      </c>
      <c r="LGU83" s="248" t="str">
        <f t="shared" si="135"/>
        <v/>
      </c>
      <c r="LGV83" s="248" t="str">
        <f t="shared" si="135"/>
        <v/>
      </c>
      <c r="LGW83" s="248" t="str">
        <f t="shared" si="135"/>
        <v/>
      </c>
      <c r="LGX83" s="248" t="str">
        <f t="shared" si="135"/>
        <v/>
      </c>
      <c r="LGY83" s="248" t="str">
        <f t="shared" si="135"/>
        <v/>
      </c>
      <c r="LGZ83" s="248" t="str">
        <f t="shared" si="135"/>
        <v/>
      </c>
      <c r="LHA83" s="248" t="str">
        <f t="shared" si="135"/>
        <v/>
      </c>
      <c r="LHB83" s="248" t="str">
        <f t="shared" si="135"/>
        <v/>
      </c>
      <c r="LHC83" s="248" t="str">
        <f t="shared" si="135"/>
        <v/>
      </c>
      <c r="LHD83" s="248" t="str">
        <f t="shared" si="135"/>
        <v/>
      </c>
      <c r="LHE83" s="248" t="str">
        <f t="shared" si="135"/>
        <v/>
      </c>
      <c r="LHF83" s="248" t="str">
        <f t="shared" si="135"/>
        <v/>
      </c>
      <c r="LHG83" s="248" t="str">
        <f t="shared" si="135"/>
        <v/>
      </c>
      <c r="LHH83" s="248" t="str">
        <f t="shared" si="135"/>
        <v/>
      </c>
      <c r="LHI83" s="248" t="str">
        <f t="shared" si="135"/>
        <v/>
      </c>
      <c r="LHJ83" s="248" t="str">
        <f t="shared" si="135"/>
        <v/>
      </c>
      <c r="LHK83" s="248" t="str">
        <f t="shared" si="135"/>
        <v/>
      </c>
      <c r="LHL83" s="248" t="str">
        <f t="shared" si="135"/>
        <v/>
      </c>
      <c r="LHM83" s="248" t="str">
        <f t="shared" si="135"/>
        <v/>
      </c>
      <c r="LHN83" s="248" t="str">
        <f t="shared" si="135"/>
        <v/>
      </c>
      <c r="LHO83" s="248" t="str">
        <f t="shared" si="135"/>
        <v/>
      </c>
      <c r="LHP83" s="248" t="str">
        <f t="shared" si="135"/>
        <v/>
      </c>
      <c r="LHQ83" s="248" t="str">
        <f t="shared" si="135"/>
        <v/>
      </c>
      <c r="LHR83" s="248" t="str">
        <f t="shared" si="135"/>
        <v/>
      </c>
      <c r="LHS83" s="248" t="str">
        <f t="shared" si="135"/>
        <v/>
      </c>
      <c r="LHT83" s="248" t="str">
        <f t="shared" si="135"/>
        <v/>
      </c>
      <c r="LHU83" s="248" t="str">
        <f t="shared" si="135"/>
        <v/>
      </c>
      <c r="LHV83" s="248" t="str">
        <f t="shared" si="135"/>
        <v/>
      </c>
      <c r="LHW83" s="248" t="str">
        <f t="shared" si="135"/>
        <v/>
      </c>
      <c r="LHX83" s="248" t="str">
        <f t="shared" si="135"/>
        <v/>
      </c>
      <c r="LHY83" s="248" t="str">
        <f t="shared" si="135"/>
        <v/>
      </c>
      <c r="LHZ83" s="248" t="str">
        <f t="shared" si="135"/>
        <v/>
      </c>
      <c r="LIA83" s="248" t="str">
        <f t="shared" si="135"/>
        <v/>
      </c>
      <c r="LIB83" s="248" t="str">
        <f t="shared" si="135"/>
        <v/>
      </c>
      <c r="LIC83" s="248" t="str">
        <f t="shared" si="135"/>
        <v/>
      </c>
      <c r="LID83" s="248" t="str">
        <f t="shared" si="135"/>
        <v/>
      </c>
      <c r="LIE83" s="248" t="str">
        <f t="shared" ref="LIE83:LKP83" si="136">UPPER(LIC83)</f>
        <v/>
      </c>
      <c r="LIF83" s="248" t="str">
        <f t="shared" si="136"/>
        <v/>
      </c>
      <c r="LIG83" s="248" t="str">
        <f t="shared" si="136"/>
        <v/>
      </c>
      <c r="LIH83" s="248" t="str">
        <f t="shared" si="136"/>
        <v/>
      </c>
      <c r="LII83" s="248" t="str">
        <f t="shared" si="136"/>
        <v/>
      </c>
      <c r="LIJ83" s="248" t="str">
        <f t="shared" si="136"/>
        <v/>
      </c>
      <c r="LIK83" s="248" t="str">
        <f t="shared" si="136"/>
        <v/>
      </c>
      <c r="LIL83" s="248" t="str">
        <f t="shared" si="136"/>
        <v/>
      </c>
      <c r="LIM83" s="248" t="str">
        <f t="shared" si="136"/>
        <v/>
      </c>
      <c r="LIN83" s="248" t="str">
        <f t="shared" si="136"/>
        <v/>
      </c>
      <c r="LIO83" s="248" t="str">
        <f t="shared" si="136"/>
        <v/>
      </c>
      <c r="LIP83" s="248" t="str">
        <f t="shared" si="136"/>
        <v/>
      </c>
      <c r="LIQ83" s="248" t="str">
        <f t="shared" si="136"/>
        <v/>
      </c>
      <c r="LIR83" s="248" t="str">
        <f t="shared" si="136"/>
        <v/>
      </c>
      <c r="LIS83" s="248" t="str">
        <f t="shared" si="136"/>
        <v/>
      </c>
      <c r="LIT83" s="248" t="str">
        <f t="shared" si="136"/>
        <v/>
      </c>
      <c r="LIU83" s="248" t="str">
        <f t="shared" si="136"/>
        <v/>
      </c>
      <c r="LIV83" s="248" t="str">
        <f t="shared" si="136"/>
        <v/>
      </c>
      <c r="LIW83" s="248" t="str">
        <f t="shared" si="136"/>
        <v/>
      </c>
      <c r="LIX83" s="248" t="str">
        <f t="shared" si="136"/>
        <v/>
      </c>
      <c r="LIY83" s="248" t="str">
        <f t="shared" si="136"/>
        <v/>
      </c>
      <c r="LIZ83" s="248" t="str">
        <f t="shared" si="136"/>
        <v/>
      </c>
      <c r="LJA83" s="248" t="str">
        <f t="shared" si="136"/>
        <v/>
      </c>
      <c r="LJB83" s="248" t="str">
        <f t="shared" si="136"/>
        <v/>
      </c>
      <c r="LJC83" s="248" t="str">
        <f t="shared" si="136"/>
        <v/>
      </c>
      <c r="LJD83" s="248" t="str">
        <f t="shared" si="136"/>
        <v/>
      </c>
      <c r="LJE83" s="248" t="str">
        <f t="shared" si="136"/>
        <v/>
      </c>
      <c r="LJF83" s="248" t="str">
        <f t="shared" si="136"/>
        <v/>
      </c>
      <c r="LJG83" s="248" t="str">
        <f t="shared" si="136"/>
        <v/>
      </c>
      <c r="LJH83" s="248" t="str">
        <f t="shared" si="136"/>
        <v/>
      </c>
      <c r="LJI83" s="248" t="str">
        <f t="shared" si="136"/>
        <v/>
      </c>
      <c r="LJJ83" s="248" t="str">
        <f t="shared" si="136"/>
        <v/>
      </c>
      <c r="LJK83" s="248" t="str">
        <f t="shared" si="136"/>
        <v/>
      </c>
      <c r="LJL83" s="248" t="str">
        <f t="shared" si="136"/>
        <v/>
      </c>
      <c r="LJM83" s="248" t="str">
        <f t="shared" si="136"/>
        <v/>
      </c>
      <c r="LJN83" s="248" t="str">
        <f t="shared" si="136"/>
        <v/>
      </c>
      <c r="LJO83" s="248" t="str">
        <f t="shared" si="136"/>
        <v/>
      </c>
      <c r="LJP83" s="248" t="str">
        <f t="shared" si="136"/>
        <v/>
      </c>
      <c r="LJQ83" s="248" t="str">
        <f t="shared" si="136"/>
        <v/>
      </c>
      <c r="LJR83" s="248" t="str">
        <f t="shared" si="136"/>
        <v/>
      </c>
      <c r="LJS83" s="248" t="str">
        <f t="shared" si="136"/>
        <v/>
      </c>
      <c r="LJT83" s="248" t="str">
        <f t="shared" si="136"/>
        <v/>
      </c>
      <c r="LJU83" s="248" t="str">
        <f t="shared" si="136"/>
        <v/>
      </c>
      <c r="LJV83" s="248" t="str">
        <f t="shared" si="136"/>
        <v/>
      </c>
      <c r="LJW83" s="248" t="str">
        <f t="shared" si="136"/>
        <v/>
      </c>
      <c r="LJX83" s="248" t="str">
        <f t="shared" si="136"/>
        <v/>
      </c>
      <c r="LJY83" s="248" t="str">
        <f t="shared" si="136"/>
        <v/>
      </c>
      <c r="LJZ83" s="248" t="str">
        <f t="shared" si="136"/>
        <v/>
      </c>
      <c r="LKA83" s="248" t="str">
        <f t="shared" si="136"/>
        <v/>
      </c>
      <c r="LKB83" s="248" t="str">
        <f t="shared" si="136"/>
        <v/>
      </c>
      <c r="LKC83" s="248" t="str">
        <f t="shared" si="136"/>
        <v/>
      </c>
      <c r="LKD83" s="248" t="str">
        <f t="shared" si="136"/>
        <v/>
      </c>
      <c r="LKE83" s="248" t="str">
        <f t="shared" si="136"/>
        <v/>
      </c>
      <c r="LKF83" s="248" t="str">
        <f t="shared" si="136"/>
        <v/>
      </c>
      <c r="LKG83" s="248" t="str">
        <f t="shared" si="136"/>
        <v/>
      </c>
      <c r="LKH83" s="248" t="str">
        <f t="shared" si="136"/>
        <v/>
      </c>
      <c r="LKI83" s="248" t="str">
        <f t="shared" si="136"/>
        <v/>
      </c>
      <c r="LKJ83" s="248" t="str">
        <f t="shared" si="136"/>
        <v/>
      </c>
      <c r="LKK83" s="248" t="str">
        <f t="shared" si="136"/>
        <v/>
      </c>
      <c r="LKL83" s="248" t="str">
        <f t="shared" si="136"/>
        <v/>
      </c>
      <c r="LKM83" s="248" t="str">
        <f t="shared" si="136"/>
        <v/>
      </c>
      <c r="LKN83" s="248" t="str">
        <f t="shared" si="136"/>
        <v/>
      </c>
      <c r="LKO83" s="248" t="str">
        <f t="shared" si="136"/>
        <v/>
      </c>
      <c r="LKP83" s="248" t="str">
        <f t="shared" si="136"/>
        <v/>
      </c>
      <c r="LKQ83" s="248" t="str">
        <f t="shared" ref="LKQ83:LNB83" si="137">UPPER(LKO83)</f>
        <v/>
      </c>
      <c r="LKR83" s="248" t="str">
        <f t="shared" si="137"/>
        <v/>
      </c>
      <c r="LKS83" s="248" t="str">
        <f t="shared" si="137"/>
        <v/>
      </c>
      <c r="LKT83" s="248" t="str">
        <f t="shared" si="137"/>
        <v/>
      </c>
      <c r="LKU83" s="248" t="str">
        <f t="shared" si="137"/>
        <v/>
      </c>
      <c r="LKV83" s="248" t="str">
        <f t="shared" si="137"/>
        <v/>
      </c>
      <c r="LKW83" s="248" t="str">
        <f t="shared" si="137"/>
        <v/>
      </c>
      <c r="LKX83" s="248" t="str">
        <f t="shared" si="137"/>
        <v/>
      </c>
      <c r="LKY83" s="248" t="str">
        <f t="shared" si="137"/>
        <v/>
      </c>
      <c r="LKZ83" s="248" t="str">
        <f t="shared" si="137"/>
        <v/>
      </c>
      <c r="LLA83" s="248" t="str">
        <f t="shared" si="137"/>
        <v/>
      </c>
      <c r="LLB83" s="248" t="str">
        <f t="shared" si="137"/>
        <v/>
      </c>
      <c r="LLC83" s="248" t="str">
        <f t="shared" si="137"/>
        <v/>
      </c>
      <c r="LLD83" s="248" t="str">
        <f t="shared" si="137"/>
        <v/>
      </c>
      <c r="LLE83" s="248" t="str">
        <f t="shared" si="137"/>
        <v/>
      </c>
      <c r="LLF83" s="248" t="str">
        <f t="shared" si="137"/>
        <v/>
      </c>
      <c r="LLG83" s="248" t="str">
        <f t="shared" si="137"/>
        <v/>
      </c>
      <c r="LLH83" s="248" t="str">
        <f t="shared" si="137"/>
        <v/>
      </c>
      <c r="LLI83" s="248" t="str">
        <f t="shared" si="137"/>
        <v/>
      </c>
      <c r="LLJ83" s="248" t="str">
        <f t="shared" si="137"/>
        <v/>
      </c>
      <c r="LLK83" s="248" t="str">
        <f t="shared" si="137"/>
        <v/>
      </c>
      <c r="LLL83" s="248" t="str">
        <f t="shared" si="137"/>
        <v/>
      </c>
      <c r="LLM83" s="248" t="str">
        <f t="shared" si="137"/>
        <v/>
      </c>
      <c r="LLN83" s="248" t="str">
        <f t="shared" si="137"/>
        <v/>
      </c>
      <c r="LLO83" s="248" t="str">
        <f t="shared" si="137"/>
        <v/>
      </c>
      <c r="LLP83" s="248" t="str">
        <f t="shared" si="137"/>
        <v/>
      </c>
      <c r="LLQ83" s="248" t="str">
        <f t="shared" si="137"/>
        <v/>
      </c>
      <c r="LLR83" s="248" t="str">
        <f t="shared" si="137"/>
        <v/>
      </c>
      <c r="LLS83" s="248" t="str">
        <f t="shared" si="137"/>
        <v/>
      </c>
      <c r="LLT83" s="248" t="str">
        <f t="shared" si="137"/>
        <v/>
      </c>
      <c r="LLU83" s="248" t="str">
        <f t="shared" si="137"/>
        <v/>
      </c>
      <c r="LLV83" s="248" t="str">
        <f t="shared" si="137"/>
        <v/>
      </c>
      <c r="LLW83" s="248" t="str">
        <f t="shared" si="137"/>
        <v/>
      </c>
      <c r="LLX83" s="248" t="str">
        <f t="shared" si="137"/>
        <v/>
      </c>
      <c r="LLY83" s="248" t="str">
        <f t="shared" si="137"/>
        <v/>
      </c>
      <c r="LLZ83" s="248" t="str">
        <f t="shared" si="137"/>
        <v/>
      </c>
      <c r="LMA83" s="248" t="str">
        <f t="shared" si="137"/>
        <v/>
      </c>
      <c r="LMB83" s="248" t="str">
        <f t="shared" si="137"/>
        <v/>
      </c>
      <c r="LMC83" s="248" t="str">
        <f t="shared" si="137"/>
        <v/>
      </c>
      <c r="LMD83" s="248" t="str">
        <f t="shared" si="137"/>
        <v/>
      </c>
      <c r="LME83" s="248" t="str">
        <f t="shared" si="137"/>
        <v/>
      </c>
      <c r="LMF83" s="248" t="str">
        <f t="shared" si="137"/>
        <v/>
      </c>
      <c r="LMG83" s="248" t="str">
        <f t="shared" si="137"/>
        <v/>
      </c>
      <c r="LMH83" s="248" t="str">
        <f t="shared" si="137"/>
        <v/>
      </c>
      <c r="LMI83" s="248" t="str">
        <f t="shared" si="137"/>
        <v/>
      </c>
      <c r="LMJ83" s="248" t="str">
        <f t="shared" si="137"/>
        <v/>
      </c>
      <c r="LMK83" s="248" t="str">
        <f t="shared" si="137"/>
        <v/>
      </c>
      <c r="LML83" s="248" t="str">
        <f t="shared" si="137"/>
        <v/>
      </c>
      <c r="LMM83" s="248" t="str">
        <f t="shared" si="137"/>
        <v/>
      </c>
      <c r="LMN83" s="248" t="str">
        <f t="shared" si="137"/>
        <v/>
      </c>
      <c r="LMO83" s="248" t="str">
        <f t="shared" si="137"/>
        <v/>
      </c>
      <c r="LMP83" s="248" t="str">
        <f t="shared" si="137"/>
        <v/>
      </c>
      <c r="LMQ83" s="248" t="str">
        <f t="shared" si="137"/>
        <v/>
      </c>
      <c r="LMR83" s="248" t="str">
        <f t="shared" si="137"/>
        <v/>
      </c>
      <c r="LMS83" s="248" t="str">
        <f t="shared" si="137"/>
        <v/>
      </c>
      <c r="LMT83" s="248" t="str">
        <f t="shared" si="137"/>
        <v/>
      </c>
      <c r="LMU83" s="248" t="str">
        <f t="shared" si="137"/>
        <v/>
      </c>
      <c r="LMV83" s="248" t="str">
        <f t="shared" si="137"/>
        <v/>
      </c>
      <c r="LMW83" s="248" t="str">
        <f t="shared" si="137"/>
        <v/>
      </c>
      <c r="LMX83" s="248" t="str">
        <f t="shared" si="137"/>
        <v/>
      </c>
      <c r="LMY83" s="248" t="str">
        <f t="shared" si="137"/>
        <v/>
      </c>
      <c r="LMZ83" s="248" t="str">
        <f t="shared" si="137"/>
        <v/>
      </c>
      <c r="LNA83" s="248" t="str">
        <f t="shared" si="137"/>
        <v/>
      </c>
      <c r="LNB83" s="248" t="str">
        <f t="shared" si="137"/>
        <v/>
      </c>
      <c r="LNC83" s="248" t="str">
        <f t="shared" ref="LNC83:LPN83" si="138">UPPER(LNA83)</f>
        <v/>
      </c>
      <c r="LND83" s="248" t="str">
        <f t="shared" si="138"/>
        <v/>
      </c>
      <c r="LNE83" s="248" t="str">
        <f t="shared" si="138"/>
        <v/>
      </c>
      <c r="LNF83" s="248" t="str">
        <f t="shared" si="138"/>
        <v/>
      </c>
      <c r="LNG83" s="248" t="str">
        <f t="shared" si="138"/>
        <v/>
      </c>
      <c r="LNH83" s="248" t="str">
        <f t="shared" si="138"/>
        <v/>
      </c>
      <c r="LNI83" s="248" t="str">
        <f t="shared" si="138"/>
        <v/>
      </c>
      <c r="LNJ83" s="248" t="str">
        <f t="shared" si="138"/>
        <v/>
      </c>
      <c r="LNK83" s="248" t="str">
        <f t="shared" si="138"/>
        <v/>
      </c>
      <c r="LNL83" s="248" t="str">
        <f t="shared" si="138"/>
        <v/>
      </c>
      <c r="LNM83" s="248" t="str">
        <f t="shared" si="138"/>
        <v/>
      </c>
      <c r="LNN83" s="248" t="str">
        <f t="shared" si="138"/>
        <v/>
      </c>
      <c r="LNO83" s="248" t="str">
        <f t="shared" si="138"/>
        <v/>
      </c>
      <c r="LNP83" s="248" t="str">
        <f t="shared" si="138"/>
        <v/>
      </c>
      <c r="LNQ83" s="248" t="str">
        <f t="shared" si="138"/>
        <v/>
      </c>
      <c r="LNR83" s="248" t="str">
        <f t="shared" si="138"/>
        <v/>
      </c>
      <c r="LNS83" s="248" t="str">
        <f t="shared" si="138"/>
        <v/>
      </c>
      <c r="LNT83" s="248" t="str">
        <f t="shared" si="138"/>
        <v/>
      </c>
      <c r="LNU83" s="248" t="str">
        <f t="shared" si="138"/>
        <v/>
      </c>
      <c r="LNV83" s="248" t="str">
        <f t="shared" si="138"/>
        <v/>
      </c>
      <c r="LNW83" s="248" t="str">
        <f t="shared" si="138"/>
        <v/>
      </c>
      <c r="LNX83" s="248" t="str">
        <f t="shared" si="138"/>
        <v/>
      </c>
      <c r="LNY83" s="248" t="str">
        <f t="shared" si="138"/>
        <v/>
      </c>
      <c r="LNZ83" s="248" t="str">
        <f t="shared" si="138"/>
        <v/>
      </c>
      <c r="LOA83" s="248" t="str">
        <f t="shared" si="138"/>
        <v/>
      </c>
      <c r="LOB83" s="248" t="str">
        <f t="shared" si="138"/>
        <v/>
      </c>
      <c r="LOC83" s="248" t="str">
        <f t="shared" si="138"/>
        <v/>
      </c>
      <c r="LOD83" s="248" t="str">
        <f t="shared" si="138"/>
        <v/>
      </c>
      <c r="LOE83" s="248" t="str">
        <f t="shared" si="138"/>
        <v/>
      </c>
      <c r="LOF83" s="248" t="str">
        <f t="shared" si="138"/>
        <v/>
      </c>
      <c r="LOG83" s="248" t="str">
        <f t="shared" si="138"/>
        <v/>
      </c>
      <c r="LOH83" s="248" t="str">
        <f t="shared" si="138"/>
        <v/>
      </c>
      <c r="LOI83" s="248" t="str">
        <f t="shared" si="138"/>
        <v/>
      </c>
      <c r="LOJ83" s="248" t="str">
        <f t="shared" si="138"/>
        <v/>
      </c>
      <c r="LOK83" s="248" t="str">
        <f t="shared" si="138"/>
        <v/>
      </c>
      <c r="LOL83" s="248" t="str">
        <f t="shared" si="138"/>
        <v/>
      </c>
      <c r="LOM83" s="248" t="str">
        <f t="shared" si="138"/>
        <v/>
      </c>
      <c r="LON83" s="248" t="str">
        <f t="shared" si="138"/>
        <v/>
      </c>
      <c r="LOO83" s="248" t="str">
        <f t="shared" si="138"/>
        <v/>
      </c>
      <c r="LOP83" s="248" t="str">
        <f t="shared" si="138"/>
        <v/>
      </c>
      <c r="LOQ83" s="248" t="str">
        <f t="shared" si="138"/>
        <v/>
      </c>
      <c r="LOR83" s="248" t="str">
        <f t="shared" si="138"/>
        <v/>
      </c>
      <c r="LOS83" s="248" t="str">
        <f t="shared" si="138"/>
        <v/>
      </c>
      <c r="LOT83" s="248" t="str">
        <f t="shared" si="138"/>
        <v/>
      </c>
      <c r="LOU83" s="248" t="str">
        <f t="shared" si="138"/>
        <v/>
      </c>
      <c r="LOV83" s="248" t="str">
        <f t="shared" si="138"/>
        <v/>
      </c>
      <c r="LOW83" s="248" t="str">
        <f t="shared" si="138"/>
        <v/>
      </c>
      <c r="LOX83" s="248" t="str">
        <f t="shared" si="138"/>
        <v/>
      </c>
      <c r="LOY83" s="248" t="str">
        <f t="shared" si="138"/>
        <v/>
      </c>
      <c r="LOZ83" s="248" t="str">
        <f t="shared" si="138"/>
        <v/>
      </c>
      <c r="LPA83" s="248" t="str">
        <f t="shared" si="138"/>
        <v/>
      </c>
      <c r="LPB83" s="248" t="str">
        <f t="shared" si="138"/>
        <v/>
      </c>
      <c r="LPC83" s="248" t="str">
        <f t="shared" si="138"/>
        <v/>
      </c>
      <c r="LPD83" s="248" t="str">
        <f t="shared" si="138"/>
        <v/>
      </c>
      <c r="LPE83" s="248" t="str">
        <f t="shared" si="138"/>
        <v/>
      </c>
      <c r="LPF83" s="248" t="str">
        <f t="shared" si="138"/>
        <v/>
      </c>
      <c r="LPG83" s="248" t="str">
        <f t="shared" si="138"/>
        <v/>
      </c>
      <c r="LPH83" s="248" t="str">
        <f t="shared" si="138"/>
        <v/>
      </c>
      <c r="LPI83" s="248" t="str">
        <f t="shared" si="138"/>
        <v/>
      </c>
      <c r="LPJ83" s="248" t="str">
        <f t="shared" si="138"/>
        <v/>
      </c>
      <c r="LPK83" s="248" t="str">
        <f t="shared" si="138"/>
        <v/>
      </c>
      <c r="LPL83" s="248" t="str">
        <f t="shared" si="138"/>
        <v/>
      </c>
      <c r="LPM83" s="248" t="str">
        <f t="shared" si="138"/>
        <v/>
      </c>
      <c r="LPN83" s="248" t="str">
        <f t="shared" si="138"/>
        <v/>
      </c>
      <c r="LPO83" s="248" t="str">
        <f t="shared" ref="LPO83:LRZ83" si="139">UPPER(LPM83)</f>
        <v/>
      </c>
      <c r="LPP83" s="248" t="str">
        <f t="shared" si="139"/>
        <v/>
      </c>
      <c r="LPQ83" s="248" t="str">
        <f t="shared" si="139"/>
        <v/>
      </c>
      <c r="LPR83" s="248" t="str">
        <f t="shared" si="139"/>
        <v/>
      </c>
      <c r="LPS83" s="248" t="str">
        <f t="shared" si="139"/>
        <v/>
      </c>
      <c r="LPT83" s="248" t="str">
        <f t="shared" si="139"/>
        <v/>
      </c>
      <c r="LPU83" s="248" t="str">
        <f t="shared" si="139"/>
        <v/>
      </c>
      <c r="LPV83" s="248" t="str">
        <f t="shared" si="139"/>
        <v/>
      </c>
      <c r="LPW83" s="248" t="str">
        <f t="shared" si="139"/>
        <v/>
      </c>
      <c r="LPX83" s="248" t="str">
        <f t="shared" si="139"/>
        <v/>
      </c>
      <c r="LPY83" s="248" t="str">
        <f t="shared" si="139"/>
        <v/>
      </c>
      <c r="LPZ83" s="248" t="str">
        <f t="shared" si="139"/>
        <v/>
      </c>
      <c r="LQA83" s="248" t="str">
        <f t="shared" si="139"/>
        <v/>
      </c>
      <c r="LQB83" s="248" t="str">
        <f t="shared" si="139"/>
        <v/>
      </c>
      <c r="LQC83" s="248" t="str">
        <f t="shared" si="139"/>
        <v/>
      </c>
      <c r="LQD83" s="248" t="str">
        <f t="shared" si="139"/>
        <v/>
      </c>
      <c r="LQE83" s="248" t="str">
        <f t="shared" si="139"/>
        <v/>
      </c>
      <c r="LQF83" s="248" t="str">
        <f t="shared" si="139"/>
        <v/>
      </c>
      <c r="LQG83" s="248" t="str">
        <f t="shared" si="139"/>
        <v/>
      </c>
      <c r="LQH83" s="248" t="str">
        <f t="shared" si="139"/>
        <v/>
      </c>
      <c r="LQI83" s="248" t="str">
        <f t="shared" si="139"/>
        <v/>
      </c>
      <c r="LQJ83" s="248" t="str">
        <f t="shared" si="139"/>
        <v/>
      </c>
      <c r="LQK83" s="248" t="str">
        <f t="shared" si="139"/>
        <v/>
      </c>
      <c r="LQL83" s="248" t="str">
        <f t="shared" si="139"/>
        <v/>
      </c>
      <c r="LQM83" s="248" t="str">
        <f t="shared" si="139"/>
        <v/>
      </c>
      <c r="LQN83" s="248" t="str">
        <f t="shared" si="139"/>
        <v/>
      </c>
      <c r="LQO83" s="248" t="str">
        <f t="shared" si="139"/>
        <v/>
      </c>
      <c r="LQP83" s="248" t="str">
        <f t="shared" si="139"/>
        <v/>
      </c>
      <c r="LQQ83" s="248" t="str">
        <f t="shared" si="139"/>
        <v/>
      </c>
      <c r="LQR83" s="248" t="str">
        <f t="shared" si="139"/>
        <v/>
      </c>
      <c r="LQS83" s="248" t="str">
        <f t="shared" si="139"/>
        <v/>
      </c>
      <c r="LQT83" s="248" t="str">
        <f t="shared" si="139"/>
        <v/>
      </c>
      <c r="LQU83" s="248" t="str">
        <f t="shared" si="139"/>
        <v/>
      </c>
      <c r="LQV83" s="248" t="str">
        <f t="shared" si="139"/>
        <v/>
      </c>
      <c r="LQW83" s="248" t="str">
        <f t="shared" si="139"/>
        <v/>
      </c>
      <c r="LQX83" s="248" t="str">
        <f t="shared" si="139"/>
        <v/>
      </c>
      <c r="LQY83" s="248" t="str">
        <f t="shared" si="139"/>
        <v/>
      </c>
      <c r="LQZ83" s="248" t="str">
        <f t="shared" si="139"/>
        <v/>
      </c>
      <c r="LRA83" s="248" t="str">
        <f t="shared" si="139"/>
        <v/>
      </c>
      <c r="LRB83" s="248" t="str">
        <f t="shared" si="139"/>
        <v/>
      </c>
      <c r="LRC83" s="248" t="str">
        <f t="shared" si="139"/>
        <v/>
      </c>
      <c r="LRD83" s="248" t="str">
        <f t="shared" si="139"/>
        <v/>
      </c>
      <c r="LRE83" s="248" t="str">
        <f t="shared" si="139"/>
        <v/>
      </c>
      <c r="LRF83" s="248" t="str">
        <f t="shared" si="139"/>
        <v/>
      </c>
      <c r="LRG83" s="248" t="str">
        <f t="shared" si="139"/>
        <v/>
      </c>
      <c r="LRH83" s="248" t="str">
        <f t="shared" si="139"/>
        <v/>
      </c>
      <c r="LRI83" s="248" t="str">
        <f t="shared" si="139"/>
        <v/>
      </c>
      <c r="LRJ83" s="248" t="str">
        <f t="shared" si="139"/>
        <v/>
      </c>
      <c r="LRK83" s="248" t="str">
        <f t="shared" si="139"/>
        <v/>
      </c>
      <c r="LRL83" s="248" t="str">
        <f t="shared" si="139"/>
        <v/>
      </c>
      <c r="LRM83" s="248" t="str">
        <f t="shared" si="139"/>
        <v/>
      </c>
      <c r="LRN83" s="248" t="str">
        <f t="shared" si="139"/>
        <v/>
      </c>
      <c r="LRO83" s="248" t="str">
        <f t="shared" si="139"/>
        <v/>
      </c>
      <c r="LRP83" s="248" t="str">
        <f t="shared" si="139"/>
        <v/>
      </c>
      <c r="LRQ83" s="248" t="str">
        <f t="shared" si="139"/>
        <v/>
      </c>
      <c r="LRR83" s="248" t="str">
        <f t="shared" si="139"/>
        <v/>
      </c>
      <c r="LRS83" s="248" t="str">
        <f t="shared" si="139"/>
        <v/>
      </c>
      <c r="LRT83" s="248" t="str">
        <f t="shared" si="139"/>
        <v/>
      </c>
      <c r="LRU83" s="248" t="str">
        <f t="shared" si="139"/>
        <v/>
      </c>
      <c r="LRV83" s="248" t="str">
        <f t="shared" si="139"/>
        <v/>
      </c>
      <c r="LRW83" s="248" t="str">
        <f t="shared" si="139"/>
        <v/>
      </c>
      <c r="LRX83" s="248" t="str">
        <f t="shared" si="139"/>
        <v/>
      </c>
      <c r="LRY83" s="248" t="str">
        <f t="shared" si="139"/>
        <v/>
      </c>
      <c r="LRZ83" s="248" t="str">
        <f t="shared" si="139"/>
        <v/>
      </c>
      <c r="LSA83" s="248" t="str">
        <f t="shared" ref="LSA83:LUL83" si="140">UPPER(LRY83)</f>
        <v/>
      </c>
      <c r="LSB83" s="248" t="str">
        <f t="shared" si="140"/>
        <v/>
      </c>
      <c r="LSC83" s="248" t="str">
        <f t="shared" si="140"/>
        <v/>
      </c>
      <c r="LSD83" s="248" t="str">
        <f t="shared" si="140"/>
        <v/>
      </c>
      <c r="LSE83" s="248" t="str">
        <f t="shared" si="140"/>
        <v/>
      </c>
      <c r="LSF83" s="248" t="str">
        <f t="shared" si="140"/>
        <v/>
      </c>
      <c r="LSG83" s="248" t="str">
        <f t="shared" si="140"/>
        <v/>
      </c>
      <c r="LSH83" s="248" t="str">
        <f t="shared" si="140"/>
        <v/>
      </c>
      <c r="LSI83" s="248" t="str">
        <f t="shared" si="140"/>
        <v/>
      </c>
      <c r="LSJ83" s="248" t="str">
        <f t="shared" si="140"/>
        <v/>
      </c>
      <c r="LSK83" s="248" t="str">
        <f t="shared" si="140"/>
        <v/>
      </c>
      <c r="LSL83" s="248" t="str">
        <f t="shared" si="140"/>
        <v/>
      </c>
      <c r="LSM83" s="248" t="str">
        <f t="shared" si="140"/>
        <v/>
      </c>
      <c r="LSN83" s="248" t="str">
        <f t="shared" si="140"/>
        <v/>
      </c>
      <c r="LSO83" s="248" t="str">
        <f t="shared" si="140"/>
        <v/>
      </c>
      <c r="LSP83" s="248" t="str">
        <f t="shared" si="140"/>
        <v/>
      </c>
      <c r="LSQ83" s="248" t="str">
        <f t="shared" si="140"/>
        <v/>
      </c>
      <c r="LSR83" s="248" t="str">
        <f t="shared" si="140"/>
        <v/>
      </c>
      <c r="LSS83" s="248" t="str">
        <f t="shared" si="140"/>
        <v/>
      </c>
      <c r="LST83" s="248" t="str">
        <f t="shared" si="140"/>
        <v/>
      </c>
      <c r="LSU83" s="248" t="str">
        <f t="shared" si="140"/>
        <v/>
      </c>
      <c r="LSV83" s="248" t="str">
        <f t="shared" si="140"/>
        <v/>
      </c>
      <c r="LSW83" s="248" t="str">
        <f t="shared" si="140"/>
        <v/>
      </c>
      <c r="LSX83" s="248" t="str">
        <f t="shared" si="140"/>
        <v/>
      </c>
      <c r="LSY83" s="248" t="str">
        <f t="shared" si="140"/>
        <v/>
      </c>
      <c r="LSZ83" s="248" t="str">
        <f t="shared" si="140"/>
        <v/>
      </c>
      <c r="LTA83" s="248" t="str">
        <f t="shared" si="140"/>
        <v/>
      </c>
      <c r="LTB83" s="248" t="str">
        <f t="shared" si="140"/>
        <v/>
      </c>
      <c r="LTC83" s="248" t="str">
        <f t="shared" si="140"/>
        <v/>
      </c>
      <c r="LTD83" s="248" t="str">
        <f t="shared" si="140"/>
        <v/>
      </c>
      <c r="LTE83" s="248" t="str">
        <f t="shared" si="140"/>
        <v/>
      </c>
      <c r="LTF83" s="248" t="str">
        <f t="shared" si="140"/>
        <v/>
      </c>
      <c r="LTG83" s="248" t="str">
        <f t="shared" si="140"/>
        <v/>
      </c>
      <c r="LTH83" s="248" t="str">
        <f t="shared" si="140"/>
        <v/>
      </c>
      <c r="LTI83" s="248" t="str">
        <f t="shared" si="140"/>
        <v/>
      </c>
      <c r="LTJ83" s="248" t="str">
        <f t="shared" si="140"/>
        <v/>
      </c>
      <c r="LTK83" s="248" t="str">
        <f t="shared" si="140"/>
        <v/>
      </c>
      <c r="LTL83" s="248" t="str">
        <f t="shared" si="140"/>
        <v/>
      </c>
      <c r="LTM83" s="248" t="str">
        <f t="shared" si="140"/>
        <v/>
      </c>
      <c r="LTN83" s="248" t="str">
        <f t="shared" si="140"/>
        <v/>
      </c>
      <c r="LTO83" s="248" t="str">
        <f t="shared" si="140"/>
        <v/>
      </c>
      <c r="LTP83" s="248" t="str">
        <f t="shared" si="140"/>
        <v/>
      </c>
      <c r="LTQ83" s="248" t="str">
        <f t="shared" si="140"/>
        <v/>
      </c>
      <c r="LTR83" s="248" t="str">
        <f t="shared" si="140"/>
        <v/>
      </c>
      <c r="LTS83" s="248" t="str">
        <f t="shared" si="140"/>
        <v/>
      </c>
      <c r="LTT83" s="248" t="str">
        <f t="shared" si="140"/>
        <v/>
      </c>
      <c r="LTU83" s="248" t="str">
        <f t="shared" si="140"/>
        <v/>
      </c>
      <c r="LTV83" s="248" t="str">
        <f t="shared" si="140"/>
        <v/>
      </c>
      <c r="LTW83" s="248" t="str">
        <f t="shared" si="140"/>
        <v/>
      </c>
      <c r="LTX83" s="248" t="str">
        <f t="shared" si="140"/>
        <v/>
      </c>
      <c r="LTY83" s="248" t="str">
        <f t="shared" si="140"/>
        <v/>
      </c>
      <c r="LTZ83" s="248" t="str">
        <f t="shared" si="140"/>
        <v/>
      </c>
      <c r="LUA83" s="248" t="str">
        <f t="shared" si="140"/>
        <v/>
      </c>
      <c r="LUB83" s="248" t="str">
        <f t="shared" si="140"/>
        <v/>
      </c>
      <c r="LUC83" s="248" t="str">
        <f t="shared" si="140"/>
        <v/>
      </c>
      <c r="LUD83" s="248" t="str">
        <f t="shared" si="140"/>
        <v/>
      </c>
      <c r="LUE83" s="248" t="str">
        <f t="shared" si="140"/>
        <v/>
      </c>
      <c r="LUF83" s="248" t="str">
        <f t="shared" si="140"/>
        <v/>
      </c>
      <c r="LUG83" s="248" t="str">
        <f t="shared" si="140"/>
        <v/>
      </c>
      <c r="LUH83" s="248" t="str">
        <f t="shared" si="140"/>
        <v/>
      </c>
      <c r="LUI83" s="248" t="str">
        <f t="shared" si="140"/>
        <v/>
      </c>
      <c r="LUJ83" s="248" t="str">
        <f t="shared" si="140"/>
        <v/>
      </c>
      <c r="LUK83" s="248" t="str">
        <f t="shared" si="140"/>
        <v/>
      </c>
      <c r="LUL83" s="248" t="str">
        <f t="shared" si="140"/>
        <v/>
      </c>
      <c r="LUM83" s="248" t="str">
        <f t="shared" ref="LUM83:LWX83" si="141">UPPER(LUK83)</f>
        <v/>
      </c>
      <c r="LUN83" s="248" t="str">
        <f t="shared" si="141"/>
        <v/>
      </c>
      <c r="LUO83" s="248" t="str">
        <f t="shared" si="141"/>
        <v/>
      </c>
      <c r="LUP83" s="248" t="str">
        <f t="shared" si="141"/>
        <v/>
      </c>
      <c r="LUQ83" s="248" t="str">
        <f t="shared" si="141"/>
        <v/>
      </c>
      <c r="LUR83" s="248" t="str">
        <f t="shared" si="141"/>
        <v/>
      </c>
      <c r="LUS83" s="248" t="str">
        <f t="shared" si="141"/>
        <v/>
      </c>
      <c r="LUT83" s="248" t="str">
        <f t="shared" si="141"/>
        <v/>
      </c>
      <c r="LUU83" s="248" t="str">
        <f t="shared" si="141"/>
        <v/>
      </c>
      <c r="LUV83" s="248" t="str">
        <f t="shared" si="141"/>
        <v/>
      </c>
      <c r="LUW83" s="248" t="str">
        <f t="shared" si="141"/>
        <v/>
      </c>
      <c r="LUX83" s="248" t="str">
        <f t="shared" si="141"/>
        <v/>
      </c>
      <c r="LUY83" s="248" t="str">
        <f t="shared" si="141"/>
        <v/>
      </c>
      <c r="LUZ83" s="248" t="str">
        <f t="shared" si="141"/>
        <v/>
      </c>
      <c r="LVA83" s="248" t="str">
        <f t="shared" si="141"/>
        <v/>
      </c>
      <c r="LVB83" s="248" t="str">
        <f t="shared" si="141"/>
        <v/>
      </c>
      <c r="LVC83" s="248" t="str">
        <f t="shared" si="141"/>
        <v/>
      </c>
      <c r="LVD83" s="248" t="str">
        <f t="shared" si="141"/>
        <v/>
      </c>
      <c r="LVE83" s="248" t="str">
        <f t="shared" si="141"/>
        <v/>
      </c>
      <c r="LVF83" s="248" t="str">
        <f t="shared" si="141"/>
        <v/>
      </c>
      <c r="LVG83" s="248" t="str">
        <f t="shared" si="141"/>
        <v/>
      </c>
      <c r="LVH83" s="248" t="str">
        <f t="shared" si="141"/>
        <v/>
      </c>
      <c r="LVI83" s="248" t="str">
        <f t="shared" si="141"/>
        <v/>
      </c>
      <c r="LVJ83" s="248" t="str">
        <f t="shared" si="141"/>
        <v/>
      </c>
      <c r="LVK83" s="248" t="str">
        <f t="shared" si="141"/>
        <v/>
      </c>
      <c r="LVL83" s="248" t="str">
        <f t="shared" si="141"/>
        <v/>
      </c>
      <c r="LVM83" s="248" t="str">
        <f t="shared" si="141"/>
        <v/>
      </c>
      <c r="LVN83" s="248" t="str">
        <f t="shared" si="141"/>
        <v/>
      </c>
      <c r="LVO83" s="248" t="str">
        <f t="shared" si="141"/>
        <v/>
      </c>
      <c r="LVP83" s="248" t="str">
        <f t="shared" si="141"/>
        <v/>
      </c>
      <c r="LVQ83" s="248" t="str">
        <f t="shared" si="141"/>
        <v/>
      </c>
      <c r="LVR83" s="248" t="str">
        <f t="shared" si="141"/>
        <v/>
      </c>
      <c r="LVS83" s="248" t="str">
        <f t="shared" si="141"/>
        <v/>
      </c>
      <c r="LVT83" s="248" t="str">
        <f t="shared" si="141"/>
        <v/>
      </c>
      <c r="LVU83" s="248" t="str">
        <f t="shared" si="141"/>
        <v/>
      </c>
      <c r="LVV83" s="248" t="str">
        <f t="shared" si="141"/>
        <v/>
      </c>
      <c r="LVW83" s="248" t="str">
        <f t="shared" si="141"/>
        <v/>
      </c>
      <c r="LVX83" s="248" t="str">
        <f t="shared" si="141"/>
        <v/>
      </c>
      <c r="LVY83" s="248" t="str">
        <f t="shared" si="141"/>
        <v/>
      </c>
      <c r="LVZ83" s="248" t="str">
        <f t="shared" si="141"/>
        <v/>
      </c>
      <c r="LWA83" s="248" t="str">
        <f t="shared" si="141"/>
        <v/>
      </c>
      <c r="LWB83" s="248" t="str">
        <f t="shared" si="141"/>
        <v/>
      </c>
      <c r="LWC83" s="248" t="str">
        <f t="shared" si="141"/>
        <v/>
      </c>
      <c r="LWD83" s="248" t="str">
        <f t="shared" si="141"/>
        <v/>
      </c>
      <c r="LWE83" s="248" t="str">
        <f t="shared" si="141"/>
        <v/>
      </c>
      <c r="LWF83" s="248" t="str">
        <f t="shared" si="141"/>
        <v/>
      </c>
      <c r="LWG83" s="248" t="str">
        <f t="shared" si="141"/>
        <v/>
      </c>
      <c r="LWH83" s="248" t="str">
        <f t="shared" si="141"/>
        <v/>
      </c>
      <c r="LWI83" s="248" t="str">
        <f t="shared" si="141"/>
        <v/>
      </c>
      <c r="LWJ83" s="248" t="str">
        <f t="shared" si="141"/>
        <v/>
      </c>
      <c r="LWK83" s="248" t="str">
        <f t="shared" si="141"/>
        <v/>
      </c>
      <c r="LWL83" s="248" t="str">
        <f t="shared" si="141"/>
        <v/>
      </c>
      <c r="LWM83" s="248" t="str">
        <f t="shared" si="141"/>
        <v/>
      </c>
      <c r="LWN83" s="248" t="str">
        <f t="shared" si="141"/>
        <v/>
      </c>
      <c r="LWO83" s="248" t="str">
        <f t="shared" si="141"/>
        <v/>
      </c>
      <c r="LWP83" s="248" t="str">
        <f t="shared" si="141"/>
        <v/>
      </c>
      <c r="LWQ83" s="248" t="str">
        <f t="shared" si="141"/>
        <v/>
      </c>
      <c r="LWR83" s="248" t="str">
        <f t="shared" si="141"/>
        <v/>
      </c>
      <c r="LWS83" s="248" t="str">
        <f t="shared" si="141"/>
        <v/>
      </c>
      <c r="LWT83" s="248" t="str">
        <f t="shared" si="141"/>
        <v/>
      </c>
      <c r="LWU83" s="248" t="str">
        <f t="shared" si="141"/>
        <v/>
      </c>
      <c r="LWV83" s="248" t="str">
        <f t="shared" si="141"/>
        <v/>
      </c>
      <c r="LWW83" s="248" t="str">
        <f t="shared" si="141"/>
        <v/>
      </c>
      <c r="LWX83" s="248" t="str">
        <f t="shared" si="141"/>
        <v/>
      </c>
      <c r="LWY83" s="248" t="str">
        <f t="shared" ref="LWY83:LZJ83" si="142">UPPER(LWW83)</f>
        <v/>
      </c>
      <c r="LWZ83" s="248" t="str">
        <f t="shared" si="142"/>
        <v/>
      </c>
      <c r="LXA83" s="248" t="str">
        <f t="shared" si="142"/>
        <v/>
      </c>
      <c r="LXB83" s="248" t="str">
        <f t="shared" si="142"/>
        <v/>
      </c>
      <c r="LXC83" s="248" t="str">
        <f t="shared" si="142"/>
        <v/>
      </c>
      <c r="LXD83" s="248" t="str">
        <f t="shared" si="142"/>
        <v/>
      </c>
      <c r="LXE83" s="248" t="str">
        <f t="shared" si="142"/>
        <v/>
      </c>
      <c r="LXF83" s="248" t="str">
        <f t="shared" si="142"/>
        <v/>
      </c>
      <c r="LXG83" s="248" t="str">
        <f t="shared" si="142"/>
        <v/>
      </c>
      <c r="LXH83" s="248" t="str">
        <f t="shared" si="142"/>
        <v/>
      </c>
      <c r="LXI83" s="248" t="str">
        <f t="shared" si="142"/>
        <v/>
      </c>
      <c r="LXJ83" s="248" t="str">
        <f t="shared" si="142"/>
        <v/>
      </c>
      <c r="LXK83" s="248" t="str">
        <f t="shared" si="142"/>
        <v/>
      </c>
      <c r="LXL83" s="248" t="str">
        <f t="shared" si="142"/>
        <v/>
      </c>
      <c r="LXM83" s="248" t="str">
        <f t="shared" si="142"/>
        <v/>
      </c>
      <c r="LXN83" s="248" t="str">
        <f t="shared" si="142"/>
        <v/>
      </c>
      <c r="LXO83" s="248" t="str">
        <f t="shared" si="142"/>
        <v/>
      </c>
      <c r="LXP83" s="248" t="str">
        <f t="shared" si="142"/>
        <v/>
      </c>
      <c r="LXQ83" s="248" t="str">
        <f t="shared" si="142"/>
        <v/>
      </c>
      <c r="LXR83" s="248" t="str">
        <f t="shared" si="142"/>
        <v/>
      </c>
      <c r="LXS83" s="248" t="str">
        <f t="shared" si="142"/>
        <v/>
      </c>
      <c r="LXT83" s="248" t="str">
        <f t="shared" si="142"/>
        <v/>
      </c>
      <c r="LXU83" s="248" t="str">
        <f t="shared" si="142"/>
        <v/>
      </c>
      <c r="LXV83" s="248" t="str">
        <f t="shared" si="142"/>
        <v/>
      </c>
      <c r="LXW83" s="248" t="str">
        <f t="shared" si="142"/>
        <v/>
      </c>
      <c r="LXX83" s="248" t="str">
        <f t="shared" si="142"/>
        <v/>
      </c>
      <c r="LXY83" s="248" t="str">
        <f t="shared" si="142"/>
        <v/>
      </c>
      <c r="LXZ83" s="248" t="str">
        <f t="shared" si="142"/>
        <v/>
      </c>
      <c r="LYA83" s="248" t="str">
        <f t="shared" si="142"/>
        <v/>
      </c>
      <c r="LYB83" s="248" t="str">
        <f t="shared" si="142"/>
        <v/>
      </c>
      <c r="LYC83" s="248" t="str">
        <f t="shared" si="142"/>
        <v/>
      </c>
      <c r="LYD83" s="248" t="str">
        <f t="shared" si="142"/>
        <v/>
      </c>
      <c r="LYE83" s="248" t="str">
        <f t="shared" si="142"/>
        <v/>
      </c>
      <c r="LYF83" s="248" t="str">
        <f t="shared" si="142"/>
        <v/>
      </c>
      <c r="LYG83" s="248" t="str">
        <f t="shared" si="142"/>
        <v/>
      </c>
      <c r="LYH83" s="248" t="str">
        <f t="shared" si="142"/>
        <v/>
      </c>
      <c r="LYI83" s="248" t="str">
        <f t="shared" si="142"/>
        <v/>
      </c>
      <c r="LYJ83" s="248" t="str">
        <f t="shared" si="142"/>
        <v/>
      </c>
      <c r="LYK83" s="248" t="str">
        <f t="shared" si="142"/>
        <v/>
      </c>
      <c r="LYL83" s="248" t="str">
        <f t="shared" si="142"/>
        <v/>
      </c>
      <c r="LYM83" s="248" t="str">
        <f t="shared" si="142"/>
        <v/>
      </c>
      <c r="LYN83" s="248" t="str">
        <f t="shared" si="142"/>
        <v/>
      </c>
      <c r="LYO83" s="248" t="str">
        <f t="shared" si="142"/>
        <v/>
      </c>
      <c r="LYP83" s="248" t="str">
        <f t="shared" si="142"/>
        <v/>
      </c>
      <c r="LYQ83" s="248" t="str">
        <f t="shared" si="142"/>
        <v/>
      </c>
      <c r="LYR83" s="248" t="str">
        <f t="shared" si="142"/>
        <v/>
      </c>
      <c r="LYS83" s="248" t="str">
        <f t="shared" si="142"/>
        <v/>
      </c>
      <c r="LYT83" s="248" t="str">
        <f t="shared" si="142"/>
        <v/>
      </c>
      <c r="LYU83" s="248" t="str">
        <f t="shared" si="142"/>
        <v/>
      </c>
      <c r="LYV83" s="248" t="str">
        <f t="shared" si="142"/>
        <v/>
      </c>
      <c r="LYW83" s="248" t="str">
        <f t="shared" si="142"/>
        <v/>
      </c>
      <c r="LYX83" s="248" t="str">
        <f t="shared" si="142"/>
        <v/>
      </c>
      <c r="LYY83" s="248" t="str">
        <f t="shared" si="142"/>
        <v/>
      </c>
      <c r="LYZ83" s="248" t="str">
        <f t="shared" si="142"/>
        <v/>
      </c>
      <c r="LZA83" s="248" t="str">
        <f t="shared" si="142"/>
        <v/>
      </c>
      <c r="LZB83" s="248" t="str">
        <f t="shared" si="142"/>
        <v/>
      </c>
      <c r="LZC83" s="248" t="str">
        <f t="shared" si="142"/>
        <v/>
      </c>
      <c r="LZD83" s="248" t="str">
        <f t="shared" si="142"/>
        <v/>
      </c>
      <c r="LZE83" s="248" t="str">
        <f t="shared" si="142"/>
        <v/>
      </c>
      <c r="LZF83" s="248" t="str">
        <f t="shared" si="142"/>
        <v/>
      </c>
      <c r="LZG83" s="248" t="str">
        <f t="shared" si="142"/>
        <v/>
      </c>
      <c r="LZH83" s="248" t="str">
        <f t="shared" si="142"/>
        <v/>
      </c>
      <c r="LZI83" s="248" t="str">
        <f t="shared" si="142"/>
        <v/>
      </c>
      <c r="LZJ83" s="248" t="str">
        <f t="shared" si="142"/>
        <v/>
      </c>
      <c r="LZK83" s="248" t="str">
        <f t="shared" ref="LZK83:MBV83" si="143">UPPER(LZI83)</f>
        <v/>
      </c>
      <c r="LZL83" s="248" t="str">
        <f t="shared" si="143"/>
        <v/>
      </c>
      <c r="LZM83" s="248" t="str">
        <f t="shared" si="143"/>
        <v/>
      </c>
      <c r="LZN83" s="248" t="str">
        <f t="shared" si="143"/>
        <v/>
      </c>
      <c r="LZO83" s="248" t="str">
        <f t="shared" si="143"/>
        <v/>
      </c>
      <c r="LZP83" s="248" t="str">
        <f t="shared" si="143"/>
        <v/>
      </c>
      <c r="LZQ83" s="248" t="str">
        <f t="shared" si="143"/>
        <v/>
      </c>
      <c r="LZR83" s="248" t="str">
        <f t="shared" si="143"/>
        <v/>
      </c>
      <c r="LZS83" s="248" t="str">
        <f t="shared" si="143"/>
        <v/>
      </c>
      <c r="LZT83" s="248" t="str">
        <f t="shared" si="143"/>
        <v/>
      </c>
      <c r="LZU83" s="248" t="str">
        <f t="shared" si="143"/>
        <v/>
      </c>
      <c r="LZV83" s="248" t="str">
        <f t="shared" si="143"/>
        <v/>
      </c>
      <c r="LZW83" s="248" t="str">
        <f t="shared" si="143"/>
        <v/>
      </c>
      <c r="LZX83" s="248" t="str">
        <f t="shared" si="143"/>
        <v/>
      </c>
      <c r="LZY83" s="248" t="str">
        <f t="shared" si="143"/>
        <v/>
      </c>
      <c r="LZZ83" s="248" t="str">
        <f t="shared" si="143"/>
        <v/>
      </c>
      <c r="MAA83" s="248" t="str">
        <f t="shared" si="143"/>
        <v/>
      </c>
      <c r="MAB83" s="248" t="str">
        <f t="shared" si="143"/>
        <v/>
      </c>
      <c r="MAC83" s="248" t="str">
        <f t="shared" si="143"/>
        <v/>
      </c>
      <c r="MAD83" s="248" t="str">
        <f t="shared" si="143"/>
        <v/>
      </c>
      <c r="MAE83" s="248" t="str">
        <f t="shared" si="143"/>
        <v/>
      </c>
      <c r="MAF83" s="248" t="str">
        <f t="shared" si="143"/>
        <v/>
      </c>
      <c r="MAG83" s="248" t="str">
        <f t="shared" si="143"/>
        <v/>
      </c>
      <c r="MAH83" s="248" t="str">
        <f t="shared" si="143"/>
        <v/>
      </c>
      <c r="MAI83" s="248" t="str">
        <f t="shared" si="143"/>
        <v/>
      </c>
      <c r="MAJ83" s="248" t="str">
        <f t="shared" si="143"/>
        <v/>
      </c>
      <c r="MAK83" s="248" t="str">
        <f t="shared" si="143"/>
        <v/>
      </c>
      <c r="MAL83" s="248" t="str">
        <f t="shared" si="143"/>
        <v/>
      </c>
      <c r="MAM83" s="248" t="str">
        <f t="shared" si="143"/>
        <v/>
      </c>
      <c r="MAN83" s="248" t="str">
        <f t="shared" si="143"/>
        <v/>
      </c>
      <c r="MAO83" s="248" t="str">
        <f t="shared" si="143"/>
        <v/>
      </c>
      <c r="MAP83" s="248" t="str">
        <f t="shared" si="143"/>
        <v/>
      </c>
      <c r="MAQ83" s="248" t="str">
        <f t="shared" si="143"/>
        <v/>
      </c>
      <c r="MAR83" s="248" t="str">
        <f t="shared" si="143"/>
        <v/>
      </c>
      <c r="MAS83" s="248" t="str">
        <f t="shared" si="143"/>
        <v/>
      </c>
      <c r="MAT83" s="248" t="str">
        <f t="shared" si="143"/>
        <v/>
      </c>
      <c r="MAU83" s="248" t="str">
        <f t="shared" si="143"/>
        <v/>
      </c>
      <c r="MAV83" s="248" t="str">
        <f t="shared" si="143"/>
        <v/>
      </c>
      <c r="MAW83" s="248" t="str">
        <f t="shared" si="143"/>
        <v/>
      </c>
      <c r="MAX83" s="248" t="str">
        <f t="shared" si="143"/>
        <v/>
      </c>
      <c r="MAY83" s="248" t="str">
        <f t="shared" si="143"/>
        <v/>
      </c>
      <c r="MAZ83" s="248" t="str">
        <f t="shared" si="143"/>
        <v/>
      </c>
      <c r="MBA83" s="248" t="str">
        <f t="shared" si="143"/>
        <v/>
      </c>
      <c r="MBB83" s="248" t="str">
        <f t="shared" si="143"/>
        <v/>
      </c>
      <c r="MBC83" s="248" t="str">
        <f t="shared" si="143"/>
        <v/>
      </c>
      <c r="MBD83" s="248" t="str">
        <f t="shared" si="143"/>
        <v/>
      </c>
      <c r="MBE83" s="248" t="str">
        <f t="shared" si="143"/>
        <v/>
      </c>
      <c r="MBF83" s="248" t="str">
        <f t="shared" si="143"/>
        <v/>
      </c>
      <c r="MBG83" s="248" t="str">
        <f t="shared" si="143"/>
        <v/>
      </c>
      <c r="MBH83" s="248" t="str">
        <f t="shared" si="143"/>
        <v/>
      </c>
      <c r="MBI83" s="248" t="str">
        <f t="shared" si="143"/>
        <v/>
      </c>
      <c r="MBJ83" s="248" t="str">
        <f t="shared" si="143"/>
        <v/>
      </c>
      <c r="MBK83" s="248" t="str">
        <f t="shared" si="143"/>
        <v/>
      </c>
      <c r="MBL83" s="248" t="str">
        <f t="shared" si="143"/>
        <v/>
      </c>
      <c r="MBM83" s="248" t="str">
        <f t="shared" si="143"/>
        <v/>
      </c>
      <c r="MBN83" s="248" t="str">
        <f t="shared" si="143"/>
        <v/>
      </c>
      <c r="MBO83" s="248" t="str">
        <f t="shared" si="143"/>
        <v/>
      </c>
      <c r="MBP83" s="248" t="str">
        <f t="shared" si="143"/>
        <v/>
      </c>
      <c r="MBQ83" s="248" t="str">
        <f t="shared" si="143"/>
        <v/>
      </c>
      <c r="MBR83" s="248" t="str">
        <f t="shared" si="143"/>
        <v/>
      </c>
      <c r="MBS83" s="248" t="str">
        <f t="shared" si="143"/>
        <v/>
      </c>
      <c r="MBT83" s="248" t="str">
        <f t="shared" si="143"/>
        <v/>
      </c>
      <c r="MBU83" s="248" t="str">
        <f t="shared" si="143"/>
        <v/>
      </c>
      <c r="MBV83" s="248" t="str">
        <f t="shared" si="143"/>
        <v/>
      </c>
      <c r="MBW83" s="248" t="str">
        <f t="shared" ref="MBW83:MEH83" si="144">UPPER(MBU83)</f>
        <v/>
      </c>
      <c r="MBX83" s="248" t="str">
        <f t="shared" si="144"/>
        <v/>
      </c>
      <c r="MBY83" s="248" t="str">
        <f t="shared" si="144"/>
        <v/>
      </c>
      <c r="MBZ83" s="248" t="str">
        <f t="shared" si="144"/>
        <v/>
      </c>
      <c r="MCA83" s="248" t="str">
        <f t="shared" si="144"/>
        <v/>
      </c>
      <c r="MCB83" s="248" t="str">
        <f t="shared" si="144"/>
        <v/>
      </c>
      <c r="MCC83" s="248" t="str">
        <f t="shared" si="144"/>
        <v/>
      </c>
      <c r="MCD83" s="248" t="str">
        <f t="shared" si="144"/>
        <v/>
      </c>
      <c r="MCE83" s="248" t="str">
        <f t="shared" si="144"/>
        <v/>
      </c>
      <c r="MCF83" s="248" t="str">
        <f t="shared" si="144"/>
        <v/>
      </c>
      <c r="MCG83" s="248" t="str">
        <f t="shared" si="144"/>
        <v/>
      </c>
      <c r="MCH83" s="248" t="str">
        <f t="shared" si="144"/>
        <v/>
      </c>
      <c r="MCI83" s="248" t="str">
        <f t="shared" si="144"/>
        <v/>
      </c>
      <c r="MCJ83" s="248" t="str">
        <f t="shared" si="144"/>
        <v/>
      </c>
      <c r="MCK83" s="248" t="str">
        <f t="shared" si="144"/>
        <v/>
      </c>
      <c r="MCL83" s="248" t="str">
        <f t="shared" si="144"/>
        <v/>
      </c>
      <c r="MCM83" s="248" t="str">
        <f t="shared" si="144"/>
        <v/>
      </c>
      <c r="MCN83" s="248" t="str">
        <f t="shared" si="144"/>
        <v/>
      </c>
      <c r="MCO83" s="248" t="str">
        <f t="shared" si="144"/>
        <v/>
      </c>
      <c r="MCP83" s="248" t="str">
        <f t="shared" si="144"/>
        <v/>
      </c>
      <c r="MCQ83" s="248" t="str">
        <f t="shared" si="144"/>
        <v/>
      </c>
      <c r="MCR83" s="248" t="str">
        <f t="shared" si="144"/>
        <v/>
      </c>
      <c r="MCS83" s="248" t="str">
        <f t="shared" si="144"/>
        <v/>
      </c>
      <c r="MCT83" s="248" t="str">
        <f t="shared" si="144"/>
        <v/>
      </c>
      <c r="MCU83" s="248" t="str">
        <f t="shared" si="144"/>
        <v/>
      </c>
      <c r="MCV83" s="248" t="str">
        <f t="shared" si="144"/>
        <v/>
      </c>
      <c r="MCW83" s="248" t="str">
        <f t="shared" si="144"/>
        <v/>
      </c>
      <c r="MCX83" s="248" t="str">
        <f t="shared" si="144"/>
        <v/>
      </c>
      <c r="MCY83" s="248" t="str">
        <f t="shared" si="144"/>
        <v/>
      </c>
      <c r="MCZ83" s="248" t="str">
        <f t="shared" si="144"/>
        <v/>
      </c>
      <c r="MDA83" s="248" t="str">
        <f t="shared" si="144"/>
        <v/>
      </c>
      <c r="MDB83" s="248" t="str">
        <f t="shared" si="144"/>
        <v/>
      </c>
      <c r="MDC83" s="248" t="str">
        <f t="shared" si="144"/>
        <v/>
      </c>
      <c r="MDD83" s="248" t="str">
        <f t="shared" si="144"/>
        <v/>
      </c>
      <c r="MDE83" s="248" t="str">
        <f t="shared" si="144"/>
        <v/>
      </c>
      <c r="MDF83" s="248" t="str">
        <f t="shared" si="144"/>
        <v/>
      </c>
      <c r="MDG83" s="248" t="str">
        <f t="shared" si="144"/>
        <v/>
      </c>
      <c r="MDH83" s="248" t="str">
        <f t="shared" si="144"/>
        <v/>
      </c>
      <c r="MDI83" s="248" t="str">
        <f t="shared" si="144"/>
        <v/>
      </c>
      <c r="MDJ83" s="248" t="str">
        <f t="shared" si="144"/>
        <v/>
      </c>
      <c r="MDK83" s="248" t="str">
        <f t="shared" si="144"/>
        <v/>
      </c>
      <c r="MDL83" s="248" t="str">
        <f t="shared" si="144"/>
        <v/>
      </c>
      <c r="MDM83" s="248" t="str">
        <f t="shared" si="144"/>
        <v/>
      </c>
      <c r="MDN83" s="248" t="str">
        <f t="shared" si="144"/>
        <v/>
      </c>
      <c r="MDO83" s="248" t="str">
        <f t="shared" si="144"/>
        <v/>
      </c>
      <c r="MDP83" s="248" t="str">
        <f t="shared" si="144"/>
        <v/>
      </c>
      <c r="MDQ83" s="248" t="str">
        <f t="shared" si="144"/>
        <v/>
      </c>
      <c r="MDR83" s="248" t="str">
        <f t="shared" si="144"/>
        <v/>
      </c>
      <c r="MDS83" s="248" t="str">
        <f t="shared" si="144"/>
        <v/>
      </c>
      <c r="MDT83" s="248" t="str">
        <f t="shared" si="144"/>
        <v/>
      </c>
      <c r="MDU83" s="248" t="str">
        <f t="shared" si="144"/>
        <v/>
      </c>
      <c r="MDV83" s="248" t="str">
        <f t="shared" si="144"/>
        <v/>
      </c>
      <c r="MDW83" s="248" t="str">
        <f t="shared" si="144"/>
        <v/>
      </c>
      <c r="MDX83" s="248" t="str">
        <f t="shared" si="144"/>
        <v/>
      </c>
      <c r="MDY83" s="248" t="str">
        <f t="shared" si="144"/>
        <v/>
      </c>
      <c r="MDZ83" s="248" t="str">
        <f t="shared" si="144"/>
        <v/>
      </c>
      <c r="MEA83" s="248" t="str">
        <f t="shared" si="144"/>
        <v/>
      </c>
      <c r="MEB83" s="248" t="str">
        <f t="shared" si="144"/>
        <v/>
      </c>
      <c r="MEC83" s="248" t="str">
        <f t="shared" si="144"/>
        <v/>
      </c>
      <c r="MED83" s="248" t="str">
        <f t="shared" si="144"/>
        <v/>
      </c>
      <c r="MEE83" s="248" t="str">
        <f t="shared" si="144"/>
        <v/>
      </c>
      <c r="MEF83" s="248" t="str">
        <f t="shared" si="144"/>
        <v/>
      </c>
      <c r="MEG83" s="248" t="str">
        <f t="shared" si="144"/>
        <v/>
      </c>
      <c r="MEH83" s="248" t="str">
        <f t="shared" si="144"/>
        <v/>
      </c>
      <c r="MEI83" s="248" t="str">
        <f t="shared" ref="MEI83:MGT83" si="145">UPPER(MEG83)</f>
        <v/>
      </c>
      <c r="MEJ83" s="248" t="str">
        <f t="shared" si="145"/>
        <v/>
      </c>
      <c r="MEK83" s="248" t="str">
        <f t="shared" si="145"/>
        <v/>
      </c>
      <c r="MEL83" s="248" t="str">
        <f t="shared" si="145"/>
        <v/>
      </c>
      <c r="MEM83" s="248" t="str">
        <f t="shared" si="145"/>
        <v/>
      </c>
      <c r="MEN83" s="248" t="str">
        <f t="shared" si="145"/>
        <v/>
      </c>
      <c r="MEO83" s="248" t="str">
        <f t="shared" si="145"/>
        <v/>
      </c>
      <c r="MEP83" s="248" t="str">
        <f t="shared" si="145"/>
        <v/>
      </c>
      <c r="MEQ83" s="248" t="str">
        <f t="shared" si="145"/>
        <v/>
      </c>
      <c r="MER83" s="248" t="str">
        <f t="shared" si="145"/>
        <v/>
      </c>
      <c r="MES83" s="248" t="str">
        <f t="shared" si="145"/>
        <v/>
      </c>
      <c r="MET83" s="248" t="str">
        <f t="shared" si="145"/>
        <v/>
      </c>
      <c r="MEU83" s="248" t="str">
        <f t="shared" si="145"/>
        <v/>
      </c>
      <c r="MEV83" s="248" t="str">
        <f t="shared" si="145"/>
        <v/>
      </c>
      <c r="MEW83" s="248" t="str">
        <f t="shared" si="145"/>
        <v/>
      </c>
      <c r="MEX83" s="248" t="str">
        <f t="shared" si="145"/>
        <v/>
      </c>
      <c r="MEY83" s="248" t="str">
        <f t="shared" si="145"/>
        <v/>
      </c>
      <c r="MEZ83" s="248" t="str">
        <f t="shared" si="145"/>
        <v/>
      </c>
      <c r="MFA83" s="248" t="str">
        <f t="shared" si="145"/>
        <v/>
      </c>
      <c r="MFB83" s="248" t="str">
        <f t="shared" si="145"/>
        <v/>
      </c>
      <c r="MFC83" s="248" t="str">
        <f t="shared" si="145"/>
        <v/>
      </c>
      <c r="MFD83" s="248" t="str">
        <f t="shared" si="145"/>
        <v/>
      </c>
      <c r="MFE83" s="248" t="str">
        <f t="shared" si="145"/>
        <v/>
      </c>
      <c r="MFF83" s="248" t="str">
        <f t="shared" si="145"/>
        <v/>
      </c>
      <c r="MFG83" s="248" t="str">
        <f t="shared" si="145"/>
        <v/>
      </c>
      <c r="MFH83" s="248" t="str">
        <f t="shared" si="145"/>
        <v/>
      </c>
      <c r="MFI83" s="248" t="str">
        <f t="shared" si="145"/>
        <v/>
      </c>
      <c r="MFJ83" s="248" t="str">
        <f t="shared" si="145"/>
        <v/>
      </c>
      <c r="MFK83" s="248" t="str">
        <f t="shared" si="145"/>
        <v/>
      </c>
      <c r="MFL83" s="248" t="str">
        <f t="shared" si="145"/>
        <v/>
      </c>
      <c r="MFM83" s="248" t="str">
        <f t="shared" si="145"/>
        <v/>
      </c>
      <c r="MFN83" s="248" t="str">
        <f t="shared" si="145"/>
        <v/>
      </c>
      <c r="MFO83" s="248" t="str">
        <f t="shared" si="145"/>
        <v/>
      </c>
      <c r="MFP83" s="248" t="str">
        <f t="shared" si="145"/>
        <v/>
      </c>
      <c r="MFQ83" s="248" t="str">
        <f t="shared" si="145"/>
        <v/>
      </c>
      <c r="MFR83" s="248" t="str">
        <f t="shared" si="145"/>
        <v/>
      </c>
      <c r="MFS83" s="248" t="str">
        <f t="shared" si="145"/>
        <v/>
      </c>
      <c r="MFT83" s="248" t="str">
        <f t="shared" si="145"/>
        <v/>
      </c>
      <c r="MFU83" s="248" t="str">
        <f t="shared" si="145"/>
        <v/>
      </c>
      <c r="MFV83" s="248" t="str">
        <f t="shared" si="145"/>
        <v/>
      </c>
      <c r="MFW83" s="248" t="str">
        <f t="shared" si="145"/>
        <v/>
      </c>
      <c r="MFX83" s="248" t="str">
        <f t="shared" si="145"/>
        <v/>
      </c>
      <c r="MFY83" s="248" t="str">
        <f t="shared" si="145"/>
        <v/>
      </c>
      <c r="MFZ83" s="248" t="str">
        <f t="shared" si="145"/>
        <v/>
      </c>
      <c r="MGA83" s="248" t="str">
        <f t="shared" si="145"/>
        <v/>
      </c>
      <c r="MGB83" s="248" t="str">
        <f t="shared" si="145"/>
        <v/>
      </c>
      <c r="MGC83" s="248" t="str">
        <f t="shared" si="145"/>
        <v/>
      </c>
      <c r="MGD83" s="248" t="str">
        <f t="shared" si="145"/>
        <v/>
      </c>
      <c r="MGE83" s="248" t="str">
        <f t="shared" si="145"/>
        <v/>
      </c>
      <c r="MGF83" s="248" t="str">
        <f t="shared" si="145"/>
        <v/>
      </c>
      <c r="MGG83" s="248" t="str">
        <f t="shared" si="145"/>
        <v/>
      </c>
      <c r="MGH83" s="248" t="str">
        <f t="shared" si="145"/>
        <v/>
      </c>
      <c r="MGI83" s="248" t="str">
        <f t="shared" si="145"/>
        <v/>
      </c>
      <c r="MGJ83" s="248" t="str">
        <f t="shared" si="145"/>
        <v/>
      </c>
      <c r="MGK83" s="248" t="str">
        <f t="shared" si="145"/>
        <v/>
      </c>
      <c r="MGL83" s="248" t="str">
        <f t="shared" si="145"/>
        <v/>
      </c>
      <c r="MGM83" s="248" t="str">
        <f t="shared" si="145"/>
        <v/>
      </c>
      <c r="MGN83" s="248" t="str">
        <f t="shared" si="145"/>
        <v/>
      </c>
      <c r="MGO83" s="248" t="str">
        <f t="shared" si="145"/>
        <v/>
      </c>
      <c r="MGP83" s="248" t="str">
        <f t="shared" si="145"/>
        <v/>
      </c>
      <c r="MGQ83" s="248" t="str">
        <f t="shared" si="145"/>
        <v/>
      </c>
      <c r="MGR83" s="248" t="str">
        <f t="shared" si="145"/>
        <v/>
      </c>
      <c r="MGS83" s="248" t="str">
        <f t="shared" si="145"/>
        <v/>
      </c>
      <c r="MGT83" s="248" t="str">
        <f t="shared" si="145"/>
        <v/>
      </c>
      <c r="MGU83" s="248" t="str">
        <f t="shared" ref="MGU83:MJF83" si="146">UPPER(MGS83)</f>
        <v/>
      </c>
      <c r="MGV83" s="248" t="str">
        <f t="shared" si="146"/>
        <v/>
      </c>
      <c r="MGW83" s="248" t="str">
        <f t="shared" si="146"/>
        <v/>
      </c>
      <c r="MGX83" s="248" t="str">
        <f t="shared" si="146"/>
        <v/>
      </c>
      <c r="MGY83" s="248" t="str">
        <f t="shared" si="146"/>
        <v/>
      </c>
      <c r="MGZ83" s="248" t="str">
        <f t="shared" si="146"/>
        <v/>
      </c>
      <c r="MHA83" s="248" t="str">
        <f t="shared" si="146"/>
        <v/>
      </c>
      <c r="MHB83" s="248" t="str">
        <f t="shared" si="146"/>
        <v/>
      </c>
      <c r="MHC83" s="248" t="str">
        <f t="shared" si="146"/>
        <v/>
      </c>
      <c r="MHD83" s="248" t="str">
        <f t="shared" si="146"/>
        <v/>
      </c>
      <c r="MHE83" s="248" t="str">
        <f t="shared" si="146"/>
        <v/>
      </c>
      <c r="MHF83" s="248" t="str">
        <f t="shared" si="146"/>
        <v/>
      </c>
      <c r="MHG83" s="248" t="str">
        <f t="shared" si="146"/>
        <v/>
      </c>
      <c r="MHH83" s="248" t="str">
        <f t="shared" si="146"/>
        <v/>
      </c>
      <c r="MHI83" s="248" t="str">
        <f t="shared" si="146"/>
        <v/>
      </c>
      <c r="MHJ83" s="248" t="str">
        <f t="shared" si="146"/>
        <v/>
      </c>
      <c r="MHK83" s="248" t="str">
        <f t="shared" si="146"/>
        <v/>
      </c>
      <c r="MHL83" s="248" t="str">
        <f t="shared" si="146"/>
        <v/>
      </c>
      <c r="MHM83" s="248" t="str">
        <f t="shared" si="146"/>
        <v/>
      </c>
      <c r="MHN83" s="248" t="str">
        <f t="shared" si="146"/>
        <v/>
      </c>
      <c r="MHO83" s="248" t="str">
        <f t="shared" si="146"/>
        <v/>
      </c>
      <c r="MHP83" s="248" t="str">
        <f t="shared" si="146"/>
        <v/>
      </c>
      <c r="MHQ83" s="248" t="str">
        <f t="shared" si="146"/>
        <v/>
      </c>
      <c r="MHR83" s="248" t="str">
        <f t="shared" si="146"/>
        <v/>
      </c>
      <c r="MHS83" s="248" t="str">
        <f t="shared" si="146"/>
        <v/>
      </c>
      <c r="MHT83" s="248" t="str">
        <f t="shared" si="146"/>
        <v/>
      </c>
      <c r="MHU83" s="248" t="str">
        <f t="shared" si="146"/>
        <v/>
      </c>
      <c r="MHV83" s="248" t="str">
        <f t="shared" si="146"/>
        <v/>
      </c>
      <c r="MHW83" s="248" t="str">
        <f t="shared" si="146"/>
        <v/>
      </c>
      <c r="MHX83" s="248" t="str">
        <f t="shared" si="146"/>
        <v/>
      </c>
      <c r="MHY83" s="248" t="str">
        <f t="shared" si="146"/>
        <v/>
      </c>
      <c r="MHZ83" s="248" t="str">
        <f t="shared" si="146"/>
        <v/>
      </c>
      <c r="MIA83" s="248" t="str">
        <f t="shared" si="146"/>
        <v/>
      </c>
      <c r="MIB83" s="248" t="str">
        <f t="shared" si="146"/>
        <v/>
      </c>
      <c r="MIC83" s="248" t="str">
        <f t="shared" si="146"/>
        <v/>
      </c>
      <c r="MID83" s="248" t="str">
        <f t="shared" si="146"/>
        <v/>
      </c>
      <c r="MIE83" s="248" t="str">
        <f t="shared" si="146"/>
        <v/>
      </c>
      <c r="MIF83" s="248" t="str">
        <f t="shared" si="146"/>
        <v/>
      </c>
      <c r="MIG83" s="248" t="str">
        <f t="shared" si="146"/>
        <v/>
      </c>
      <c r="MIH83" s="248" t="str">
        <f t="shared" si="146"/>
        <v/>
      </c>
      <c r="MII83" s="248" t="str">
        <f t="shared" si="146"/>
        <v/>
      </c>
      <c r="MIJ83" s="248" t="str">
        <f t="shared" si="146"/>
        <v/>
      </c>
      <c r="MIK83" s="248" t="str">
        <f t="shared" si="146"/>
        <v/>
      </c>
      <c r="MIL83" s="248" t="str">
        <f t="shared" si="146"/>
        <v/>
      </c>
      <c r="MIM83" s="248" t="str">
        <f t="shared" si="146"/>
        <v/>
      </c>
      <c r="MIN83" s="248" t="str">
        <f t="shared" si="146"/>
        <v/>
      </c>
      <c r="MIO83" s="248" t="str">
        <f t="shared" si="146"/>
        <v/>
      </c>
      <c r="MIP83" s="248" t="str">
        <f t="shared" si="146"/>
        <v/>
      </c>
      <c r="MIQ83" s="248" t="str">
        <f t="shared" si="146"/>
        <v/>
      </c>
      <c r="MIR83" s="248" t="str">
        <f t="shared" si="146"/>
        <v/>
      </c>
      <c r="MIS83" s="248" t="str">
        <f t="shared" si="146"/>
        <v/>
      </c>
      <c r="MIT83" s="248" t="str">
        <f t="shared" si="146"/>
        <v/>
      </c>
      <c r="MIU83" s="248" t="str">
        <f t="shared" si="146"/>
        <v/>
      </c>
      <c r="MIV83" s="248" t="str">
        <f t="shared" si="146"/>
        <v/>
      </c>
      <c r="MIW83" s="248" t="str">
        <f t="shared" si="146"/>
        <v/>
      </c>
      <c r="MIX83" s="248" t="str">
        <f t="shared" si="146"/>
        <v/>
      </c>
      <c r="MIY83" s="248" t="str">
        <f t="shared" si="146"/>
        <v/>
      </c>
      <c r="MIZ83" s="248" t="str">
        <f t="shared" si="146"/>
        <v/>
      </c>
      <c r="MJA83" s="248" t="str">
        <f t="shared" si="146"/>
        <v/>
      </c>
      <c r="MJB83" s="248" t="str">
        <f t="shared" si="146"/>
        <v/>
      </c>
      <c r="MJC83" s="248" t="str">
        <f t="shared" si="146"/>
        <v/>
      </c>
      <c r="MJD83" s="248" t="str">
        <f t="shared" si="146"/>
        <v/>
      </c>
      <c r="MJE83" s="248" t="str">
        <f t="shared" si="146"/>
        <v/>
      </c>
      <c r="MJF83" s="248" t="str">
        <f t="shared" si="146"/>
        <v/>
      </c>
      <c r="MJG83" s="248" t="str">
        <f t="shared" ref="MJG83:MLR83" si="147">UPPER(MJE83)</f>
        <v/>
      </c>
      <c r="MJH83" s="248" t="str">
        <f t="shared" si="147"/>
        <v/>
      </c>
      <c r="MJI83" s="248" t="str">
        <f t="shared" si="147"/>
        <v/>
      </c>
      <c r="MJJ83" s="248" t="str">
        <f t="shared" si="147"/>
        <v/>
      </c>
      <c r="MJK83" s="248" t="str">
        <f t="shared" si="147"/>
        <v/>
      </c>
      <c r="MJL83" s="248" t="str">
        <f t="shared" si="147"/>
        <v/>
      </c>
      <c r="MJM83" s="248" t="str">
        <f t="shared" si="147"/>
        <v/>
      </c>
      <c r="MJN83" s="248" t="str">
        <f t="shared" si="147"/>
        <v/>
      </c>
      <c r="MJO83" s="248" t="str">
        <f t="shared" si="147"/>
        <v/>
      </c>
      <c r="MJP83" s="248" t="str">
        <f t="shared" si="147"/>
        <v/>
      </c>
      <c r="MJQ83" s="248" t="str">
        <f t="shared" si="147"/>
        <v/>
      </c>
      <c r="MJR83" s="248" t="str">
        <f t="shared" si="147"/>
        <v/>
      </c>
      <c r="MJS83" s="248" t="str">
        <f t="shared" si="147"/>
        <v/>
      </c>
      <c r="MJT83" s="248" t="str">
        <f t="shared" si="147"/>
        <v/>
      </c>
      <c r="MJU83" s="248" t="str">
        <f t="shared" si="147"/>
        <v/>
      </c>
      <c r="MJV83" s="248" t="str">
        <f t="shared" si="147"/>
        <v/>
      </c>
      <c r="MJW83" s="248" t="str">
        <f t="shared" si="147"/>
        <v/>
      </c>
      <c r="MJX83" s="248" t="str">
        <f t="shared" si="147"/>
        <v/>
      </c>
      <c r="MJY83" s="248" t="str">
        <f t="shared" si="147"/>
        <v/>
      </c>
      <c r="MJZ83" s="248" t="str">
        <f t="shared" si="147"/>
        <v/>
      </c>
      <c r="MKA83" s="248" t="str">
        <f t="shared" si="147"/>
        <v/>
      </c>
      <c r="MKB83" s="248" t="str">
        <f t="shared" si="147"/>
        <v/>
      </c>
      <c r="MKC83" s="248" t="str">
        <f t="shared" si="147"/>
        <v/>
      </c>
      <c r="MKD83" s="248" t="str">
        <f t="shared" si="147"/>
        <v/>
      </c>
      <c r="MKE83" s="248" t="str">
        <f t="shared" si="147"/>
        <v/>
      </c>
      <c r="MKF83" s="248" t="str">
        <f t="shared" si="147"/>
        <v/>
      </c>
      <c r="MKG83" s="248" t="str">
        <f t="shared" si="147"/>
        <v/>
      </c>
      <c r="MKH83" s="248" t="str">
        <f t="shared" si="147"/>
        <v/>
      </c>
      <c r="MKI83" s="248" t="str">
        <f t="shared" si="147"/>
        <v/>
      </c>
      <c r="MKJ83" s="248" t="str">
        <f t="shared" si="147"/>
        <v/>
      </c>
      <c r="MKK83" s="248" t="str">
        <f t="shared" si="147"/>
        <v/>
      </c>
      <c r="MKL83" s="248" t="str">
        <f t="shared" si="147"/>
        <v/>
      </c>
      <c r="MKM83" s="248" t="str">
        <f t="shared" si="147"/>
        <v/>
      </c>
      <c r="MKN83" s="248" t="str">
        <f t="shared" si="147"/>
        <v/>
      </c>
      <c r="MKO83" s="248" t="str">
        <f t="shared" si="147"/>
        <v/>
      </c>
      <c r="MKP83" s="248" t="str">
        <f t="shared" si="147"/>
        <v/>
      </c>
      <c r="MKQ83" s="248" t="str">
        <f t="shared" si="147"/>
        <v/>
      </c>
      <c r="MKR83" s="248" t="str">
        <f t="shared" si="147"/>
        <v/>
      </c>
      <c r="MKS83" s="248" t="str">
        <f t="shared" si="147"/>
        <v/>
      </c>
      <c r="MKT83" s="248" t="str">
        <f t="shared" si="147"/>
        <v/>
      </c>
      <c r="MKU83" s="248" t="str">
        <f t="shared" si="147"/>
        <v/>
      </c>
      <c r="MKV83" s="248" t="str">
        <f t="shared" si="147"/>
        <v/>
      </c>
      <c r="MKW83" s="248" t="str">
        <f t="shared" si="147"/>
        <v/>
      </c>
      <c r="MKX83" s="248" t="str">
        <f t="shared" si="147"/>
        <v/>
      </c>
      <c r="MKY83" s="248" t="str">
        <f t="shared" si="147"/>
        <v/>
      </c>
      <c r="MKZ83" s="248" t="str">
        <f t="shared" si="147"/>
        <v/>
      </c>
      <c r="MLA83" s="248" t="str">
        <f t="shared" si="147"/>
        <v/>
      </c>
      <c r="MLB83" s="248" t="str">
        <f t="shared" si="147"/>
        <v/>
      </c>
      <c r="MLC83" s="248" t="str">
        <f t="shared" si="147"/>
        <v/>
      </c>
      <c r="MLD83" s="248" t="str">
        <f t="shared" si="147"/>
        <v/>
      </c>
      <c r="MLE83" s="248" t="str">
        <f t="shared" si="147"/>
        <v/>
      </c>
      <c r="MLF83" s="248" t="str">
        <f t="shared" si="147"/>
        <v/>
      </c>
      <c r="MLG83" s="248" t="str">
        <f t="shared" si="147"/>
        <v/>
      </c>
      <c r="MLH83" s="248" t="str">
        <f t="shared" si="147"/>
        <v/>
      </c>
      <c r="MLI83" s="248" t="str">
        <f t="shared" si="147"/>
        <v/>
      </c>
      <c r="MLJ83" s="248" t="str">
        <f t="shared" si="147"/>
        <v/>
      </c>
      <c r="MLK83" s="248" t="str">
        <f t="shared" si="147"/>
        <v/>
      </c>
      <c r="MLL83" s="248" t="str">
        <f t="shared" si="147"/>
        <v/>
      </c>
      <c r="MLM83" s="248" t="str">
        <f t="shared" si="147"/>
        <v/>
      </c>
      <c r="MLN83" s="248" t="str">
        <f t="shared" si="147"/>
        <v/>
      </c>
      <c r="MLO83" s="248" t="str">
        <f t="shared" si="147"/>
        <v/>
      </c>
      <c r="MLP83" s="248" t="str">
        <f t="shared" si="147"/>
        <v/>
      </c>
      <c r="MLQ83" s="248" t="str">
        <f t="shared" si="147"/>
        <v/>
      </c>
      <c r="MLR83" s="248" t="str">
        <f t="shared" si="147"/>
        <v/>
      </c>
      <c r="MLS83" s="248" t="str">
        <f t="shared" ref="MLS83:MOD83" si="148">UPPER(MLQ83)</f>
        <v/>
      </c>
      <c r="MLT83" s="248" t="str">
        <f t="shared" si="148"/>
        <v/>
      </c>
      <c r="MLU83" s="248" t="str">
        <f t="shared" si="148"/>
        <v/>
      </c>
      <c r="MLV83" s="248" t="str">
        <f t="shared" si="148"/>
        <v/>
      </c>
      <c r="MLW83" s="248" t="str">
        <f t="shared" si="148"/>
        <v/>
      </c>
      <c r="MLX83" s="248" t="str">
        <f t="shared" si="148"/>
        <v/>
      </c>
      <c r="MLY83" s="248" t="str">
        <f t="shared" si="148"/>
        <v/>
      </c>
      <c r="MLZ83" s="248" t="str">
        <f t="shared" si="148"/>
        <v/>
      </c>
      <c r="MMA83" s="248" t="str">
        <f t="shared" si="148"/>
        <v/>
      </c>
      <c r="MMB83" s="248" t="str">
        <f t="shared" si="148"/>
        <v/>
      </c>
      <c r="MMC83" s="248" t="str">
        <f t="shared" si="148"/>
        <v/>
      </c>
      <c r="MMD83" s="248" t="str">
        <f t="shared" si="148"/>
        <v/>
      </c>
      <c r="MME83" s="248" t="str">
        <f t="shared" si="148"/>
        <v/>
      </c>
      <c r="MMF83" s="248" t="str">
        <f t="shared" si="148"/>
        <v/>
      </c>
      <c r="MMG83" s="248" t="str">
        <f t="shared" si="148"/>
        <v/>
      </c>
      <c r="MMH83" s="248" t="str">
        <f t="shared" si="148"/>
        <v/>
      </c>
      <c r="MMI83" s="248" t="str">
        <f t="shared" si="148"/>
        <v/>
      </c>
      <c r="MMJ83" s="248" t="str">
        <f t="shared" si="148"/>
        <v/>
      </c>
      <c r="MMK83" s="248" t="str">
        <f t="shared" si="148"/>
        <v/>
      </c>
      <c r="MML83" s="248" t="str">
        <f t="shared" si="148"/>
        <v/>
      </c>
      <c r="MMM83" s="248" t="str">
        <f t="shared" si="148"/>
        <v/>
      </c>
      <c r="MMN83" s="248" t="str">
        <f t="shared" si="148"/>
        <v/>
      </c>
      <c r="MMO83" s="248" t="str">
        <f t="shared" si="148"/>
        <v/>
      </c>
      <c r="MMP83" s="248" t="str">
        <f t="shared" si="148"/>
        <v/>
      </c>
      <c r="MMQ83" s="248" t="str">
        <f t="shared" si="148"/>
        <v/>
      </c>
      <c r="MMR83" s="248" t="str">
        <f t="shared" si="148"/>
        <v/>
      </c>
      <c r="MMS83" s="248" t="str">
        <f t="shared" si="148"/>
        <v/>
      </c>
      <c r="MMT83" s="248" t="str">
        <f t="shared" si="148"/>
        <v/>
      </c>
      <c r="MMU83" s="248" t="str">
        <f t="shared" si="148"/>
        <v/>
      </c>
      <c r="MMV83" s="248" t="str">
        <f t="shared" si="148"/>
        <v/>
      </c>
      <c r="MMW83" s="248" t="str">
        <f t="shared" si="148"/>
        <v/>
      </c>
      <c r="MMX83" s="248" t="str">
        <f t="shared" si="148"/>
        <v/>
      </c>
      <c r="MMY83" s="248" t="str">
        <f t="shared" si="148"/>
        <v/>
      </c>
      <c r="MMZ83" s="248" t="str">
        <f t="shared" si="148"/>
        <v/>
      </c>
      <c r="MNA83" s="248" t="str">
        <f t="shared" si="148"/>
        <v/>
      </c>
      <c r="MNB83" s="248" t="str">
        <f t="shared" si="148"/>
        <v/>
      </c>
      <c r="MNC83" s="248" t="str">
        <f t="shared" si="148"/>
        <v/>
      </c>
      <c r="MND83" s="248" t="str">
        <f t="shared" si="148"/>
        <v/>
      </c>
      <c r="MNE83" s="248" t="str">
        <f t="shared" si="148"/>
        <v/>
      </c>
      <c r="MNF83" s="248" t="str">
        <f t="shared" si="148"/>
        <v/>
      </c>
      <c r="MNG83" s="248" t="str">
        <f t="shared" si="148"/>
        <v/>
      </c>
      <c r="MNH83" s="248" t="str">
        <f t="shared" si="148"/>
        <v/>
      </c>
      <c r="MNI83" s="248" t="str">
        <f t="shared" si="148"/>
        <v/>
      </c>
      <c r="MNJ83" s="248" t="str">
        <f t="shared" si="148"/>
        <v/>
      </c>
      <c r="MNK83" s="248" t="str">
        <f t="shared" si="148"/>
        <v/>
      </c>
      <c r="MNL83" s="248" t="str">
        <f t="shared" si="148"/>
        <v/>
      </c>
      <c r="MNM83" s="248" t="str">
        <f t="shared" si="148"/>
        <v/>
      </c>
      <c r="MNN83" s="248" t="str">
        <f t="shared" si="148"/>
        <v/>
      </c>
      <c r="MNO83" s="248" t="str">
        <f t="shared" si="148"/>
        <v/>
      </c>
      <c r="MNP83" s="248" t="str">
        <f t="shared" si="148"/>
        <v/>
      </c>
      <c r="MNQ83" s="248" t="str">
        <f t="shared" si="148"/>
        <v/>
      </c>
      <c r="MNR83" s="248" t="str">
        <f t="shared" si="148"/>
        <v/>
      </c>
      <c r="MNS83" s="248" t="str">
        <f t="shared" si="148"/>
        <v/>
      </c>
      <c r="MNT83" s="248" t="str">
        <f t="shared" si="148"/>
        <v/>
      </c>
      <c r="MNU83" s="248" t="str">
        <f t="shared" si="148"/>
        <v/>
      </c>
      <c r="MNV83" s="248" t="str">
        <f t="shared" si="148"/>
        <v/>
      </c>
      <c r="MNW83" s="248" t="str">
        <f t="shared" si="148"/>
        <v/>
      </c>
      <c r="MNX83" s="248" t="str">
        <f t="shared" si="148"/>
        <v/>
      </c>
      <c r="MNY83" s="248" t="str">
        <f t="shared" si="148"/>
        <v/>
      </c>
      <c r="MNZ83" s="248" t="str">
        <f t="shared" si="148"/>
        <v/>
      </c>
      <c r="MOA83" s="248" t="str">
        <f t="shared" si="148"/>
        <v/>
      </c>
      <c r="MOB83" s="248" t="str">
        <f t="shared" si="148"/>
        <v/>
      </c>
      <c r="MOC83" s="248" t="str">
        <f t="shared" si="148"/>
        <v/>
      </c>
      <c r="MOD83" s="248" t="str">
        <f t="shared" si="148"/>
        <v/>
      </c>
      <c r="MOE83" s="248" t="str">
        <f t="shared" ref="MOE83:MQP83" si="149">UPPER(MOC83)</f>
        <v/>
      </c>
      <c r="MOF83" s="248" t="str">
        <f t="shared" si="149"/>
        <v/>
      </c>
      <c r="MOG83" s="248" t="str">
        <f t="shared" si="149"/>
        <v/>
      </c>
      <c r="MOH83" s="248" t="str">
        <f t="shared" si="149"/>
        <v/>
      </c>
      <c r="MOI83" s="248" t="str">
        <f t="shared" si="149"/>
        <v/>
      </c>
      <c r="MOJ83" s="248" t="str">
        <f t="shared" si="149"/>
        <v/>
      </c>
      <c r="MOK83" s="248" t="str">
        <f t="shared" si="149"/>
        <v/>
      </c>
      <c r="MOL83" s="248" t="str">
        <f t="shared" si="149"/>
        <v/>
      </c>
      <c r="MOM83" s="248" t="str">
        <f t="shared" si="149"/>
        <v/>
      </c>
      <c r="MON83" s="248" t="str">
        <f t="shared" si="149"/>
        <v/>
      </c>
      <c r="MOO83" s="248" t="str">
        <f t="shared" si="149"/>
        <v/>
      </c>
      <c r="MOP83" s="248" t="str">
        <f t="shared" si="149"/>
        <v/>
      </c>
      <c r="MOQ83" s="248" t="str">
        <f t="shared" si="149"/>
        <v/>
      </c>
      <c r="MOR83" s="248" t="str">
        <f t="shared" si="149"/>
        <v/>
      </c>
      <c r="MOS83" s="248" t="str">
        <f t="shared" si="149"/>
        <v/>
      </c>
      <c r="MOT83" s="248" t="str">
        <f t="shared" si="149"/>
        <v/>
      </c>
      <c r="MOU83" s="248" t="str">
        <f t="shared" si="149"/>
        <v/>
      </c>
      <c r="MOV83" s="248" t="str">
        <f t="shared" si="149"/>
        <v/>
      </c>
      <c r="MOW83" s="248" t="str">
        <f t="shared" si="149"/>
        <v/>
      </c>
      <c r="MOX83" s="248" t="str">
        <f t="shared" si="149"/>
        <v/>
      </c>
      <c r="MOY83" s="248" t="str">
        <f t="shared" si="149"/>
        <v/>
      </c>
      <c r="MOZ83" s="248" t="str">
        <f t="shared" si="149"/>
        <v/>
      </c>
      <c r="MPA83" s="248" t="str">
        <f t="shared" si="149"/>
        <v/>
      </c>
      <c r="MPB83" s="248" t="str">
        <f t="shared" si="149"/>
        <v/>
      </c>
      <c r="MPC83" s="248" t="str">
        <f t="shared" si="149"/>
        <v/>
      </c>
      <c r="MPD83" s="248" t="str">
        <f t="shared" si="149"/>
        <v/>
      </c>
      <c r="MPE83" s="248" t="str">
        <f t="shared" si="149"/>
        <v/>
      </c>
      <c r="MPF83" s="248" t="str">
        <f t="shared" si="149"/>
        <v/>
      </c>
      <c r="MPG83" s="248" t="str">
        <f t="shared" si="149"/>
        <v/>
      </c>
      <c r="MPH83" s="248" t="str">
        <f t="shared" si="149"/>
        <v/>
      </c>
      <c r="MPI83" s="248" t="str">
        <f t="shared" si="149"/>
        <v/>
      </c>
      <c r="MPJ83" s="248" t="str">
        <f t="shared" si="149"/>
        <v/>
      </c>
      <c r="MPK83" s="248" t="str">
        <f t="shared" si="149"/>
        <v/>
      </c>
      <c r="MPL83" s="248" t="str">
        <f t="shared" si="149"/>
        <v/>
      </c>
      <c r="MPM83" s="248" t="str">
        <f t="shared" si="149"/>
        <v/>
      </c>
      <c r="MPN83" s="248" t="str">
        <f t="shared" si="149"/>
        <v/>
      </c>
      <c r="MPO83" s="248" t="str">
        <f t="shared" si="149"/>
        <v/>
      </c>
      <c r="MPP83" s="248" t="str">
        <f t="shared" si="149"/>
        <v/>
      </c>
      <c r="MPQ83" s="248" t="str">
        <f t="shared" si="149"/>
        <v/>
      </c>
      <c r="MPR83" s="248" t="str">
        <f t="shared" si="149"/>
        <v/>
      </c>
      <c r="MPS83" s="248" t="str">
        <f t="shared" si="149"/>
        <v/>
      </c>
      <c r="MPT83" s="248" t="str">
        <f t="shared" si="149"/>
        <v/>
      </c>
      <c r="MPU83" s="248" t="str">
        <f t="shared" si="149"/>
        <v/>
      </c>
      <c r="MPV83" s="248" t="str">
        <f t="shared" si="149"/>
        <v/>
      </c>
      <c r="MPW83" s="248" t="str">
        <f t="shared" si="149"/>
        <v/>
      </c>
      <c r="MPX83" s="248" t="str">
        <f t="shared" si="149"/>
        <v/>
      </c>
      <c r="MPY83" s="248" t="str">
        <f t="shared" si="149"/>
        <v/>
      </c>
      <c r="MPZ83" s="248" t="str">
        <f t="shared" si="149"/>
        <v/>
      </c>
      <c r="MQA83" s="248" t="str">
        <f t="shared" si="149"/>
        <v/>
      </c>
      <c r="MQB83" s="248" t="str">
        <f t="shared" si="149"/>
        <v/>
      </c>
      <c r="MQC83" s="248" t="str">
        <f t="shared" si="149"/>
        <v/>
      </c>
      <c r="MQD83" s="248" t="str">
        <f t="shared" si="149"/>
        <v/>
      </c>
      <c r="MQE83" s="248" t="str">
        <f t="shared" si="149"/>
        <v/>
      </c>
      <c r="MQF83" s="248" t="str">
        <f t="shared" si="149"/>
        <v/>
      </c>
      <c r="MQG83" s="248" t="str">
        <f t="shared" si="149"/>
        <v/>
      </c>
      <c r="MQH83" s="248" t="str">
        <f t="shared" si="149"/>
        <v/>
      </c>
      <c r="MQI83" s="248" t="str">
        <f t="shared" si="149"/>
        <v/>
      </c>
      <c r="MQJ83" s="248" t="str">
        <f t="shared" si="149"/>
        <v/>
      </c>
      <c r="MQK83" s="248" t="str">
        <f t="shared" si="149"/>
        <v/>
      </c>
      <c r="MQL83" s="248" t="str">
        <f t="shared" si="149"/>
        <v/>
      </c>
      <c r="MQM83" s="248" t="str">
        <f t="shared" si="149"/>
        <v/>
      </c>
      <c r="MQN83" s="248" t="str">
        <f t="shared" si="149"/>
        <v/>
      </c>
      <c r="MQO83" s="248" t="str">
        <f t="shared" si="149"/>
        <v/>
      </c>
      <c r="MQP83" s="248" t="str">
        <f t="shared" si="149"/>
        <v/>
      </c>
      <c r="MQQ83" s="248" t="str">
        <f t="shared" ref="MQQ83:MTB83" si="150">UPPER(MQO83)</f>
        <v/>
      </c>
      <c r="MQR83" s="248" t="str">
        <f t="shared" si="150"/>
        <v/>
      </c>
      <c r="MQS83" s="248" t="str">
        <f t="shared" si="150"/>
        <v/>
      </c>
      <c r="MQT83" s="248" t="str">
        <f t="shared" si="150"/>
        <v/>
      </c>
      <c r="MQU83" s="248" t="str">
        <f t="shared" si="150"/>
        <v/>
      </c>
      <c r="MQV83" s="248" t="str">
        <f t="shared" si="150"/>
        <v/>
      </c>
      <c r="MQW83" s="248" t="str">
        <f t="shared" si="150"/>
        <v/>
      </c>
      <c r="MQX83" s="248" t="str">
        <f t="shared" si="150"/>
        <v/>
      </c>
      <c r="MQY83" s="248" t="str">
        <f t="shared" si="150"/>
        <v/>
      </c>
      <c r="MQZ83" s="248" t="str">
        <f t="shared" si="150"/>
        <v/>
      </c>
      <c r="MRA83" s="248" t="str">
        <f t="shared" si="150"/>
        <v/>
      </c>
      <c r="MRB83" s="248" t="str">
        <f t="shared" si="150"/>
        <v/>
      </c>
      <c r="MRC83" s="248" t="str">
        <f t="shared" si="150"/>
        <v/>
      </c>
      <c r="MRD83" s="248" t="str">
        <f t="shared" si="150"/>
        <v/>
      </c>
      <c r="MRE83" s="248" t="str">
        <f t="shared" si="150"/>
        <v/>
      </c>
      <c r="MRF83" s="248" t="str">
        <f t="shared" si="150"/>
        <v/>
      </c>
      <c r="MRG83" s="248" t="str">
        <f t="shared" si="150"/>
        <v/>
      </c>
      <c r="MRH83" s="248" t="str">
        <f t="shared" si="150"/>
        <v/>
      </c>
      <c r="MRI83" s="248" t="str">
        <f t="shared" si="150"/>
        <v/>
      </c>
      <c r="MRJ83" s="248" t="str">
        <f t="shared" si="150"/>
        <v/>
      </c>
      <c r="MRK83" s="248" t="str">
        <f t="shared" si="150"/>
        <v/>
      </c>
      <c r="MRL83" s="248" t="str">
        <f t="shared" si="150"/>
        <v/>
      </c>
      <c r="MRM83" s="248" t="str">
        <f t="shared" si="150"/>
        <v/>
      </c>
      <c r="MRN83" s="248" t="str">
        <f t="shared" si="150"/>
        <v/>
      </c>
      <c r="MRO83" s="248" t="str">
        <f t="shared" si="150"/>
        <v/>
      </c>
      <c r="MRP83" s="248" t="str">
        <f t="shared" si="150"/>
        <v/>
      </c>
      <c r="MRQ83" s="248" t="str">
        <f t="shared" si="150"/>
        <v/>
      </c>
      <c r="MRR83" s="248" t="str">
        <f t="shared" si="150"/>
        <v/>
      </c>
      <c r="MRS83" s="248" t="str">
        <f t="shared" si="150"/>
        <v/>
      </c>
      <c r="MRT83" s="248" t="str">
        <f t="shared" si="150"/>
        <v/>
      </c>
      <c r="MRU83" s="248" t="str">
        <f t="shared" si="150"/>
        <v/>
      </c>
      <c r="MRV83" s="248" t="str">
        <f t="shared" si="150"/>
        <v/>
      </c>
      <c r="MRW83" s="248" t="str">
        <f t="shared" si="150"/>
        <v/>
      </c>
      <c r="MRX83" s="248" t="str">
        <f t="shared" si="150"/>
        <v/>
      </c>
      <c r="MRY83" s="248" t="str">
        <f t="shared" si="150"/>
        <v/>
      </c>
      <c r="MRZ83" s="248" t="str">
        <f t="shared" si="150"/>
        <v/>
      </c>
      <c r="MSA83" s="248" t="str">
        <f t="shared" si="150"/>
        <v/>
      </c>
      <c r="MSB83" s="248" t="str">
        <f t="shared" si="150"/>
        <v/>
      </c>
      <c r="MSC83" s="248" t="str">
        <f t="shared" si="150"/>
        <v/>
      </c>
      <c r="MSD83" s="248" t="str">
        <f t="shared" si="150"/>
        <v/>
      </c>
      <c r="MSE83" s="248" t="str">
        <f t="shared" si="150"/>
        <v/>
      </c>
      <c r="MSF83" s="248" t="str">
        <f t="shared" si="150"/>
        <v/>
      </c>
      <c r="MSG83" s="248" t="str">
        <f t="shared" si="150"/>
        <v/>
      </c>
      <c r="MSH83" s="248" t="str">
        <f t="shared" si="150"/>
        <v/>
      </c>
      <c r="MSI83" s="248" t="str">
        <f t="shared" si="150"/>
        <v/>
      </c>
      <c r="MSJ83" s="248" t="str">
        <f t="shared" si="150"/>
        <v/>
      </c>
      <c r="MSK83" s="248" t="str">
        <f t="shared" si="150"/>
        <v/>
      </c>
      <c r="MSL83" s="248" t="str">
        <f t="shared" si="150"/>
        <v/>
      </c>
      <c r="MSM83" s="248" t="str">
        <f t="shared" si="150"/>
        <v/>
      </c>
      <c r="MSN83" s="248" t="str">
        <f t="shared" si="150"/>
        <v/>
      </c>
      <c r="MSO83" s="248" t="str">
        <f t="shared" si="150"/>
        <v/>
      </c>
      <c r="MSP83" s="248" t="str">
        <f t="shared" si="150"/>
        <v/>
      </c>
      <c r="MSQ83" s="248" t="str">
        <f t="shared" si="150"/>
        <v/>
      </c>
      <c r="MSR83" s="248" t="str">
        <f t="shared" si="150"/>
        <v/>
      </c>
      <c r="MSS83" s="248" t="str">
        <f t="shared" si="150"/>
        <v/>
      </c>
      <c r="MST83" s="248" t="str">
        <f t="shared" si="150"/>
        <v/>
      </c>
      <c r="MSU83" s="248" t="str">
        <f t="shared" si="150"/>
        <v/>
      </c>
      <c r="MSV83" s="248" t="str">
        <f t="shared" si="150"/>
        <v/>
      </c>
      <c r="MSW83" s="248" t="str">
        <f t="shared" si="150"/>
        <v/>
      </c>
      <c r="MSX83" s="248" t="str">
        <f t="shared" si="150"/>
        <v/>
      </c>
      <c r="MSY83" s="248" t="str">
        <f t="shared" si="150"/>
        <v/>
      </c>
      <c r="MSZ83" s="248" t="str">
        <f t="shared" si="150"/>
        <v/>
      </c>
      <c r="MTA83" s="248" t="str">
        <f t="shared" si="150"/>
        <v/>
      </c>
      <c r="MTB83" s="248" t="str">
        <f t="shared" si="150"/>
        <v/>
      </c>
      <c r="MTC83" s="248" t="str">
        <f t="shared" ref="MTC83:MVN83" si="151">UPPER(MTA83)</f>
        <v/>
      </c>
      <c r="MTD83" s="248" t="str">
        <f t="shared" si="151"/>
        <v/>
      </c>
      <c r="MTE83" s="248" t="str">
        <f t="shared" si="151"/>
        <v/>
      </c>
      <c r="MTF83" s="248" t="str">
        <f t="shared" si="151"/>
        <v/>
      </c>
      <c r="MTG83" s="248" t="str">
        <f t="shared" si="151"/>
        <v/>
      </c>
      <c r="MTH83" s="248" t="str">
        <f t="shared" si="151"/>
        <v/>
      </c>
      <c r="MTI83" s="248" t="str">
        <f t="shared" si="151"/>
        <v/>
      </c>
      <c r="MTJ83" s="248" t="str">
        <f t="shared" si="151"/>
        <v/>
      </c>
      <c r="MTK83" s="248" t="str">
        <f t="shared" si="151"/>
        <v/>
      </c>
      <c r="MTL83" s="248" t="str">
        <f t="shared" si="151"/>
        <v/>
      </c>
      <c r="MTM83" s="248" t="str">
        <f t="shared" si="151"/>
        <v/>
      </c>
      <c r="MTN83" s="248" t="str">
        <f t="shared" si="151"/>
        <v/>
      </c>
      <c r="MTO83" s="248" t="str">
        <f t="shared" si="151"/>
        <v/>
      </c>
      <c r="MTP83" s="248" t="str">
        <f t="shared" si="151"/>
        <v/>
      </c>
      <c r="MTQ83" s="248" t="str">
        <f t="shared" si="151"/>
        <v/>
      </c>
      <c r="MTR83" s="248" t="str">
        <f t="shared" si="151"/>
        <v/>
      </c>
      <c r="MTS83" s="248" t="str">
        <f t="shared" si="151"/>
        <v/>
      </c>
      <c r="MTT83" s="248" t="str">
        <f t="shared" si="151"/>
        <v/>
      </c>
      <c r="MTU83" s="248" t="str">
        <f t="shared" si="151"/>
        <v/>
      </c>
      <c r="MTV83" s="248" t="str">
        <f t="shared" si="151"/>
        <v/>
      </c>
      <c r="MTW83" s="248" t="str">
        <f t="shared" si="151"/>
        <v/>
      </c>
      <c r="MTX83" s="248" t="str">
        <f t="shared" si="151"/>
        <v/>
      </c>
      <c r="MTY83" s="248" t="str">
        <f t="shared" si="151"/>
        <v/>
      </c>
      <c r="MTZ83" s="248" t="str">
        <f t="shared" si="151"/>
        <v/>
      </c>
      <c r="MUA83" s="248" t="str">
        <f t="shared" si="151"/>
        <v/>
      </c>
      <c r="MUB83" s="248" t="str">
        <f t="shared" si="151"/>
        <v/>
      </c>
      <c r="MUC83" s="248" t="str">
        <f t="shared" si="151"/>
        <v/>
      </c>
      <c r="MUD83" s="248" t="str">
        <f t="shared" si="151"/>
        <v/>
      </c>
      <c r="MUE83" s="248" t="str">
        <f t="shared" si="151"/>
        <v/>
      </c>
      <c r="MUF83" s="248" t="str">
        <f t="shared" si="151"/>
        <v/>
      </c>
      <c r="MUG83" s="248" t="str">
        <f t="shared" si="151"/>
        <v/>
      </c>
      <c r="MUH83" s="248" t="str">
        <f t="shared" si="151"/>
        <v/>
      </c>
      <c r="MUI83" s="248" t="str">
        <f t="shared" si="151"/>
        <v/>
      </c>
      <c r="MUJ83" s="248" t="str">
        <f t="shared" si="151"/>
        <v/>
      </c>
      <c r="MUK83" s="248" t="str">
        <f t="shared" si="151"/>
        <v/>
      </c>
      <c r="MUL83" s="248" t="str">
        <f t="shared" si="151"/>
        <v/>
      </c>
      <c r="MUM83" s="248" t="str">
        <f t="shared" si="151"/>
        <v/>
      </c>
      <c r="MUN83" s="248" t="str">
        <f t="shared" si="151"/>
        <v/>
      </c>
      <c r="MUO83" s="248" t="str">
        <f t="shared" si="151"/>
        <v/>
      </c>
      <c r="MUP83" s="248" t="str">
        <f t="shared" si="151"/>
        <v/>
      </c>
      <c r="MUQ83" s="248" t="str">
        <f t="shared" si="151"/>
        <v/>
      </c>
      <c r="MUR83" s="248" t="str">
        <f t="shared" si="151"/>
        <v/>
      </c>
      <c r="MUS83" s="248" t="str">
        <f t="shared" si="151"/>
        <v/>
      </c>
      <c r="MUT83" s="248" t="str">
        <f t="shared" si="151"/>
        <v/>
      </c>
      <c r="MUU83" s="248" t="str">
        <f t="shared" si="151"/>
        <v/>
      </c>
      <c r="MUV83" s="248" t="str">
        <f t="shared" si="151"/>
        <v/>
      </c>
      <c r="MUW83" s="248" t="str">
        <f t="shared" si="151"/>
        <v/>
      </c>
      <c r="MUX83" s="248" t="str">
        <f t="shared" si="151"/>
        <v/>
      </c>
      <c r="MUY83" s="248" t="str">
        <f t="shared" si="151"/>
        <v/>
      </c>
      <c r="MUZ83" s="248" t="str">
        <f t="shared" si="151"/>
        <v/>
      </c>
      <c r="MVA83" s="248" t="str">
        <f t="shared" si="151"/>
        <v/>
      </c>
      <c r="MVB83" s="248" t="str">
        <f t="shared" si="151"/>
        <v/>
      </c>
      <c r="MVC83" s="248" t="str">
        <f t="shared" si="151"/>
        <v/>
      </c>
      <c r="MVD83" s="248" t="str">
        <f t="shared" si="151"/>
        <v/>
      </c>
      <c r="MVE83" s="248" t="str">
        <f t="shared" si="151"/>
        <v/>
      </c>
      <c r="MVF83" s="248" t="str">
        <f t="shared" si="151"/>
        <v/>
      </c>
      <c r="MVG83" s="248" t="str">
        <f t="shared" si="151"/>
        <v/>
      </c>
      <c r="MVH83" s="248" t="str">
        <f t="shared" si="151"/>
        <v/>
      </c>
      <c r="MVI83" s="248" t="str">
        <f t="shared" si="151"/>
        <v/>
      </c>
      <c r="MVJ83" s="248" t="str">
        <f t="shared" si="151"/>
        <v/>
      </c>
      <c r="MVK83" s="248" t="str">
        <f t="shared" si="151"/>
        <v/>
      </c>
      <c r="MVL83" s="248" t="str">
        <f t="shared" si="151"/>
        <v/>
      </c>
      <c r="MVM83" s="248" t="str">
        <f t="shared" si="151"/>
        <v/>
      </c>
      <c r="MVN83" s="248" t="str">
        <f t="shared" si="151"/>
        <v/>
      </c>
      <c r="MVO83" s="248" t="str">
        <f t="shared" ref="MVO83:MXZ83" si="152">UPPER(MVM83)</f>
        <v/>
      </c>
      <c r="MVP83" s="248" t="str">
        <f t="shared" si="152"/>
        <v/>
      </c>
      <c r="MVQ83" s="248" t="str">
        <f t="shared" si="152"/>
        <v/>
      </c>
      <c r="MVR83" s="248" t="str">
        <f t="shared" si="152"/>
        <v/>
      </c>
      <c r="MVS83" s="248" t="str">
        <f t="shared" si="152"/>
        <v/>
      </c>
      <c r="MVT83" s="248" t="str">
        <f t="shared" si="152"/>
        <v/>
      </c>
      <c r="MVU83" s="248" t="str">
        <f t="shared" si="152"/>
        <v/>
      </c>
      <c r="MVV83" s="248" t="str">
        <f t="shared" si="152"/>
        <v/>
      </c>
      <c r="MVW83" s="248" t="str">
        <f t="shared" si="152"/>
        <v/>
      </c>
      <c r="MVX83" s="248" t="str">
        <f t="shared" si="152"/>
        <v/>
      </c>
      <c r="MVY83" s="248" t="str">
        <f t="shared" si="152"/>
        <v/>
      </c>
      <c r="MVZ83" s="248" t="str">
        <f t="shared" si="152"/>
        <v/>
      </c>
      <c r="MWA83" s="248" t="str">
        <f t="shared" si="152"/>
        <v/>
      </c>
      <c r="MWB83" s="248" t="str">
        <f t="shared" si="152"/>
        <v/>
      </c>
      <c r="MWC83" s="248" t="str">
        <f t="shared" si="152"/>
        <v/>
      </c>
      <c r="MWD83" s="248" t="str">
        <f t="shared" si="152"/>
        <v/>
      </c>
      <c r="MWE83" s="248" t="str">
        <f t="shared" si="152"/>
        <v/>
      </c>
      <c r="MWF83" s="248" t="str">
        <f t="shared" si="152"/>
        <v/>
      </c>
      <c r="MWG83" s="248" t="str">
        <f t="shared" si="152"/>
        <v/>
      </c>
      <c r="MWH83" s="248" t="str">
        <f t="shared" si="152"/>
        <v/>
      </c>
      <c r="MWI83" s="248" t="str">
        <f t="shared" si="152"/>
        <v/>
      </c>
      <c r="MWJ83" s="248" t="str">
        <f t="shared" si="152"/>
        <v/>
      </c>
      <c r="MWK83" s="248" t="str">
        <f t="shared" si="152"/>
        <v/>
      </c>
      <c r="MWL83" s="248" t="str">
        <f t="shared" si="152"/>
        <v/>
      </c>
      <c r="MWM83" s="248" t="str">
        <f t="shared" si="152"/>
        <v/>
      </c>
      <c r="MWN83" s="248" t="str">
        <f t="shared" si="152"/>
        <v/>
      </c>
      <c r="MWO83" s="248" t="str">
        <f t="shared" si="152"/>
        <v/>
      </c>
      <c r="MWP83" s="248" t="str">
        <f t="shared" si="152"/>
        <v/>
      </c>
      <c r="MWQ83" s="248" t="str">
        <f t="shared" si="152"/>
        <v/>
      </c>
      <c r="MWR83" s="248" t="str">
        <f t="shared" si="152"/>
        <v/>
      </c>
      <c r="MWS83" s="248" t="str">
        <f t="shared" si="152"/>
        <v/>
      </c>
      <c r="MWT83" s="248" t="str">
        <f t="shared" si="152"/>
        <v/>
      </c>
      <c r="MWU83" s="248" t="str">
        <f t="shared" si="152"/>
        <v/>
      </c>
      <c r="MWV83" s="248" t="str">
        <f t="shared" si="152"/>
        <v/>
      </c>
      <c r="MWW83" s="248" t="str">
        <f t="shared" si="152"/>
        <v/>
      </c>
      <c r="MWX83" s="248" t="str">
        <f t="shared" si="152"/>
        <v/>
      </c>
      <c r="MWY83" s="248" t="str">
        <f t="shared" si="152"/>
        <v/>
      </c>
      <c r="MWZ83" s="248" t="str">
        <f t="shared" si="152"/>
        <v/>
      </c>
      <c r="MXA83" s="248" t="str">
        <f t="shared" si="152"/>
        <v/>
      </c>
      <c r="MXB83" s="248" t="str">
        <f t="shared" si="152"/>
        <v/>
      </c>
      <c r="MXC83" s="248" t="str">
        <f t="shared" si="152"/>
        <v/>
      </c>
      <c r="MXD83" s="248" t="str">
        <f t="shared" si="152"/>
        <v/>
      </c>
      <c r="MXE83" s="248" t="str">
        <f t="shared" si="152"/>
        <v/>
      </c>
      <c r="MXF83" s="248" t="str">
        <f t="shared" si="152"/>
        <v/>
      </c>
      <c r="MXG83" s="248" t="str">
        <f t="shared" si="152"/>
        <v/>
      </c>
      <c r="MXH83" s="248" t="str">
        <f t="shared" si="152"/>
        <v/>
      </c>
      <c r="MXI83" s="248" t="str">
        <f t="shared" si="152"/>
        <v/>
      </c>
      <c r="MXJ83" s="248" t="str">
        <f t="shared" si="152"/>
        <v/>
      </c>
      <c r="MXK83" s="248" t="str">
        <f t="shared" si="152"/>
        <v/>
      </c>
      <c r="MXL83" s="248" t="str">
        <f t="shared" si="152"/>
        <v/>
      </c>
      <c r="MXM83" s="248" t="str">
        <f t="shared" si="152"/>
        <v/>
      </c>
      <c r="MXN83" s="248" t="str">
        <f t="shared" si="152"/>
        <v/>
      </c>
      <c r="MXO83" s="248" t="str">
        <f t="shared" si="152"/>
        <v/>
      </c>
      <c r="MXP83" s="248" t="str">
        <f t="shared" si="152"/>
        <v/>
      </c>
      <c r="MXQ83" s="248" t="str">
        <f t="shared" si="152"/>
        <v/>
      </c>
      <c r="MXR83" s="248" t="str">
        <f t="shared" si="152"/>
        <v/>
      </c>
      <c r="MXS83" s="248" t="str">
        <f t="shared" si="152"/>
        <v/>
      </c>
      <c r="MXT83" s="248" t="str">
        <f t="shared" si="152"/>
        <v/>
      </c>
      <c r="MXU83" s="248" t="str">
        <f t="shared" si="152"/>
        <v/>
      </c>
      <c r="MXV83" s="248" t="str">
        <f t="shared" si="152"/>
        <v/>
      </c>
      <c r="MXW83" s="248" t="str">
        <f t="shared" si="152"/>
        <v/>
      </c>
      <c r="MXX83" s="248" t="str">
        <f t="shared" si="152"/>
        <v/>
      </c>
      <c r="MXY83" s="248" t="str">
        <f t="shared" si="152"/>
        <v/>
      </c>
      <c r="MXZ83" s="248" t="str">
        <f t="shared" si="152"/>
        <v/>
      </c>
      <c r="MYA83" s="248" t="str">
        <f t="shared" ref="MYA83:NAL83" si="153">UPPER(MXY83)</f>
        <v/>
      </c>
      <c r="MYB83" s="248" t="str">
        <f t="shared" si="153"/>
        <v/>
      </c>
      <c r="MYC83" s="248" t="str">
        <f t="shared" si="153"/>
        <v/>
      </c>
      <c r="MYD83" s="248" t="str">
        <f t="shared" si="153"/>
        <v/>
      </c>
      <c r="MYE83" s="248" t="str">
        <f t="shared" si="153"/>
        <v/>
      </c>
      <c r="MYF83" s="248" t="str">
        <f t="shared" si="153"/>
        <v/>
      </c>
      <c r="MYG83" s="248" t="str">
        <f t="shared" si="153"/>
        <v/>
      </c>
      <c r="MYH83" s="248" t="str">
        <f t="shared" si="153"/>
        <v/>
      </c>
      <c r="MYI83" s="248" t="str">
        <f t="shared" si="153"/>
        <v/>
      </c>
      <c r="MYJ83" s="248" t="str">
        <f t="shared" si="153"/>
        <v/>
      </c>
      <c r="MYK83" s="248" t="str">
        <f t="shared" si="153"/>
        <v/>
      </c>
      <c r="MYL83" s="248" t="str">
        <f t="shared" si="153"/>
        <v/>
      </c>
      <c r="MYM83" s="248" t="str">
        <f t="shared" si="153"/>
        <v/>
      </c>
      <c r="MYN83" s="248" t="str">
        <f t="shared" si="153"/>
        <v/>
      </c>
      <c r="MYO83" s="248" t="str">
        <f t="shared" si="153"/>
        <v/>
      </c>
      <c r="MYP83" s="248" t="str">
        <f t="shared" si="153"/>
        <v/>
      </c>
      <c r="MYQ83" s="248" t="str">
        <f t="shared" si="153"/>
        <v/>
      </c>
      <c r="MYR83" s="248" t="str">
        <f t="shared" si="153"/>
        <v/>
      </c>
      <c r="MYS83" s="248" t="str">
        <f t="shared" si="153"/>
        <v/>
      </c>
      <c r="MYT83" s="248" t="str">
        <f t="shared" si="153"/>
        <v/>
      </c>
      <c r="MYU83" s="248" t="str">
        <f t="shared" si="153"/>
        <v/>
      </c>
      <c r="MYV83" s="248" t="str">
        <f t="shared" si="153"/>
        <v/>
      </c>
      <c r="MYW83" s="248" t="str">
        <f t="shared" si="153"/>
        <v/>
      </c>
      <c r="MYX83" s="248" t="str">
        <f t="shared" si="153"/>
        <v/>
      </c>
      <c r="MYY83" s="248" t="str">
        <f t="shared" si="153"/>
        <v/>
      </c>
      <c r="MYZ83" s="248" t="str">
        <f t="shared" si="153"/>
        <v/>
      </c>
      <c r="MZA83" s="248" t="str">
        <f t="shared" si="153"/>
        <v/>
      </c>
      <c r="MZB83" s="248" t="str">
        <f t="shared" si="153"/>
        <v/>
      </c>
      <c r="MZC83" s="248" t="str">
        <f t="shared" si="153"/>
        <v/>
      </c>
      <c r="MZD83" s="248" t="str">
        <f t="shared" si="153"/>
        <v/>
      </c>
      <c r="MZE83" s="248" t="str">
        <f t="shared" si="153"/>
        <v/>
      </c>
      <c r="MZF83" s="248" t="str">
        <f t="shared" si="153"/>
        <v/>
      </c>
      <c r="MZG83" s="248" t="str">
        <f t="shared" si="153"/>
        <v/>
      </c>
      <c r="MZH83" s="248" t="str">
        <f t="shared" si="153"/>
        <v/>
      </c>
      <c r="MZI83" s="248" t="str">
        <f t="shared" si="153"/>
        <v/>
      </c>
      <c r="MZJ83" s="248" t="str">
        <f t="shared" si="153"/>
        <v/>
      </c>
      <c r="MZK83" s="248" t="str">
        <f t="shared" si="153"/>
        <v/>
      </c>
      <c r="MZL83" s="248" t="str">
        <f t="shared" si="153"/>
        <v/>
      </c>
      <c r="MZM83" s="248" t="str">
        <f t="shared" si="153"/>
        <v/>
      </c>
      <c r="MZN83" s="248" t="str">
        <f t="shared" si="153"/>
        <v/>
      </c>
      <c r="MZO83" s="248" t="str">
        <f t="shared" si="153"/>
        <v/>
      </c>
      <c r="MZP83" s="248" t="str">
        <f t="shared" si="153"/>
        <v/>
      </c>
      <c r="MZQ83" s="248" t="str">
        <f t="shared" si="153"/>
        <v/>
      </c>
      <c r="MZR83" s="248" t="str">
        <f t="shared" si="153"/>
        <v/>
      </c>
      <c r="MZS83" s="248" t="str">
        <f t="shared" si="153"/>
        <v/>
      </c>
      <c r="MZT83" s="248" t="str">
        <f t="shared" si="153"/>
        <v/>
      </c>
      <c r="MZU83" s="248" t="str">
        <f t="shared" si="153"/>
        <v/>
      </c>
      <c r="MZV83" s="248" t="str">
        <f t="shared" si="153"/>
        <v/>
      </c>
      <c r="MZW83" s="248" t="str">
        <f t="shared" si="153"/>
        <v/>
      </c>
      <c r="MZX83" s="248" t="str">
        <f t="shared" si="153"/>
        <v/>
      </c>
      <c r="MZY83" s="248" t="str">
        <f t="shared" si="153"/>
        <v/>
      </c>
      <c r="MZZ83" s="248" t="str">
        <f t="shared" si="153"/>
        <v/>
      </c>
      <c r="NAA83" s="248" t="str">
        <f t="shared" si="153"/>
        <v/>
      </c>
      <c r="NAB83" s="248" t="str">
        <f t="shared" si="153"/>
        <v/>
      </c>
      <c r="NAC83" s="248" t="str">
        <f t="shared" si="153"/>
        <v/>
      </c>
      <c r="NAD83" s="248" t="str">
        <f t="shared" si="153"/>
        <v/>
      </c>
      <c r="NAE83" s="248" t="str">
        <f t="shared" si="153"/>
        <v/>
      </c>
      <c r="NAF83" s="248" t="str">
        <f t="shared" si="153"/>
        <v/>
      </c>
      <c r="NAG83" s="248" t="str">
        <f t="shared" si="153"/>
        <v/>
      </c>
      <c r="NAH83" s="248" t="str">
        <f t="shared" si="153"/>
        <v/>
      </c>
      <c r="NAI83" s="248" t="str">
        <f t="shared" si="153"/>
        <v/>
      </c>
      <c r="NAJ83" s="248" t="str">
        <f t="shared" si="153"/>
        <v/>
      </c>
      <c r="NAK83" s="248" t="str">
        <f t="shared" si="153"/>
        <v/>
      </c>
      <c r="NAL83" s="248" t="str">
        <f t="shared" si="153"/>
        <v/>
      </c>
      <c r="NAM83" s="248" t="str">
        <f t="shared" ref="NAM83:NCX83" si="154">UPPER(NAK83)</f>
        <v/>
      </c>
      <c r="NAN83" s="248" t="str">
        <f t="shared" si="154"/>
        <v/>
      </c>
      <c r="NAO83" s="248" t="str">
        <f t="shared" si="154"/>
        <v/>
      </c>
      <c r="NAP83" s="248" t="str">
        <f t="shared" si="154"/>
        <v/>
      </c>
      <c r="NAQ83" s="248" t="str">
        <f t="shared" si="154"/>
        <v/>
      </c>
      <c r="NAR83" s="248" t="str">
        <f t="shared" si="154"/>
        <v/>
      </c>
      <c r="NAS83" s="248" t="str">
        <f t="shared" si="154"/>
        <v/>
      </c>
      <c r="NAT83" s="248" t="str">
        <f t="shared" si="154"/>
        <v/>
      </c>
      <c r="NAU83" s="248" t="str">
        <f t="shared" si="154"/>
        <v/>
      </c>
      <c r="NAV83" s="248" t="str">
        <f t="shared" si="154"/>
        <v/>
      </c>
      <c r="NAW83" s="248" t="str">
        <f t="shared" si="154"/>
        <v/>
      </c>
      <c r="NAX83" s="248" t="str">
        <f t="shared" si="154"/>
        <v/>
      </c>
      <c r="NAY83" s="248" t="str">
        <f t="shared" si="154"/>
        <v/>
      </c>
      <c r="NAZ83" s="248" t="str">
        <f t="shared" si="154"/>
        <v/>
      </c>
      <c r="NBA83" s="248" t="str">
        <f t="shared" si="154"/>
        <v/>
      </c>
      <c r="NBB83" s="248" t="str">
        <f t="shared" si="154"/>
        <v/>
      </c>
      <c r="NBC83" s="248" t="str">
        <f t="shared" si="154"/>
        <v/>
      </c>
      <c r="NBD83" s="248" t="str">
        <f t="shared" si="154"/>
        <v/>
      </c>
      <c r="NBE83" s="248" t="str">
        <f t="shared" si="154"/>
        <v/>
      </c>
      <c r="NBF83" s="248" t="str">
        <f t="shared" si="154"/>
        <v/>
      </c>
      <c r="NBG83" s="248" t="str">
        <f t="shared" si="154"/>
        <v/>
      </c>
      <c r="NBH83" s="248" t="str">
        <f t="shared" si="154"/>
        <v/>
      </c>
      <c r="NBI83" s="248" t="str">
        <f t="shared" si="154"/>
        <v/>
      </c>
      <c r="NBJ83" s="248" t="str">
        <f t="shared" si="154"/>
        <v/>
      </c>
      <c r="NBK83" s="248" t="str">
        <f t="shared" si="154"/>
        <v/>
      </c>
      <c r="NBL83" s="248" t="str">
        <f t="shared" si="154"/>
        <v/>
      </c>
      <c r="NBM83" s="248" t="str">
        <f t="shared" si="154"/>
        <v/>
      </c>
      <c r="NBN83" s="248" t="str">
        <f t="shared" si="154"/>
        <v/>
      </c>
      <c r="NBO83" s="248" t="str">
        <f t="shared" si="154"/>
        <v/>
      </c>
      <c r="NBP83" s="248" t="str">
        <f t="shared" si="154"/>
        <v/>
      </c>
      <c r="NBQ83" s="248" t="str">
        <f t="shared" si="154"/>
        <v/>
      </c>
      <c r="NBR83" s="248" t="str">
        <f t="shared" si="154"/>
        <v/>
      </c>
      <c r="NBS83" s="248" t="str">
        <f t="shared" si="154"/>
        <v/>
      </c>
      <c r="NBT83" s="248" t="str">
        <f t="shared" si="154"/>
        <v/>
      </c>
      <c r="NBU83" s="248" t="str">
        <f t="shared" si="154"/>
        <v/>
      </c>
      <c r="NBV83" s="248" t="str">
        <f t="shared" si="154"/>
        <v/>
      </c>
      <c r="NBW83" s="248" t="str">
        <f t="shared" si="154"/>
        <v/>
      </c>
      <c r="NBX83" s="248" t="str">
        <f t="shared" si="154"/>
        <v/>
      </c>
      <c r="NBY83" s="248" t="str">
        <f t="shared" si="154"/>
        <v/>
      </c>
      <c r="NBZ83" s="248" t="str">
        <f t="shared" si="154"/>
        <v/>
      </c>
      <c r="NCA83" s="248" t="str">
        <f t="shared" si="154"/>
        <v/>
      </c>
      <c r="NCB83" s="248" t="str">
        <f t="shared" si="154"/>
        <v/>
      </c>
      <c r="NCC83" s="248" t="str">
        <f t="shared" si="154"/>
        <v/>
      </c>
      <c r="NCD83" s="248" t="str">
        <f t="shared" si="154"/>
        <v/>
      </c>
      <c r="NCE83" s="248" t="str">
        <f t="shared" si="154"/>
        <v/>
      </c>
      <c r="NCF83" s="248" t="str">
        <f t="shared" si="154"/>
        <v/>
      </c>
      <c r="NCG83" s="248" t="str">
        <f t="shared" si="154"/>
        <v/>
      </c>
      <c r="NCH83" s="248" t="str">
        <f t="shared" si="154"/>
        <v/>
      </c>
      <c r="NCI83" s="248" t="str">
        <f t="shared" si="154"/>
        <v/>
      </c>
      <c r="NCJ83" s="248" t="str">
        <f t="shared" si="154"/>
        <v/>
      </c>
      <c r="NCK83" s="248" t="str">
        <f t="shared" si="154"/>
        <v/>
      </c>
      <c r="NCL83" s="248" t="str">
        <f t="shared" si="154"/>
        <v/>
      </c>
      <c r="NCM83" s="248" t="str">
        <f t="shared" si="154"/>
        <v/>
      </c>
      <c r="NCN83" s="248" t="str">
        <f t="shared" si="154"/>
        <v/>
      </c>
      <c r="NCO83" s="248" t="str">
        <f t="shared" si="154"/>
        <v/>
      </c>
      <c r="NCP83" s="248" t="str">
        <f t="shared" si="154"/>
        <v/>
      </c>
      <c r="NCQ83" s="248" t="str">
        <f t="shared" si="154"/>
        <v/>
      </c>
      <c r="NCR83" s="248" t="str">
        <f t="shared" si="154"/>
        <v/>
      </c>
      <c r="NCS83" s="248" t="str">
        <f t="shared" si="154"/>
        <v/>
      </c>
      <c r="NCT83" s="248" t="str">
        <f t="shared" si="154"/>
        <v/>
      </c>
      <c r="NCU83" s="248" t="str">
        <f t="shared" si="154"/>
        <v/>
      </c>
      <c r="NCV83" s="248" t="str">
        <f t="shared" si="154"/>
        <v/>
      </c>
      <c r="NCW83" s="248" t="str">
        <f t="shared" si="154"/>
        <v/>
      </c>
      <c r="NCX83" s="248" t="str">
        <f t="shared" si="154"/>
        <v/>
      </c>
      <c r="NCY83" s="248" t="str">
        <f t="shared" ref="NCY83:NFJ83" si="155">UPPER(NCW83)</f>
        <v/>
      </c>
      <c r="NCZ83" s="248" t="str">
        <f t="shared" si="155"/>
        <v/>
      </c>
      <c r="NDA83" s="248" t="str">
        <f t="shared" si="155"/>
        <v/>
      </c>
      <c r="NDB83" s="248" t="str">
        <f t="shared" si="155"/>
        <v/>
      </c>
      <c r="NDC83" s="248" t="str">
        <f t="shared" si="155"/>
        <v/>
      </c>
      <c r="NDD83" s="248" t="str">
        <f t="shared" si="155"/>
        <v/>
      </c>
      <c r="NDE83" s="248" t="str">
        <f t="shared" si="155"/>
        <v/>
      </c>
      <c r="NDF83" s="248" t="str">
        <f t="shared" si="155"/>
        <v/>
      </c>
      <c r="NDG83" s="248" t="str">
        <f t="shared" si="155"/>
        <v/>
      </c>
      <c r="NDH83" s="248" t="str">
        <f t="shared" si="155"/>
        <v/>
      </c>
      <c r="NDI83" s="248" t="str">
        <f t="shared" si="155"/>
        <v/>
      </c>
      <c r="NDJ83" s="248" t="str">
        <f t="shared" si="155"/>
        <v/>
      </c>
      <c r="NDK83" s="248" t="str">
        <f t="shared" si="155"/>
        <v/>
      </c>
      <c r="NDL83" s="248" t="str">
        <f t="shared" si="155"/>
        <v/>
      </c>
      <c r="NDM83" s="248" t="str">
        <f t="shared" si="155"/>
        <v/>
      </c>
      <c r="NDN83" s="248" t="str">
        <f t="shared" si="155"/>
        <v/>
      </c>
      <c r="NDO83" s="248" t="str">
        <f t="shared" si="155"/>
        <v/>
      </c>
      <c r="NDP83" s="248" t="str">
        <f t="shared" si="155"/>
        <v/>
      </c>
      <c r="NDQ83" s="248" t="str">
        <f t="shared" si="155"/>
        <v/>
      </c>
      <c r="NDR83" s="248" t="str">
        <f t="shared" si="155"/>
        <v/>
      </c>
      <c r="NDS83" s="248" t="str">
        <f t="shared" si="155"/>
        <v/>
      </c>
      <c r="NDT83" s="248" t="str">
        <f t="shared" si="155"/>
        <v/>
      </c>
      <c r="NDU83" s="248" t="str">
        <f t="shared" si="155"/>
        <v/>
      </c>
      <c r="NDV83" s="248" t="str">
        <f t="shared" si="155"/>
        <v/>
      </c>
      <c r="NDW83" s="248" t="str">
        <f t="shared" si="155"/>
        <v/>
      </c>
      <c r="NDX83" s="248" t="str">
        <f t="shared" si="155"/>
        <v/>
      </c>
      <c r="NDY83" s="248" t="str">
        <f t="shared" si="155"/>
        <v/>
      </c>
      <c r="NDZ83" s="248" t="str">
        <f t="shared" si="155"/>
        <v/>
      </c>
      <c r="NEA83" s="248" t="str">
        <f t="shared" si="155"/>
        <v/>
      </c>
      <c r="NEB83" s="248" t="str">
        <f t="shared" si="155"/>
        <v/>
      </c>
      <c r="NEC83" s="248" t="str">
        <f t="shared" si="155"/>
        <v/>
      </c>
      <c r="NED83" s="248" t="str">
        <f t="shared" si="155"/>
        <v/>
      </c>
      <c r="NEE83" s="248" t="str">
        <f t="shared" si="155"/>
        <v/>
      </c>
      <c r="NEF83" s="248" t="str">
        <f t="shared" si="155"/>
        <v/>
      </c>
      <c r="NEG83" s="248" t="str">
        <f t="shared" si="155"/>
        <v/>
      </c>
      <c r="NEH83" s="248" t="str">
        <f t="shared" si="155"/>
        <v/>
      </c>
      <c r="NEI83" s="248" t="str">
        <f t="shared" si="155"/>
        <v/>
      </c>
      <c r="NEJ83" s="248" t="str">
        <f t="shared" si="155"/>
        <v/>
      </c>
      <c r="NEK83" s="248" t="str">
        <f t="shared" si="155"/>
        <v/>
      </c>
      <c r="NEL83" s="248" t="str">
        <f t="shared" si="155"/>
        <v/>
      </c>
      <c r="NEM83" s="248" t="str">
        <f t="shared" si="155"/>
        <v/>
      </c>
      <c r="NEN83" s="248" t="str">
        <f t="shared" si="155"/>
        <v/>
      </c>
      <c r="NEO83" s="248" t="str">
        <f t="shared" si="155"/>
        <v/>
      </c>
      <c r="NEP83" s="248" t="str">
        <f t="shared" si="155"/>
        <v/>
      </c>
      <c r="NEQ83" s="248" t="str">
        <f t="shared" si="155"/>
        <v/>
      </c>
      <c r="NER83" s="248" t="str">
        <f t="shared" si="155"/>
        <v/>
      </c>
      <c r="NES83" s="248" t="str">
        <f t="shared" si="155"/>
        <v/>
      </c>
      <c r="NET83" s="248" t="str">
        <f t="shared" si="155"/>
        <v/>
      </c>
      <c r="NEU83" s="248" t="str">
        <f t="shared" si="155"/>
        <v/>
      </c>
      <c r="NEV83" s="248" t="str">
        <f t="shared" si="155"/>
        <v/>
      </c>
      <c r="NEW83" s="248" t="str">
        <f t="shared" si="155"/>
        <v/>
      </c>
      <c r="NEX83" s="248" t="str">
        <f t="shared" si="155"/>
        <v/>
      </c>
      <c r="NEY83" s="248" t="str">
        <f t="shared" si="155"/>
        <v/>
      </c>
      <c r="NEZ83" s="248" t="str">
        <f t="shared" si="155"/>
        <v/>
      </c>
      <c r="NFA83" s="248" t="str">
        <f t="shared" si="155"/>
        <v/>
      </c>
      <c r="NFB83" s="248" t="str">
        <f t="shared" si="155"/>
        <v/>
      </c>
      <c r="NFC83" s="248" t="str">
        <f t="shared" si="155"/>
        <v/>
      </c>
      <c r="NFD83" s="248" t="str">
        <f t="shared" si="155"/>
        <v/>
      </c>
      <c r="NFE83" s="248" t="str">
        <f t="shared" si="155"/>
        <v/>
      </c>
      <c r="NFF83" s="248" t="str">
        <f t="shared" si="155"/>
        <v/>
      </c>
      <c r="NFG83" s="248" t="str">
        <f t="shared" si="155"/>
        <v/>
      </c>
      <c r="NFH83" s="248" t="str">
        <f t="shared" si="155"/>
        <v/>
      </c>
      <c r="NFI83" s="248" t="str">
        <f t="shared" si="155"/>
        <v/>
      </c>
      <c r="NFJ83" s="248" t="str">
        <f t="shared" si="155"/>
        <v/>
      </c>
      <c r="NFK83" s="248" t="str">
        <f t="shared" ref="NFK83:NHV83" si="156">UPPER(NFI83)</f>
        <v/>
      </c>
      <c r="NFL83" s="248" t="str">
        <f t="shared" si="156"/>
        <v/>
      </c>
      <c r="NFM83" s="248" t="str">
        <f t="shared" si="156"/>
        <v/>
      </c>
      <c r="NFN83" s="248" t="str">
        <f t="shared" si="156"/>
        <v/>
      </c>
      <c r="NFO83" s="248" t="str">
        <f t="shared" si="156"/>
        <v/>
      </c>
      <c r="NFP83" s="248" t="str">
        <f t="shared" si="156"/>
        <v/>
      </c>
      <c r="NFQ83" s="248" t="str">
        <f t="shared" si="156"/>
        <v/>
      </c>
      <c r="NFR83" s="248" t="str">
        <f t="shared" si="156"/>
        <v/>
      </c>
      <c r="NFS83" s="248" t="str">
        <f t="shared" si="156"/>
        <v/>
      </c>
      <c r="NFT83" s="248" t="str">
        <f t="shared" si="156"/>
        <v/>
      </c>
      <c r="NFU83" s="248" t="str">
        <f t="shared" si="156"/>
        <v/>
      </c>
      <c r="NFV83" s="248" t="str">
        <f t="shared" si="156"/>
        <v/>
      </c>
      <c r="NFW83" s="248" t="str">
        <f t="shared" si="156"/>
        <v/>
      </c>
      <c r="NFX83" s="248" t="str">
        <f t="shared" si="156"/>
        <v/>
      </c>
      <c r="NFY83" s="248" t="str">
        <f t="shared" si="156"/>
        <v/>
      </c>
      <c r="NFZ83" s="248" t="str">
        <f t="shared" si="156"/>
        <v/>
      </c>
      <c r="NGA83" s="248" t="str">
        <f t="shared" si="156"/>
        <v/>
      </c>
      <c r="NGB83" s="248" t="str">
        <f t="shared" si="156"/>
        <v/>
      </c>
      <c r="NGC83" s="248" t="str">
        <f t="shared" si="156"/>
        <v/>
      </c>
      <c r="NGD83" s="248" t="str">
        <f t="shared" si="156"/>
        <v/>
      </c>
      <c r="NGE83" s="248" t="str">
        <f t="shared" si="156"/>
        <v/>
      </c>
      <c r="NGF83" s="248" t="str">
        <f t="shared" si="156"/>
        <v/>
      </c>
      <c r="NGG83" s="248" t="str">
        <f t="shared" si="156"/>
        <v/>
      </c>
      <c r="NGH83" s="248" t="str">
        <f t="shared" si="156"/>
        <v/>
      </c>
      <c r="NGI83" s="248" t="str">
        <f t="shared" si="156"/>
        <v/>
      </c>
      <c r="NGJ83" s="248" t="str">
        <f t="shared" si="156"/>
        <v/>
      </c>
      <c r="NGK83" s="248" t="str">
        <f t="shared" si="156"/>
        <v/>
      </c>
      <c r="NGL83" s="248" t="str">
        <f t="shared" si="156"/>
        <v/>
      </c>
      <c r="NGM83" s="248" t="str">
        <f t="shared" si="156"/>
        <v/>
      </c>
      <c r="NGN83" s="248" t="str">
        <f t="shared" si="156"/>
        <v/>
      </c>
      <c r="NGO83" s="248" t="str">
        <f t="shared" si="156"/>
        <v/>
      </c>
      <c r="NGP83" s="248" t="str">
        <f t="shared" si="156"/>
        <v/>
      </c>
      <c r="NGQ83" s="248" t="str">
        <f t="shared" si="156"/>
        <v/>
      </c>
      <c r="NGR83" s="248" t="str">
        <f t="shared" si="156"/>
        <v/>
      </c>
      <c r="NGS83" s="248" t="str">
        <f t="shared" si="156"/>
        <v/>
      </c>
      <c r="NGT83" s="248" t="str">
        <f t="shared" si="156"/>
        <v/>
      </c>
      <c r="NGU83" s="248" t="str">
        <f t="shared" si="156"/>
        <v/>
      </c>
      <c r="NGV83" s="248" t="str">
        <f t="shared" si="156"/>
        <v/>
      </c>
      <c r="NGW83" s="248" t="str">
        <f t="shared" si="156"/>
        <v/>
      </c>
      <c r="NGX83" s="248" t="str">
        <f t="shared" si="156"/>
        <v/>
      </c>
      <c r="NGY83" s="248" t="str">
        <f t="shared" si="156"/>
        <v/>
      </c>
      <c r="NGZ83" s="248" t="str">
        <f t="shared" si="156"/>
        <v/>
      </c>
      <c r="NHA83" s="248" t="str">
        <f t="shared" si="156"/>
        <v/>
      </c>
      <c r="NHB83" s="248" t="str">
        <f t="shared" si="156"/>
        <v/>
      </c>
      <c r="NHC83" s="248" t="str">
        <f t="shared" si="156"/>
        <v/>
      </c>
      <c r="NHD83" s="248" t="str">
        <f t="shared" si="156"/>
        <v/>
      </c>
      <c r="NHE83" s="248" t="str">
        <f t="shared" si="156"/>
        <v/>
      </c>
      <c r="NHF83" s="248" t="str">
        <f t="shared" si="156"/>
        <v/>
      </c>
      <c r="NHG83" s="248" t="str">
        <f t="shared" si="156"/>
        <v/>
      </c>
      <c r="NHH83" s="248" t="str">
        <f t="shared" si="156"/>
        <v/>
      </c>
      <c r="NHI83" s="248" t="str">
        <f t="shared" si="156"/>
        <v/>
      </c>
      <c r="NHJ83" s="248" t="str">
        <f t="shared" si="156"/>
        <v/>
      </c>
      <c r="NHK83" s="248" t="str">
        <f t="shared" si="156"/>
        <v/>
      </c>
      <c r="NHL83" s="248" t="str">
        <f t="shared" si="156"/>
        <v/>
      </c>
      <c r="NHM83" s="248" t="str">
        <f t="shared" si="156"/>
        <v/>
      </c>
      <c r="NHN83" s="248" t="str">
        <f t="shared" si="156"/>
        <v/>
      </c>
      <c r="NHO83" s="248" t="str">
        <f t="shared" si="156"/>
        <v/>
      </c>
      <c r="NHP83" s="248" t="str">
        <f t="shared" si="156"/>
        <v/>
      </c>
      <c r="NHQ83" s="248" t="str">
        <f t="shared" si="156"/>
        <v/>
      </c>
      <c r="NHR83" s="248" t="str">
        <f t="shared" si="156"/>
        <v/>
      </c>
      <c r="NHS83" s="248" t="str">
        <f t="shared" si="156"/>
        <v/>
      </c>
      <c r="NHT83" s="248" t="str">
        <f t="shared" si="156"/>
        <v/>
      </c>
      <c r="NHU83" s="248" t="str">
        <f t="shared" si="156"/>
        <v/>
      </c>
      <c r="NHV83" s="248" t="str">
        <f t="shared" si="156"/>
        <v/>
      </c>
      <c r="NHW83" s="248" t="str">
        <f t="shared" ref="NHW83:NKH83" si="157">UPPER(NHU83)</f>
        <v/>
      </c>
      <c r="NHX83" s="248" t="str">
        <f t="shared" si="157"/>
        <v/>
      </c>
      <c r="NHY83" s="248" t="str">
        <f t="shared" si="157"/>
        <v/>
      </c>
      <c r="NHZ83" s="248" t="str">
        <f t="shared" si="157"/>
        <v/>
      </c>
      <c r="NIA83" s="248" t="str">
        <f t="shared" si="157"/>
        <v/>
      </c>
      <c r="NIB83" s="248" t="str">
        <f t="shared" si="157"/>
        <v/>
      </c>
      <c r="NIC83" s="248" t="str">
        <f t="shared" si="157"/>
        <v/>
      </c>
      <c r="NID83" s="248" t="str">
        <f t="shared" si="157"/>
        <v/>
      </c>
      <c r="NIE83" s="248" t="str">
        <f t="shared" si="157"/>
        <v/>
      </c>
      <c r="NIF83" s="248" t="str">
        <f t="shared" si="157"/>
        <v/>
      </c>
      <c r="NIG83" s="248" t="str">
        <f t="shared" si="157"/>
        <v/>
      </c>
      <c r="NIH83" s="248" t="str">
        <f t="shared" si="157"/>
        <v/>
      </c>
      <c r="NII83" s="248" t="str">
        <f t="shared" si="157"/>
        <v/>
      </c>
      <c r="NIJ83" s="248" t="str">
        <f t="shared" si="157"/>
        <v/>
      </c>
      <c r="NIK83" s="248" t="str">
        <f t="shared" si="157"/>
        <v/>
      </c>
      <c r="NIL83" s="248" t="str">
        <f t="shared" si="157"/>
        <v/>
      </c>
      <c r="NIM83" s="248" t="str">
        <f t="shared" si="157"/>
        <v/>
      </c>
      <c r="NIN83" s="248" t="str">
        <f t="shared" si="157"/>
        <v/>
      </c>
      <c r="NIO83" s="248" t="str">
        <f t="shared" si="157"/>
        <v/>
      </c>
      <c r="NIP83" s="248" t="str">
        <f t="shared" si="157"/>
        <v/>
      </c>
      <c r="NIQ83" s="248" t="str">
        <f t="shared" si="157"/>
        <v/>
      </c>
      <c r="NIR83" s="248" t="str">
        <f t="shared" si="157"/>
        <v/>
      </c>
      <c r="NIS83" s="248" t="str">
        <f t="shared" si="157"/>
        <v/>
      </c>
      <c r="NIT83" s="248" t="str">
        <f t="shared" si="157"/>
        <v/>
      </c>
      <c r="NIU83" s="248" t="str">
        <f t="shared" si="157"/>
        <v/>
      </c>
      <c r="NIV83" s="248" t="str">
        <f t="shared" si="157"/>
        <v/>
      </c>
      <c r="NIW83" s="248" t="str">
        <f t="shared" si="157"/>
        <v/>
      </c>
      <c r="NIX83" s="248" t="str">
        <f t="shared" si="157"/>
        <v/>
      </c>
      <c r="NIY83" s="248" t="str">
        <f t="shared" si="157"/>
        <v/>
      </c>
      <c r="NIZ83" s="248" t="str">
        <f t="shared" si="157"/>
        <v/>
      </c>
      <c r="NJA83" s="248" t="str">
        <f t="shared" si="157"/>
        <v/>
      </c>
      <c r="NJB83" s="248" t="str">
        <f t="shared" si="157"/>
        <v/>
      </c>
      <c r="NJC83" s="248" t="str">
        <f t="shared" si="157"/>
        <v/>
      </c>
      <c r="NJD83" s="248" t="str">
        <f t="shared" si="157"/>
        <v/>
      </c>
      <c r="NJE83" s="248" t="str">
        <f t="shared" si="157"/>
        <v/>
      </c>
      <c r="NJF83" s="248" t="str">
        <f t="shared" si="157"/>
        <v/>
      </c>
      <c r="NJG83" s="248" t="str">
        <f t="shared" si="157"/>
        <v/>
      </c>
      <c r="NJH83" s="248" t="str">
        <f t="shared" si="157"/>
        <v/>
      </c>
      <c r="NJI83" s="248" t="str">
        <f t="shared" si="157"/>
        <v/>
      </c>
      <c r="NJJ83" s="248" t="str">
        <f t="shared" si="157"/>
        <v/>
      </c>
      <c r="NJK83" s="248" t="str">
        <f t="shared" si="157"/>
        <v/>
      </c>
      <c r="NJL83" s="248" t="str">
        <f t="shared" si="157"/>
        <v/>
      </c>
      <c r="NJM83" s="248" t="str">
        <f t="shared" si="157"/>
        <v/>
      </c>
      <c r="NJN83" s="248" t="str">
        <f t="shared" si="157"/>
        <v/>
      </c>
      <c r="NJO83" s="248" t="str">
        <f t="shared" si="157"/>
        <v/>
      </c>
      <c r="NJP83" s="248" t="str">
        <f t="shared" si="157"/>
        <v/>
      </c>
      <c r="NJQ83" s="248" t="str">
        <f t="shared" si="157"/>
        <v/>
      </c>
      <c r="NJR83" s="248" t="str">
        <f t="shared" si="157"/>
        <v/>
      </c>
      <c r="NJS83" s="248" t="str">
        <f t="shared" si="157"/>
        <v/>
      </c>
      <c r="NJT83" s="248" t="str">
        <f t="shared" si="157"/>
        <v/>
      </c>
      <c r="NJU83" s="248" t="str">
        <f t="shared" si="157"/>
        <v/>
      </c>
      <c r="NJV83" s="248" t="str">
        <f t="shared" si="157"/>
        <v/>
      </c>
      <c r="NJW83" s="248" t="str">
        <f t="shared" si="157"/>
        <v/>
      </c>
      <c r="NJX83" s="248" t="str">
        <f t="shared" si="157"/>
        <v/>
      </c>
      <c r="NJY83" s="248" t="str">
        <f t="shared" si="157"/>
        <v/>
      </c>
      <c r="NJZ83" s="248" t="str">
        <f t="shared" si="157"/>
        <v/>
      </c>
      <c r="NKA83" s="248" t="str">
        <f t="shared" si="157"/>
        <v/>
      </c>
      <c r="NKB83" s="248" t="str">
        <f t="shared" si="157"/>
        <v/>
      </c>
      <c r="NKC83" s="248" t="str">
        <f t="shared" si="157"/>
        <v/>
      </c>
      <c r="NKD83" s="248" t="str">
        <f t="shared" si="157"/>
        <v/>
      </c>
      <c r="NKE83" s="248" t="str">
        <f t="shared" si="157"/>
        <v/>
      </c>
      <c r="NKF83" s="248" t="str">
        <f t="shared" si="157"/>
        <v/>
      </c>
      <c r="NKG83" s="248" t="str">
        <f t="shared" si="157"/>
        <v/>
      </c>
      <c r="NKH83" s="248" t="str">
        <f t="shared" si="157"/>
        <v/>
      </c>
      <c r="NKI83" s="248" t="str">
        <f t="shared" ref="NKI83:NMT83" si="158">UPPER(NKG83)</f>
        <v/>
      </c>
      <c r="NKJ83" s="248" t="str">
        <f t="shared" si="158"/>
        <v/>
      </c>
      <c r="NKK83" s="248" t="str">
        <f t="shared" si="158"/>
        <v/>
      </c>
      <c r="NKL83" s="248" t="str">
        <f t="shared" si="158"/>
        <v/>
      </c>
      <c r="NKM83" s="248" t="str">
        <f t="shared" si="158"/>
        <v/>
      </c>
      <c r="NKN83" s="248" t="str">
        <f t="shared" si="158"/>
        <v/>
      </c>
      <c r="NKO83" s="248" t="str">
        <f t="shared" si="158"/>
        <v/>
      </c>
      <c r="NKP83" s="248" t="str">
        <f t="shared" si="158"/>
        <v/>
      </c>
      <c r="NKQ83" s="248" t="str">
        <f t="shared" si="158"/>
        <v/>
      </c>
      <c r="NKR83" s="248" t="str">
        <f t="shared" si="158"/>
        <v/>
      </c>
      <c r="NKS83" s="248" t="str">
        <f t="shared" si="158"/>
        <v/>
      </c>
      <c r="NKT83" s="248" t="str">
        <f t="shared" si="158"/>
        <v/>
      </c>
      <c r="NKU83" s="248" t="str">
        <f t="shared" si="158"/>
        <v/>
      </c>
      <c r="NKV83" s="248" t="str">
        <f t="shared" si="158"/>
        <v/>
      </c>
      <c r="NKW83" s="248" t="str">
        <f t="shared" si="158"/>
        <v/>
      </c>
      <c r="NKX83" s="248" t="str">
        <f t="shared" si="158"/>
        <v/>
      </c>
      <c r="NKY83" s="248" t="str">
        <f t="shared" si="158"/>
        <v/>
      </c>
      <c r="NKZ83" s="248" t="str">
        <f t="shared" si="158"/>
        <v/>
      </c>
      <c r="NLA83" s="248" t="str">
        <f t="shared" si="158"/>
        <v/>
      </c>
      <c r="NLB83" s="248" t="str">
        <f t="shared" si="158"/>
        <v/>
      </c>
      <c r="NLC83" s="248" t="str">
        <f t="shared" si="158"/>
        <v/>
      </c>
      <c r="NLD83" s="248" t="str">
        <f t="shared" si="158"/>
        <v/>
      </c>
      <c r="NLE83" s="248" t="str">
        <f t="shared" si="158"/>
        <v/>
      </c>
      <c r="NLF83" s="248" t="str">
        <f t="shared" si="158"/>
        <v/>
      </c>
      <c r="NLG83" s="248" t="str">
        <f t="shared" si="158"/>
        <v/>
      </c>
      <c r="NLH83" s="248" t="str">
        <f t="shared" si="158"/>
        <v/>
      </c>
      <c r="NLI83" s="248" t="str">
        <f t="shared" si="158"/>
        <v/>
      </c>
      <c r="NLJ83" s="248" t="str">
        <f t="shared" si="158"/>
        <v/>
      </c>
      <c r="NLK83" s="248" t="str">
        <f t="shared" si="158"/>
        <v/>
      </c>
      <c r="NLL83" s="248" t="str">
        <f t="shared" si="158"/>
        <v/>
      </c>
      <c r="NLM83" s="248" t="str">
        <f t="shared" si="158"/>
        <v/>
      </c>
      <c r="NLN83" s="248" t="str">
        <f t="shared" si="158"/>
        <v/>
      </c>
      <c r="NLO83" s="248" t="str">
        <f t="shared" si="158"/>
        <v/>
      </c>
      <c r="NLP83" s="248" t="str">
        <f t="shared" si="158"/>
        <v/>
      </c>
      <c r="NLQ83" s="248" t="str">
        <f t="shared" si="158"/>
        <v/>
      </c>
      <c r="NLR83" s="248" t="str">
        <f t="shared" si="158"/>
        <v/>
      </c>
      <c r="NLS83" s="248" t="str">
        <f t="shared" si="158"/>
        <v/>
      </c>
      <c r="NLT83" s="248" t="str">
        <f t="shared" si="158"/>
        <v/>
      </c>
      <c r="NLU83" s="248" t="str">
        <f t="shared" si="158"/>
        <v/>
      </c>
      <c r="NLV83" s="248" t="str">
        <f t="shared" si="158"/>
        <v/>
      </c>
      <c r="NLW83" s="248" t="str">
        <f t="shared" si="158"/>
        <v/>
      </c>
      <c r="NLX83" s="248" t="str">
        <f t="shared" si="158"/>
        <v/>
      </c>
      <c r="NLY83" s="248" t="str">
        <f t="shared" si="158"/>
        <v/>
      </c>
      <c r="NLZ83" s="248" t="str">
        <f t="shared" si="158"/>
        <v/>
      </c>
      <c r="NMA83" s="248" t="str">
        <f t="shared" si="158"/>
        <v/>
      </c>
      <c r="NMB83" s="248" t="str">
        <f t="shared" si="158"/>
        <v/>
      </c>
      <c r="NMC83" s="248" t="str">
        <f t="shared" si="158"/>
        <v/>
      </c>
      <c r="NMD83" s="248" t="str">
        <f t="shared" si="158"/>
        <v/>
      </c>
      <c r="NME83" s="248" t="str">
        <f t="shared" si="158"/>
        <v/>
      </c>
      <c r="NMF83" s="248" t="str">
        <f t="shared" si="158"/>
        <v/>
      </c>
      <c r="NMG83" s="248" t="str">
        <f t="shared" si="158"/>
        <v/>
      </c>
      <c r="NMH83" s="248" t="str">
        <f t="shared" si="158"/>
        <v/>
      </c>
      <c r="NMI83" s="248" t="str">
        <f t="shared" si="158"/>
        <v/>
      </c>
      <c r="NMJ83" s="248" t="str">
        <f t="shared" si="158"/>
        <v/>
      </c>
      <c r="NMK83" s="248" t="str">
        <f t="shared" si="158"/>
        <v/>
      </c>
      <c r="NML83" s="248" t="str">
        <f t="shared" si="158"/>
        <v/>
      </c>
      <c r="NMM83" s="248" t="str">
        <f t="shared" si="158"/>
        <v/>
      </c>
      <c r="NMN83" s="248" t="str">
        <f t="shared" si="158"/>
        <v/>
      </c>
      <c r="NMO83" s="248" t="str">
        <f t="shared" si="158"/>
        <v/>
      </c>
      <c r="NMP83" s="248" t="str">
        <f t="shared" si="158"/>
        <v/>
      </c>
      <c r="NMQ83" s="248" t="str">
        <f t="shared" si="158"/>
        <v/>
      </c>
      <c r="NMR83" s="248" t="str">
        <f t="shared" si="158"/>
        <v/>
      </c>
      <c r="NMS83" s="248" t="str">
        <f t="shared" si="158"/>
        <v/>
      </c>
      <c r="NMT83" s="248" t="str">
        <f t="shared" si="158"/>
        <v/>
      </c>
      <c r="NMU83" s="248" t="str">
        <f t="shared" ref="NMU83:NPF83" si="159">UPPER(NMS83)</f>
        <v/>
      </c>
      <c r="NMV83" s="248" t="str">
        <f t="shared" si="159"/>
        <v/>
      </c>
      <c r="NMW83" s="248" t="str">
        <f t="shared" si="159"/>
        <v/>
      </c>
      <c r="NMX83" s="248" t="str">
        <f t="shared" si="159"/>
        <v/>
      </c>
      <c r="NMY83" s="248" t="str">
        <f t="shared" si="159"/>
        <v/>
      </c>
      <c r="NMZ83" s="248" t="str">
        <f t="shared" si="159"/>
        <v/>
      </c>
      <c r="NNA83" s="248" t="str">
        <f t="shared" si="159"/>
        <v/>
      </c>
      <c r="NNB83" s="248" t="str">
        <f t="shared" si="159"/>
        <v/>
      </c>
      <c r="NNC83" s="248" t="str">
        <f t="shared" si="159"/>
        <v/>
      </c>
      <c r="NND83" s="248" t="str">
        <f t="shared" si="159"/>
        <v/>
      </c>
      <c r="NNE83" s="248" t="str">
        <f t="shared" si="159"/>
        <v/>
      </c>
      <c r="NNF83" s="248" t="str">
        <f t="shared" si="159"/>
        <v/>
      </c>
      <c r="NNG83" s="248" t="str">
        <f t="shared" si="159"/>
        <v/>
      </c>
      <c r="NNH83" s="248" t="str">
        <f t="shared" si="159"/>
        <v/>
      </c>
      <c r="NNI83" s="248" t="str">
        <f t="shared" si="159"/>
        <v/>
      </c>
      <c r="NNJ83" s="248" t="str">
        <f t="shared" si="159"/>
        <v/>
      </c>
      <c r="NNK83" s="248" t="str">
        <f t="shared" si="159"/>
        <v/>
      </c>
      <c r="NNL83" s="248" t="str">
        <f t="shared" si="159"/>
        <v/>
      </c>
      <c r="NNM83" s="248" t="str">
        <f t="shared" si="159"/>
        <v/>
      </c>
      <c r="NNN83" s="248" t="str">
        <f t="shared" si="159"/>
        <v/>
      </c>
      <c r="NNO83" s="248" t="str">
        <f t="shared" si="159"/>
        <v/>
      </c>
      <c r="NNP83" s="248" t="str">
        <f t="shared" si="159"/>
        <v/>
      </c>
      <c r="NNQ83" s="248" t="str">
        <f t="shared" si="159"/>
        <v/>
      </c>
      <c r="NNR83" s="248" t="str">
        <f t="shared" si="159"/>
        <v/>
      </c>
      <c r="NNS83" s="248" t="str">
        <f t="shared" si="159"/>
        <v/>
      </c>
      <c r="NNT83" s="248" t="str">
        <f t="shared" si="159"/>
        <v/>
      </c>
      <c r="NNU83" s="248" t="str">
        <f t="shared" si="159"/>
        <v/>
      </c>
      <c r="NNV83" s="248" t="str">
        <f t="shared" si="159"/>
        <v/>
      </c>
      <c r="NNW83" s="248" t="str">
        <f t="shared" si="159"/>
        <v/>
      </c>
      <c r="NNX83" s="248" t="str">
        <f t="shared" si="159"/>
        <v/>
      </c>
      <c r="NNY83" s="248" t="str">
        <f t="shared" si="159"/>
        <v/>
      </c>
      <c r="NNZ83" s="248" t="str">
        <f t="shared" si="159"/>
        <v/>
      </c>
      <c r="NOA83" s="248" t="str">
        <f t="shared" si="159"/>
        <v/>
      </c>
      <c r="NOB83" s="248" t="str">
        <f t="shared" si="159"/>
        <v/>
      </c>
      <c r="NOC83" s="248" t="str">
        <f t="shared" si="159"/>
        <v/>
      </c>
      <c r="NOD83" s="248" t="str">
        <f t="shared" si="159"/>
        <v/>
      </c>
      <c r="NOE83" s="248" t="str">
        <f t="shared" si="159"/>
        <v/>
      </c>
      <c r="NOF83" s="248" t="str">
        <f t="shared" si="159"/>
        <v/>
      </c>
      <c r="NOG83" s="248" t="str">
        <f t="shared" si="159"/>
        <v/>
      </c>
      <c r="NOH83" s="248" t="str">
        <f t="shared" si="159"/>
        <v/>
      </c>
      <c r="NOI83" s="248" t="str">
        <f t="shared" si="159"/>
        <v/>
      </c>
      <c r="NOJ83" s="248" t="str">
        <f t="shared" si="159"/>
        <v/>
      </c>
      <c r="NOK83" s="248" t="str">
        <f t="shared" si="159"/>
        <v/>
      </c>
      <c r="NOL83" s="248" t="str">
        <f t="shared" si="159"/>
        <v/>
      </c>
      <c r="NOM83" s="248" t="str">
        <f t="shared" si="159"/>
        <v/>
      </c>
      <c r="NON83" s="248" t="str">
        <f t="shared" si="159"/>
        <v/>
      </c>
      <c r="NOO83" s="248" t="str">
        <f t="shared" si="159"/>
        <v/>
      </c>
      <c r="NOP83" s="248" t="str">
        <f t="shared" si="159"/>
        <v/>
      </c>
      <c r="NOQ83" s="248" t="str">
        <f t="shared" si="159"/>
        <v/>
      </c>
      <c r="NOR83" s="248" t="str">
        <f t="shared" si="159"/>
        <v/>
      </c>
      <c r="NOS83" s="248" t="str">
        <f t="shared" si="159"/>
        <v/>
      </c>
      <c r="NOT83" s="248" t="str">
        <f t="shared" si="159"/>
        <v/>
      </c>
      <c r="NOU83" s="248" t="str">
        <f t="shared" si="159"/>
        <v/>
      </c>
      <c r="NOV83" s="248" t="str">
        <f t="shared" si="159"/>
        <v/>
      </c>
      <c r="NOW83" s="248" t="str">
        <f t="shared" si="159"/>
        <v/>
      </c>
      <c r="NOX83" s="248" t="str">
        <f t="shared" si="159"/>
        <v/>
      </c>
      <c r="NOY83" s="248" t="str">
        <f t="shared" si="159"/>
        <v/>
      </c>
      <c r="NOZ83" s="248" t="str">
        <f t="shared" si="159"/>
        <v/>
      </c>
      <c r="NPA83" s="248" t="str">
        <f t="shared" si="159"/>
        <v/>
      </c>
      <c r="NPB83" s="248" t="str">
        <f t="shared" si="159"/>
        <v/>
      </c>
      <c r="NPC83" s="248" t="str">
        <f t="shared" si="159"/>
        <v/>
      </c>
      <c r="NPD83" s="248" t="str">
        <f t="shared" si="159"/>
        <v/>
      </c>
      <c r="NPE83" s="248" t="str">
        <f t="shared" si="159"/>
        <v/>
      </c>
      <c r="NPF83" s="248" t="str">
        <f t="shared" si="159"/>
        <v/>
      </c>
      <c r="NPG83" s="248" t="str">
        <f t="shared" ref="NPG83:NRR83" si="160">UPPER(NPE83)</f>
        <v/>
      </c>
      <c r="NPH83" s="248" t="str">
        <f t="shared" si="160"/>
        <v/>
      </c>
      <c r="NPI83" s="248" t="str">
        <f t="shared" si="160"/>
        <v/>
      </c>
      <c r="NPJ83" s="248" t="str">
        <f t="shared" si="160"/>
        <v/>
      </c>
      <c r="NPK83" s="248" t="str">
        <f t="shared" si="160"/>
        <v/>
      </c>
      <c r="NPL83" s="248" t="str">
        <f t="shared" si="160"/>
        <v/>
      </c>
      <c r="NPM83" s="248" t="str">
        <f t="shared" si="160"/>
        <v/>
      </c>
      <c r="NPN83" s="248" t="str">
        <f t="shared" si="160"/>
        <v/>
      </c>
      <c r="NPO83" s="248" t="str">
        <f t="shared" si="160"/>
        <v/>
      </c>
      <c r="NPP83" s="248" t="str">
        <f t="shared" si="160"/>
        <v/>
      </c>
      <c r="NPQ83" s="248" t="str">
        <f t="shared" si="160"/>
        <v/>
      </c>
      <c r="NPR83" s="248" t="str">
        <f t="shared" si="160"/>
        <v/>
      </c>
      <c r="NPS83" s="248" t="str">
        <f t="shared" si="160"/>
        <v/>
      </c>
      <c r="NPT83" s="248" t="str">
        <f t="shared" si="160"/>
        <v/>
      </c>
      <c r="NPU83" s="248" t="str">
        <f t="shared" si="160"/>
        <v/>
      </c>
      <c r="NPV83" s="248" t="str">
        <f t="shared" si="160"/>
        <v/>
      </c>
      <c r="NPW83" s="248" t="str">
        <f t="shared" si="160"/>
        <v/>
      </c>
      <c r="NPX83" s="248" t="str">
        <f t="shared" si="160"/>
        <v/>
      </c>
      <c r="NPY83" s="248" t="str">
        <f t="shared" si="160"/>
        <v/>
      </c>
      <c r="NPZ83" s="248" t="str">
        <f t="shared" si="160"/>
        <v/>
      </c>
      <c r="NQA83" s="248" t="str">
        <f t="shared" si="160"/>
        <v/>
      </c>
      <c r="NQB83" s="248" t="str">
        <f t="shared" si="160"/>
        <v/>
      </c>
      <c r="NQC83" s="248" t="str">
        <f t="shared" si="160"/>
        <v/>
      </c>
      <c r="NQD83" s="248" t="str">
        <f t="shared" si="160"/>
        <v/>
      </c>
      <c r="NQE83" s="248" t="str">
        <f t="shared" si="160"/>
        <v/>
      </c>
      <c r="NQF83" s="248" t="str">
        <f t="shared" si="160"/>
        <v/>
      </c>
      <c r="NQG83" s="248" t="str">
        <f t="shared" si="160"/>
        <v/>
      </c>
      <c r="NQH83" s="248" t="str">
        <f t="shared" si="160"/>
        <v/>
      </c>
      <c r="NQI83" s="248" t="str">
        <f t="shared" si="160"/>
        <v/>
      </c>
      <c r="NQJ83" s="248" t="str">
        <f t="shared" si="160"/>
        <v/>
      </c>
      <c r="NQK83" s="248" t="str">
        <f t="shared" si="160"/>
        <v/>
      </c>
      <c r="NQL83" s="248" t="str">
        <f t="shared" si="160"/>
        <v/>
      </c>
      <c r="NQM83" s="248" t="str">
        <f t="shared" si="160"/>
        <v/>
      </c>
      <c r="NQN83" s="248" t="str">
        <f t="shared" si="160"/>
        <v/>
      </c>
      <c r="NQO83" s="248" t="str">
        <f t="shared" si="160"/>
        <v/>
      </c>
      <c r="NQP83" s="248" t="str">
        <f t="shared" si="160"/>
        <v/>
      </c>
      <c r="NQQ83" s="248" t="str">
        <f t="shared" si="160"/>
        <v/>
      </c>
      <c r="NQR83" s="248" t="str">
        <f t="shared" si="160"/>
        <v/>
      </c>
      <c r="NQS83" s="248" t="str">
        <f t="shared" si="160"/>
        <v/>
      </c>
      <c r="NQT83" s="248" t="str">
        <f t="shared" si="160"/>
        <v/>
      </c>
      <c r="NQU83" s="248" t="str">
        <f t="shared" si="160"/>
        <v/>
      </c>
      <c r="NQV83" s="248" t="str">
        <f t="shared" si="160"/>
        <v/>
      </c>
      <c r="NQW83" s="248" t="str">
        <f t="shared" si="160"/>
        <v/>
      </c>
      <c r="NQX83" s="248" t="str">
        <f t="shared" si="160"/>
        <v/>
      </c>
      <c r="NQY83" s="248" t="str">
        <f t="shared" si="160"/>
        <v/>
      </c>
      <c r="NQZ83" s="248" t="str">
        <f t="shared" si="160"/>
        <v/>
      </c>
      <c r="NRA83" s="248" t="str">
        <f t="shared" si="160"/>
        <v/>
      </c>
      <c r="NRB83" s="248" t="str">
        <f t="shared" si="160"/>
        <v/>
      </c>
      <c r="NRC83" s="248" t="str">
        <f t="shared" si="160"/>
        <v/>
      </c>
      <c r="NRD83" s="248" t="str">
        <f t="shared" si="160"/>
        <v/>
      </c>
      <c r="NRE83" s="248" t="str">
        <f t="shared" si="160"/>
        <v/>
      </c>
      <c r="NRF83" s="248" t="str">
        <f t="shared" si="160"/>
        <v/>
      </c>
      <c r="NRG83" s="248" t="str">
        <f t="shared" si="160"/>
        <v/>
      </c>
      <c r="NRH83" s="248" t="str">
        <f t="shared" si="160"/>
        <v/>
      </c>
      <c r="NRI83" s="248" t="str">
        <f t="shared" si="160"/>
        <v/>
      </c>
      <c r="NRJ83" s="248" t="str">
        <f t="shared" si="160"/>
        <v/>
      </c>
      <c r="NRK83" s="248" t="str">
        <f t="shared" si="160"/>
        <v/>
      </c>
      <c r="NRL83" s="248" t="str">
        <f t="shared" si="160"/>
        <v/>
      </c>
      <c r="NRM83" s="248" t="str">
        <f t="shared" si="160"/>
        <v/>
      </c>
      <c r="NRN83" s="248" t="str">
        <f t="shared" si="160"/>
        <v/>
      </c>
      <c r="NRO83" s="248" t="str">
        <f t="shared" si="160"/>
        <v/>
      </c>
      <c r="NRP83" s="248" t="str">
        <f t="shared" si="160"/>
        <v/>
      </c>
      <c r="NRQ83" s="248" t="str">
        <f t="shared" si="160"/>
        <v/>
      </c>
      <c r="NRR83" s="248" t="str">
        <f t="shared" si="160"/>
        <v/>
      </c>
      <c r="NRS83" s="248" t="str">
        <f t="shared" ref="NRS83:NUD83" si="161">UPPER(NRQ83)</f>
        <v/>
      </c>
      <c r="NRT83" s="248" t="str">
        <f t="shared" si="161"/>
        <v/>
      </c>
      <c r="NRU83" s="248" t="str">
        <f t="shared" si="161"/>
        <v/>
      </c>
      <c r="NRV83" s="248" t="str">
        <f t="shared" si="161"/>
        <v/>
      </c>
      <c r="NRW83" s="248" t="str">
        <f t="shared" si="161"/>
        <v/>
      </c>
      <c r="NRX83" s="248" t="str">
        <f t="shared" si="161"/>
        <v/>
      </c>
      <c r="NRY83" s="248" t="str">
        <f t="shared" si="161"/>
        <v/>
      </c>
      <c r="NRZ83" s="248" t="str">
        <f t="shared" si="161"/>
        <v/>
      </c>
      <c r="NSA83" s="248" t="str">
        <f t="shared" si="161"/>
        <v/>
      </c>
      <c r="NSB83" s="248" t="str">
        <f t="shared" si="161"/>
        <v/>
      </c>
      <c r="NSC83" s="248" t="str">
        <f t="shared" si="161"/>
        <v/>
      </c>
      <c r="NSD83" s="248" t="str">
        <f t="shared" si="161"/>
        <v/>
      </c>
      <c r="NSE83" s="248" t="str">
        <f t="shared" si="161"/>
        <v/>
      </c>
      <c r="NSF83" s="248" t="str">
        <f t="shared" si="161"/>
        <v/>
      </c>
      <c r="NSG83" s="248" t="str">
        <f t="shared" si="161"/>
        <v/>
      </c>
      <c r="NSH83" s="248" t="str">
        <f t="shared" si="161"/>
        <v/>
      </c>
      <c r="NSI83" s="248" t="str">
        <f t="shared" si="161"/>
        <v/>
      </c>
      <c r="NSJ83" s="248" t="str">
        <f t="shared" si="161"/>
        <v/>
      </c>
      <c r="NSK83" s="248" t="str">
        <f t="shared" si="161"/>
        <v/>
      </c>
      <c r="NSL83" s="248" t="str">
        <f t="shared" si="161"/>
        <v/>
      </c>
      <c r="NSM83" s="248" t="str">
        <f t="shared" si="161"/>
        <v/>
      </c>
      <c r="NSN83" s="248" t="str">
        <f t="shared" si="161"/>
        <v/>
      </c>
      <c r="NSO83" s="248" t="str">
        <f t="shared" si="161"/>
        <v/>
      </c>
      <c r="NSP83" s="248" t="str">
        <f t="shared" si="161"/>
        <v/>
      </c>
      <c r="NSQ83" s="248" t="str">
        <f t="shared" si="161"/>
        <v/>
      </c>
      <c r="NSR83" s="248" t="str">
        <f t="shared" si="161"/>
        <v/>
      </c>
      <c r="NSS83" s="248" t="str">
        <f t="shared" si="161"/>
        <v/>
      </c>
      <c r="NST83" s="248" t="str">
        <f t="shared" si="161"/>
        <v/>
      </c>
      <c r="NSU83" s="248" t="str">
        <f t="shared" si="161"/>
        <v/>
      </c>
      <c r="NSV83" s="248" t="str">
        <f t="shared" si="161"/>
        <v/>
      </c>
      <c r="NSW83" s="248" t="str">
        <f t="shared" si="161"/>
        <v/>
      </c>
      <c r="NSX83" s="248" t="str">
        <f t="shared" si="161"/>
        <v/>
      </c>
      <c r="NSY83" s="248" t="str">
        <f t="shared" si="161"/>
        <v/>
      </c>
      <c r="NSZ83" s="248" t="str">
        <f t="shared" si="161"/>
        <v/>
      </c>
      <c r="NTA83" s="248" t="str">
        <f t="shared" si="161"/>
        <v/>
      </c>
      <c r="NTB83" s="248" t="str">
        <f t="shared" si="161"/>
        <v/>
      </c>
      <c r="NTC83" s="248" t="str">
        <f t="shared" si="161"/>
        <v/>
      </c>
      <c r="NTD83" s="248" t="str">
        <f t="shared" si="161"/>
        <v/>
      </c>
      <c r="NTE83" s="248" t="str">
        <f t="shared" si="161"/>
        <v/>
      </c>
      <c r="NTF83" s="248" t="str">
        <f t="shared" si="161"/>
        <v/>
      </c>
      <c r="NTG83" s="248" t="str">
        <f t="shared" si="161"/>
        <v/>
      </c>
      <c r="NTH83" s="248" t="str">
        <f t="shared" si="161"/>
        <v/>
      </c>
      <c r="NTI83" s="248" t="str">
        <f t="shared" si="161"/>
        <v/>
      </c>
      <c r="NTJ83" s="248" t="str">
        <f t="shared" si="161"/>
        <v/>
      </c>
      <c r="NTK83" s="248" t="str">
        <f t="shared" si="161"/>
        <v/>
      </c>
      <c r="NTL83" s="248" t="str">
        <f t="shared" si="161"/>
        <v/>
      </c>
      <c r="NTM83" s="248" t="str">
        <f t="shared" si="161"/>
        <v/>
      </c>
      <c r="NTN83" s="248" t="str">
        <f t="shared" si="161"/>
        <v/>
      </c>
      <c r="NTO83" s="248" t="str">
        <f t="shared" si="161"/>
        <v/>
      </c>
      <c r="NTP83" s="248" t="str">
        <f t="shared" si="161"/>
        <v/>
      </c>
      <c r="NTQ83" s="248" t="str">
        <f t="shared" si="161"/>
        <v/>
      </c>
      <c r="NTR83" s="248" t="str">
        <f t="shared" si="161"/>
        <v/>
      </c>
      <c r="NTS83" s="248" t="str">
        <f t="shared" si="161"/>
        <v/>
      </c>
      <c r="NTT83" s="248" t="str">
        <f t="shared" si="161"/>
        <v/>
      </c>
      <c r="NTU83" s="248" t="str">
        <f t="shared" si="161"/>
        <v/>
      </c>
      <c r="NTV83" s="248" t="str">
        <f t="shared" si="161"/>
        <v/>
      </c>
      <c r="NTW83" s="248" t="str">
        <f t="shared" si="161"/>
        <v/>
      </c>
      <c r="NTX83" s="248" t="str">
        <f t="shared" si="161"/>
        <v/>
      </c>
      <c r="NTY83" s="248" t="str">
        <f t="shared" si="161"/>
        <v/>
      </c>
      <c r="NTZ83" s="248" t="str">
        <f t="shared" si="161"/>
        <v/>
      </c>
      <c r="NUA83" s="248" t="str">
        <f t="shared" si="161"/>
        <v/>
      </c>
      <c r="NUB83" s="248" t="str">
        <f t="shared" si="161"/>
        <v/>
      </c>
      <c r="NUC83" s="248" t="str">
        <f t="shared" si="161"/>
        <v/>
      </c>
      <c r="NUD83" s="248" t="str">
        <f t="shared" si="161"/>
        <v/>
      </c>
      <c r="NUE83" s="248" t="str">
        <f t="shared" ref="NUE83:NWP83" si="162">UPPER(NUC83)</f>
        <v/>
      </c>
      <c r="NUF83" s="248" t="str">
        <f t="shared" si="162"/>
        <v/>
      </c>
      <c r="NUG83" s="248" t="str">
        <f t="shared" si="162"/>
        <v/>
      </c>
      <c r="NUH83" s="248" t="str">
        <f t="shared" si="162"/>
        <v/>
      </c>
      <c r="NUI83" s="248" t="str">
        <f t="shared" si="162"/>
        <v/>
      </c>
      <c r="NUJ83" s="248" t="str">
        <f t="shared" si="162"/>
        <v/>
      </c>
      <c r="NUK83" s="248" t="str">
        <f t="shared" si="162"/>
        <v/>
      </c>
      <c r="NUL83" s="248" t="str">
        <f t="shared" si="162"/>
        <v/>
      </c>
      <c r="NUM83" s="248" t="str">
        <f t="shared" si="162"/>
        <v/>
      </c>
      <c r="NUN83" s="248" t="str">
        <f t="shared" si="162"/>
        <v/>
      </c>
      <c r="NUO83" s="248" t="str">
        <f t="shared" si="162"/>
        <v/>
      </c>
      <c r="NUP83" s="248" t="str">
        <f t="shared" si="162"/>
        <v/>
      </c>
      <c r="NUQ83" s="248" t="str">
        <f t="shared" si="162"/>
        <v/>
      </c>
      <c r="NUR83" s="248" t="str">
        <f t="shared" si="162"/>
        <v/>
      </c>
      <c r="NUS83" s="248" t="str">
        <f t="shared" si="162"/>
        <v/>
      </c>
      <c r="NUT83" s="248" t="str">
        <f t="shared" si="162"/>
        <v/>
      </c>
      <c r="NUU83" s="248" t="str">
        <f t="shared" si="162"/>
        <v/>
      </c>
      <c r="NUV83" s="248" t="str">
        <f t="shared" si="162"/>
        <v/>
      </c>
      <c r="NUW83" s="248" t="str">
        <f t="shared" si="162"/>
        <v/>
      </c>
      <c r="NUX83" s="248" t="str">
        <f t="shared" si="162"/>
        <v/>
      </c>
      <c r="NUY83" s="248" t="str">
        <f t="shared" si="162"/>
        <v/>
      </c>
      <c r="NUZ83" s="248" t="str">
        <f t="shared" si="162"/>
        <v/>
      </c>
      <c r="NVA83" s="248" t="str">
        <f t="shared" si="162"/>
        <v/>
      </c>
      <c r="NVB83" s="248" t="str">
        <f t="shared" si="162"/>
        <v/>
      </c>
      <c r="NVC83" s="248" t="str">
        <f t="shared" si="162"/>
        <v/>
      </c>
      <c r="NVD83" s="248" t="str">
        <f t="shared" si="162"/>
        <v/>
      </c>
      <c r="NVE83" s="248" t="str">
        <f t="shared" si="162"/>
        <v/>
      </c>
      <c r="NVF83" s="248" t="str">
        <f t="shared" si="162"/>
        <v/>
      </c>
      <c r="NVG83" s="248" t="str">
        <f t="shared" si="162"/>
        <v/>
      </c>
      <c r="NVH83" s="248" t="str">
        <f t="shared" si="162"/>
        <v/>
      </c>
      <c r="NVI83" s="248" t="str">
        <f t="shared" si="162"/>
        <v/>
      </c>
      <c r="NVJ83" s="248" t="str">
        <f t="shared" si="162"/>
        <v/>
      </c>
      <c r="NVK83" s="248" t="str">
        <f t="shared" si="162"/>
        <v/>
      </c>
      <c r="NVL83" s="248" t="str">
        <f t="shared" si="162"/>
        <v/>
      </c>
      <c r="NVM83" s="248" t="str">
        <f t="shared" si="162"/>
        <v/>
      </c>
      <c r="NVN83" s="248" t="str">
        <f t="shared" si="162"/>
        <v/>
      </c>
      <c r="NVO83" s="248" t="str">
        <f t="shared" si="162"/>
        <v/>
      </c>
      <c r="NVP83" s="248" t="str">
        <f t="shared" si="162"/>
        <v/>
      </c>
      <c r="NVQ83" s="248" t="str">
        <f t="shared" si="162"/>
        <v/>
      </c>
      <c r="NVR83" s="248" t="str">
        <f t="shared" si="162"/>
        <v/>
      </c>
      <c r="NVS83" s="248" t="str">
        <f t="shared" si="162"/>
        <v/>
      </c>
      <c r="NVT83" s="248" t="str">
        <f t="shared" si="162"/>
        <v/>
      </c>
      <c r="NVU83" s="248" t="str">
        <f t="shared" si="162"/>
        <v/>
      </c>
      <c r="NVV83" s="248" t="str">
        <f t="shared" si="162"/>
        <v/>
      </c>
      <c r="NVW83" s="248" t="str">
        <f t="shared" si="162"/>
        <v/>
      </c>
      <c r="NVX83" s="248" t="str">
        <f t="shared" si="162"/>
        <v/>
      </c>
      <c r="NVY83" s="248" t="str">
        <f t="shared" si="162"/>
        <v/>
      </c>
      <c r="NVZ83" s="248" t="str">
        <f t="shared" si="162"/>
        <v/>
      </c>
      <c r="NWA83" s="248" t="str">
        <f t="shared" si="162"/>
        <v/>
      </c>
      <c r="NWB83" s="248" t="str">
        <f t="shared" si="162"/>
        <v/>
      </c>
      <c r="NWC83" s="248" t="str">
        <f t="shared" si="162"/>
        <v/>
      </c>
      <c r="NWD83" s="248" t="str">
        <f t="shared" si="162"/>
        <v/>
      </c>
      <c r="NWE83" s="248" t="str">
        <f t="shared" si="162"/>
        <v/>
      </c>
      <c r="NWF83" s="248" t="str">
        <f t="shared" si="162"/>
        <v/>
      </c>
      <c r="NWG83" s="248" t="str">
        <f t="shared" si="162"/>
        <v/>
      </c>
      <c r="NWH83" s="248" t="str">
        <f t="shared" si="162"/>
        <v/>
      </c>
      <c r="NWI83" s="248" t="str">
        <f t="shared" si="162"/>
        <v/>
      </c>
      <c r="NWJ83" s="248" t="str">
        <f t="shared" si="162"/>
        <v/>
      </c>
      <c r="NWK83" s="248" t="str">
        <f t="shared" si="162"/>
        <v/>
      </c>
      <c r="NWL83" s="248" t="str">
        <f t="shared" si="162"/>
        <v/>
      </c>
      <c r="NWM83" s="248" t="str">
        <f t="shared" si="162"/>
        <v/>
      </c>
      <c r="NWN83" s="248" t="str">
        <f t="shared" si="162"/>
        <v/>
      </c>
      <c r="NWO83" s="248" t="str">
        <f t="shared" si="162"/>
        <v/>
      </c>
      <c r="NWP83" s="248" t="str">
        <f t="shared" si="162"/>
        <v/>
      </c>
      <c r="NWQ83" s="248" t="str">
        <f t="shared" ref="NWQ83:NZB83" si="163">UPPER(NWO83)</f>
        <v/>
      </c>
      <c r="NWR83" s="248" t="str">
        <f t="shared" si="163"/>
        <v/>
      </c>
      <c r="NWS83" s="248" t="str">
        <f t="shared" si="163"/>
        <v/>
      </c>
      <c r="NWT83" s="248" t="str">
        <f t="shared" si="163"/>
        <v/>
      </c>
      <c r="NWU83" s="248" t="str">
        <f t="shared" si="163"/>
        <v/>
      </c>
      <c r="NWV83" s="248" t="str">
        <f t="shared" si="163"/>
        <v/>
      </c>
      <c r="NWW83" s="248" t="str">
        <f t="shared" si="163"/>
        <v/>
      </c>
      <c r="NWX83" s="248" t="str">
        <f t="shared" si="163"/>
        <v/>
      </c>
      <c r="NWY83" s="248" t="str">
        <f t="shared" si="163"/>
        <v/>
      </c>
      <c r="NWZ83" s="248" t="str">
        <f t="shared" si="163"/>
        <v/>
      </c>
      <c r="NXA83" s="248" t="str">
        <f t="shared" si="163"/>
        <v/>
      </c>
      <c r="NXB83" s="248" t="str">
        <f t="shared" si="163"/>
        <v/>
      </c>
      <c r="NXC83" s="248" t="str">
        <f t="shared" si="163"/>
        <v/>
      </c>
      <c r="NXD83" s="248" t="str">
        <f t="shared" si="163"/>
        <v/>
      </c>
      <c r="NXE83" s="248" t="str">
        <f t="shared" si="163"/>
        <v/>
      </c>
      <c r="NXF83" s="248" t="str">
        <f t="shared" si="163"/>
        <v/>
      </c>
      <c r="NXG83" s="248" t="str">
        <f t="shared" si="163"/>
        <v/>
      </c>
      <c r="NXH83" s="248" t="str">
        <f t="shared" si="163"/>
        <v/>
      </c>
      <c r="NXI83" s="248" t="str">
        <f t="shared" si="163"/>
        <v/>
      </c>
      <c r="NXJ83" s="248" t="str">
        <f t="shared" si="163"/>
        <v/>
      </c>
      <c r="NXK83" s="248" t="str">
        <f t="shared" si="163"/>
        <v/>
      </c>
      <c r="NXL83" s="248" t="str">
        <f t="shared" si="163"/>
        <v/>
      </c>
      <c r="NXM83" s="248" t="str">
        <f t="shared" si="163"/>
        <v/>
      </c>
      <c r="NXN83" s="248" t="str">
        <f t="shared" si="163"/>
        <v/>
      </c>
      <c r="NXO83" s="248" t="str">
        <f t="shared" si="163"/>
        <v/>
      </c>
      <c r="NXP83" s="248" t="str">
        <f t="shared" si="163"/>
        <v/>
      </c>
      <c r="NXQ83" s="248" t="str">
        <f t="shared" si="163"/>
        <v/>
      </c>
      <c r="NXR83" s="248" t="str">
        <f t="shared" si="163"/>
        <v/>
      </c>
      <c r="NXS83" s="248" t="str">
        <f t="shared" si="163"/>
        <v/>
      </c>
      <c r="NXT83" s="248" t="str">
        <f t="shared" si="163"/>
        <v/>
      </c>
      <c r="NXU83" s="248" t="str">
        <f t="shared" si="163"/>
        <v/>
      </c>
      <c r="NXV83" s="248" t="str">
        <f t="shared" si="163"/>
        <v/>
      </c>
      <c r="NXW83" s="248" t="str">
        <f t="shared" si="163"/>
        <v/>
      </c>
      <c r="NXX83" s="248" t="str">
        <f t="shared" si="163"/>
        <v/>
      </c>
      <c r="NXY83" s="248" t="str">
        <f t="shared" si="163"/>
        <v/>
      </c>
      <c r="NXZ83" s="248" t="str">
        <f t="shared" si="163"/>
        <v/>
      </c>
      <c r="NYA83" s="248" t="str">
        <f t="shared" si="163"/>
        <v/>
      </c>
      <c r="NYB83" s="248" t="str">
        <f t="shared" si="163"/>
        <v/>
      </c>
      <c r="NYC83" s="248" t="str">
        <f t="shared" si="163"/>
        <v/>
      </c>
      <c r="NYD83" s="248" t="str">
        <f t="shared" si="163"/>
        <v/>
      </c>
      <c r="NYE83" s="248" t="str">
        <f t="shared" si="163"/>
        <v/>
      </c>
      <c r="NYF83" s="248" t="str">
        <f t="shared" si="163"/>
        <v/>
      </c>
      <c r="NYG83" s="248" t="str">
        <f t="shared" si="163"/>
        <v/>
      </c>
      <c r="NYH83" s="248" t="str">
        <f t="shared" si="163"/>
        <v/>
      </c>
      <c r="NYI83" s="248" t="str">
        <f t="shared" si="163"/>
        <v/>
      </c>
      <c r="NYJ83" s="248" t="str">
        <f t="shared" si="163"/>
        <v/>
      </c>
      <c r="NYK83" s="248" t="str">
        <f t="shared" si="163"/>
        <v/>
      </c>
      <c r="NYL83" s="248" t="str">
        <f t="shared" si="163"/>
        <v/>
      </c>
      <c r="NYM83" s="248" t="str">
        <f t="shared" si="163"/>
        <v/>
      </c>
      <c r="NYN83" s="248" t="str">
        <f t="shared" si="163"/>
        <v/>
      </c>
      <c r="NYO83" s="248" t="str">
        <f t="shared" si="163"/>
        <v/>
      </c>
      <c r="NYP83" s="248" t="str">
        <f t="shared" si="163"/>
        <v/>
      </c>
      <c r="NYQ83" s="248" t="str">
        <f t="shared" si="163"/>
        <v/>
      </c>
      <c r="NYR83" s="248" t="str">
        <f t="shared" si="163"/>
        <v/>
      </c>
      <c r="NYS83" s="248" t="str">
        <f t="shared" si="163"/>
        <v/>
      </c>
      <c r="NYT83" s="248" t="str">
        <f t="shared" si="163"/>
        <v/>
      </c>
      <c r="NYU83" s="248" t="str">
        <f t="shared" si="163"/>
        <v/>
      </c>
      <c r="NYV83" s="248" t="str">
        <f t="shared" si="163"/>
        <v/>
      </c>
      <c r="NYW83" s="248" t="str">
        <f t="shared" si="163"/>
        <v/>
      </c>
      <c r="NYX83" s="248" t="str">
        <f t="shared" si="163"/>
        <v/>
      </c>
      <c r="NYY83" s="248" t="str">
        <f t="shared" si="163"/>
        <v/>
      </c>
      <c r="NYZ83" s="248" t="str">
        <f t="shared" si="163"/>
        <v/>
      </c>
      <c r="NZA83" s="248" t="str">
        <f t="shared" si="163"/>
        <v/>
      </c>
      <c r="NZB83" s="248" t="str">
        <f t="shared" si="163"/>
        <v/>
      </c>
      <c r="NZC83" s="248" t="str">
        <f t="shared" ref="NZC83:OBN83" si="164">UPPER(NZA83)</f>
        <v/>
      </c>
      <c r="NZD83" s="248" t="str">
        <f t="shared" si="164"/>
        <v/>
      </c>
      <c r="NZE83" s="248" t="str">
        <f t="shared" si="164"/>
        <v/>
      </c>
      <c r="NZF83" s="248" t="str">
        <f t="shared" si="164"/>
        <v/>
      </c>
      <c r="NZG83" s="248" t="str">
        <f t="shared" si="164"/>
        <v/>
      </c>
      <c r="NZH83" s="248" t="str">
        <f t="shared" si="164"/>
        <v/>
      </c>
      <c r="NZI83" s="248" t="str">
        <f t="shared" si="164"/>
        <v/>
      </c>
      <c r="NZJ83" s="248" t="str">
        <f t="shared" si="164"/>
        <v/>
      </c>
      <c r="NZK83" s="248" t="str">
        <f t="shared" si="164"/>
        <v/>
      </c>
      <c r="NZL83" s="248" t="str">
        <f t="shared" si="164"/>
        <v/>
      </c>
      <c r="NZM83" s="248" t="str">
        <f t="shared" si="164"/>
        <v/>
      </c>
      <c r="NZN83" s="248" t="str">
        <f t="shared" si="164"/>
        <v/>
      </c>
      <c r="NZO83" s="248" t="str">
        <f t="shared" si="164"/>
        <v/>
      </c>
      <c r="NZP83" s="248" t="str">
        <f t="shared" si="164"/>
        <v/>
      </c>
      <c r="NZQ83" s="248" t="str">
        <f t="shared" si="164"/>
        <v/>
      </c>
      <c r="NZR83" s="248" t="str">
        <f t="shared" si="164"/>
        <v/>
      </c>
      <c r="NZS83" s="248" t="str">
        <f t="shared" si="164"/>
        <v/>
      </c>
      <c r="NZT83" s="248" t="str">
        <f t="shared" si="164"/>
        <v/>
      </c>
      <c r="NZU83" s="248" t="str">
        <f t="shared" si="164"/>
        <v/>
      </c>
      <c r="NZV83" s="248" t="str">
        <f t="shared" si="164"/>
        <v/>
      </c>
      <c r="NZW83" s="248" t="str">
        <f t="shared" si="164"/>
        <v/>
      </c>
      <c r="NZX83" s="248" t="str">
        <f t="shared" si="164"/>
        <v/>
      </c>
      <c r="NZY83" s="248" t="str">
        <f t="shared" si="164"/>
        <v/>
      </c>
      <c r="NZZ83" s="248" t="str">
        <f t="shared" si="164"/>
        <v/>
      </c>
      <c r="OAA83" s="248" t="str">
        <f t="shared" si="164"/>
        <v/>
      </c>
      <c r="OAB83" s="248" t="str">
        <f t="shared" si="164"/>
        <v/>
      </c>
      <c r="OAC83" s="248" t="str">
        <f t="shared" si="164"/>
        <v/>
      </c>
      <c r="OAD83" s="248" t="str">
        <f t="shared" si="164"/>
        <v/>
      </c>
      <c r="OAE83" s="248" t="str">
        <f t="shared" si="164"/>
        <v/>
      </c>
      <c r="OAF83" s="248" t="str">
        <f t="shared" si="164"/>
        <v/>
      </c>
      <c r="OAG83" s="248" t="str">
        <f t="shared" si="164"/>
        <v/>
      </c>
      <c r="OAH83" s="248" t="str">
        <f t="shared" si="164"/>
        <v/>
      </c>
      <c r="OAI83" s="248" t="str">
        <f t="shared" si="164"/>
        <v/>
      </c>
      <c r="OAJ83" s="248" t="str">
        <f t="shared" si="164"/>
        <v/>
      </c>
      <c r="OAK83" s="248" t="str">
        <f t="shared" si="164"/>
        <v/>
      </c>
      <c r="OAL83" s="248" t="str">
        <f t="shared" si="164"/>
        <v/>
      </c>
      <c r="OAM83" s="248" t="str">
        <f t="shared" si="164"/>
        <v/>
      </c>
      <c r="OAN83" s="248" t="str">
        <f t="shared" si="164"/>
        <v/>
      </c>
      <c r="OAO83" s="248" t="str">
        <f t="shared" si="164"/>
        <v/>
      </c>
      <c r="OAP83" s="248" t="str">
        <f t="shared" si="164"/>
        <v/>
      </c>
      <c r="OAQ83" s="248" t="str">
        <f t="shared" si="164"/>
        <v/>
      </c>
      <c r="OAR83" s="248" t="str">
        <f t="shared" si="164"/>
        <v/>
      </c>
      <c r="OAS83" s="248" t="str">
        <f t="shared" si="164"/>
        <v/>
      </c>
      <c r="OAT83" s="248" t="str">
        <f t="shared" si="164"/>
        <v/>
      </c>
      <c r="OAU83" s="248" t="str">
        <f t="shared" si="164"/>
        <v/>
      </c>
      <c r="OAV83" s="248" t="str">
        <f t="shared" si="164"/>
        <v/>
      </c>
      <c r="OAW83" s="248" t="str">
        <f t="shared" si="164"/>
        <v/>
      </c>
      <c r="OAX83" s="248" t="str">
        <f t="shared" si="164"/>
        <v/>
      </c>
      <c r="OAY83" s="248" t="str">
        <f t="shared" si="164"/>
        <v/>
      </c>
      <c r="OAZ83" s="248" t="str">
        <f t="shared" si="164"/>
        <v/>
      </c>
      <c r="OBA83" s="248" t="str">
        <f t="shared" si="164"/>
        <v/>
      </c>
      <c r="OBB83" s="248" t="str">
        <f t="shared" si="164"/>
        <v/>
      </c>
      <c r="OBC83" s="248" t="str">
        <f t="shared" si="164"/>
        <v/>
      </c>
      <c r="OBD83" s="248" t="str">
        <f t="shared" si="164"/>
        <v/>
      </c>
      <c r="OBE83" s="248" t="str">
        <f t="shared" si="164"/>
        <v/>
      </c>
      <c r="OBF83" s="248" t="str">
        <f t="shared" si="164"/>
        <v/>
      </c>
      <c r="OBG83" s="248" t="str">
        <f t="shared" si="164"/>
        <v/>
      </c>
      <c r="OBH83" s="248" t="str">
        <f t="shared" si="164"/>
        <v/>
      </c>
      <c r="OBI83" s="248" t="str">
        <f t="shared" si="164"/>
        <v/>
      </c>
      <c r="OBJ83" s="248" t="str">
        <f t="shared" si="164"/>
        <v/>
      </c>
      <c r="OBK83" s="248" t="str">
        <f t="shared" si="164"/>
        <v/>
      </c>
      <c r="OBL83" s="248" t="str">
        <f t="shared" si="164"/>
        <v/>
      </c>
      <c r="OBM83" s="248" t="str">
        <f t="shared" si="164"/>
        <v/>
      </c>
      <c r="OBN83" s="248" t="str">
        <f t="shared" si="164"/>
        <v/>
      </c>
      <c r="OBO83" s="248" t="str">
        <f t="shared" ref="OBO83:ODZ83" si="165">UPPER(OBM83)</f>
        <v/>
      </c>
      <c r="OBP83" s="248" t="str">
        <f t="shared" si="165"/>
        <v/>
      </c>
      <c r="OBQ83" s="248" t="str">
        <f t="shared" si="165"/>
        <v/>
      </c>
      <c r="OBR83" s="248" t="str">
        <f t="shared" si="165"/>
        <v/>
      </c>
      <c r="OBS83" s="248" t="str">
        <f t="shared" si="165"/>
        <v/>
      </c>
      <c r="OBT83" s="248" t="str">
        <f t="shared" si="165"/>
        <v/>
      </c>
      <c r="OBU83" s="248" t="str">
        <f t="shared" si="165"/>
        <v/>
      </c>
      <c r="OBV83" s="248" t="str">
        <f t="shared" si="165"/>
        <v/>
      </c>
      <c r="OBW83" s="248" t="str">
        <f t="shared" si="165"/>
        <v/>
      </c>
      <c r="OBX83" s="248" t="str">
        <f t="shared" si="165"/>
        <v/>
      </c>
      <c r="OBY83" s="248" t="str">
        <f t="shared" si="165"/>
        <v/>
      </c>
      <c r="OBZ83" s="248" t="str">
        <f t="shared" si="165"/>
        <v/>
      </c>
      <c r="OCA83" s="248" t="str">
        <f t="shared" si="165"/>
        <v/>
      </c>
      <c r="OCB83" s="248" t="str">
        <f t="shared" si="165"/>
        <v/>
      </c>
      <c r="OCC83" s="248" t="str">
        <f t="shared" si="165"/>
        <v/>
      </c>
      <c r="OCD83" s="248" t="str">
        <f t="shared" si="165"/>
        <v/>
      </c>
      <c r="OCE83" s="248" t="str">
        <f t="shared" si="165"/>
        <v/>
      </c>
      <c r="OCF83" s="248" t="str">
        <f t="shared" si="165"/>
        <v/>
      </c>
      <c r="OCG83" s="248" t="str">
        <f t="shared" si="165"/>
        <v/>
      </c>
      <c r="OCH83" s="248" t="str">
        <f t="shared" si="165"/>
        <v/>
      </c>
      <c r="OCI83" s="248" t="str">
        <f t="shared" si="165"/>
        <v/>
      </c>
      <c r="OCJ83" s="248" t="str">
        <f t="shared" si="165"/>
        <v/>
      </c>
      <c r="OCK83" s="248" t="str">
        <f t="shared" si="165"/>
        <v/>
      </c>
      <c r="OCL83" s="248" t="str">
        <f t="shared" si="165"/>
        <v/>
      </c>
      <c r="OCM83" s="248" t="str">
        <f t="shared" si="165"/>
        <v/>
      </c>
      <c r="OCN83" s="248" t="str">
        <f t="shared" si="165"/>
        <v/>
      </c>
      <c r="OCO83" s="248" t="str">
        <f t="shared" si="165"/>
        <v/>
      </c>
      <c r="OCP83" s="248" t="str">
        <f t="shared" si="165"/>
        <v/>
      </c>
      <c r="OCQ83" s="248" t="str">
        <f t="shared" si="165"/>
        <v/>
      </c>
      <c r="OCR83" s="248" t="str">
        <f t="shared" si="165"/>
        <v/>
      </c>
      <c r="OCS83" s="248" t="str">
        <f t="shared" si="165"/>
        <v/>
      </c>
      <c r="OCT83" s="248" t="str">
        <f t="shared" si="165"/>
        <v/>
      </c>
      <c r="OCU83" s="248" t="str">
        <f t="shared" si="165"/>
        <v/>
      </c>
      <c r="OCV83" s="248" t="str">
        <f t="shared" si="165"/>
        <v/>
      </c>
      <c r="OCW83" s="248" t="str">
        <f t="shared" si="165"/>
        <v/>
      </c>
      <c r="OCX83" s="248" t="str">
        <f t="shared" si="165"/>
        <v/>
      </c>
      <c r="OCY83" s="248" t="str">
        <f t="shared" si="165"/>
        <v/>
      </c>
      <c r="OCZ83" s="248" t="str">
        <f t="shared" si="165"/>
        <v/>
      </c>
      <c r="ODA83" s="248" t="str">
        <f t="shared" si="165"/>
        <v/>
      </c>
      <c r="ODB83" s="248" t="str">
        <f t="shared" si="165"/>
        <v/>
      </c>
      <c r="ODC83" s="248" t="str">
        <f t="shared" si="165"/>
        <v/>
      </c>
      <c r="ODD83" s="248" t="str">
        <f t="shared" si="165"/>
        <v/>
      </c>
      <c r="ODE83" s="248" t="str">
        <f t="shared" si="165"/>
        <v/>
      </c>
      <c r="ODF83" s="248" t="str">
        <f t="shared" si="165"/>
        <v/>
      </c>
      <c r="ODG83" s="248" t="str">
        <f t="shared" si="165"/>
        <v/>
      </c>
      <c r="ODH83" s="248" t="str">
        <f t="shared" si="165"/>
        <v/>
      </c>
      <c r="ODI83" s="248" t="str">
        <f t="shared" si="165"/>
        <v/>
      </c>
      <c r="ODJ83" s="248" t="str">
        <f t="shared" si="165"/>
        <v/>
      </c>
      <c r="ODK83" s="248" t="str">
        <f t="shared" si="165"/>
        <v/>
      </c>
      <c r="ODL83" s="248" t="str">
        <f t="shared" si="165"/>
        <v/>
      </c>
      <c r="ODM83" s="248" t="str">
        <f t="shared" si="165"/>
        <v/>
      </c>
      <c r="ODN83" s="248" t="str">
        <f t="shared" si="165"/>
        <v/>
      </c>
      <c r="ODO83" s="248" t="str">
        <f t="shared" si="165"/>
        <v/>
      </c>
      <c r="ODP83" s="248" t="str">
        <f t="shared" si="165"/>
        <v/>
      </c>
      <c r="ODQ83" s="248" t="str">
        <f t="shared" si="165"/>
        <v/>
      </c>
      <c r="ODR83" s="248" t="str">
        <f t="shared" si="165"/>
        <v/>
      </c>
      <c r="ODS83" s="248" t="str">
        <f t="shared" si="165"/>
        <v/>
      </c>
      <c r="ODT83" s="248" t="str">
        <f t="shared" si="165"/>
        <v/>
      </c>
      <c r="ODU83" s="248" t="str">
        <f t="shared" si="165"/>
        <v/>
      </c>
      <c r="ODV83" s="248" t="str">
        <f t="shared" si="165"/>
        <v/>
      </c>
      <c r="ODW83" s="248" t="str">
        <f t="shared" si="165"/>
        <v/>
      </c>
      <c r="ODX83" s="248" t="str">
        <f t="shared" si="165"/>
        <v/>
      </c>
      <c r="ODY83" s="248" t="str">
        <f t="shared" si="165"/>
        <v/>
      </c>
      <c r="ODZ83" s="248" t="str">
        <f t="shared" si="165"/>
        <v/>
      </c>
      <c r="OEA83" s="248" t="str">
        <f t="shared" ref="OEA83:OGL83" si="166">UPPER(ODY83)</f>
        <v/>
      </c>
      <c r="OEB83" s="248" t="str">
        <f t="shared" si="166"/>
        <v/>
      </c>
      <c r="OEC83" s="248" t="str">
        <f t="shared" si="166"/>
        <v/>
      </c>
      <c r="OED83" s="248" t="str">
        <f t="shared" si="166"/>
        <v/>
      </c>
      <c r="OEE83" s="248" t="str">
        <f t="shared" si="166"/>
        <v/>
      </c>
      <c r="OEF83" s="248" t="str">
        <f t="shared" si="166"/>
        <v/>
      </c>
      <c r="OEG83" s="248" t="str">
        <f t="shared" si="166"/>
        <v/>
      </c>
      <c r="OEH83" s="248" t="str">
        <f t="shared" si="166"/>
        <v/>
      </c>
      <c r="OEI83" s="248" t="str">
        <f t="shared" si="166"/>
        <v/>
      </c>
      <c r="OEJ83" s="248" t="str">
        <f t="shared" si="166"/>
        <v/>
      </c>
      <c r="OEK83" s="248" t="str">
        <f t="shared" si="166"/>
        <v/>
      </c>
      <c r="OEL83" s="248" t="str">
        <f t="shared" si="166"/>
        <v/>
      </c>
      <c r="OEM83" s="248" t="str">
        <f t="shared" si="166"/>
        <v/>
      </c>
      <c r="OEN83" s="248" t="str">
        <f t="shared" si="166"/>
        <v/>
      </c>
      <c r="OEO83" s="248" t="str">
        <f t="shared" si="166"/>
        <v/>
      </c>
      <c r="OEP83" s="248" t="str">
        <f t="shared" si="166"/>
        <v/>
      </c>
      <c r="OEQ83" s="248" t="str">
        <f t="shared" si="166"/>
        <v/>
      </c>
      <c r="OER83" s="248" t="str">
        <f t="shared" si="166"/>
        <v/>
      </c>
      <c r="OES83" s="248" t="str">
        <f t="shared" si="166"/>
        <v/>
      </c>
      <c r="OET83" s="248" t="str">
        <f t="shared" si="166"/>
        <v/>
      </c>
      <c r="OEU83" s="248" t="str">
        <f t="shared" si="166"/>
        <v/>
      </c>
      <c r="OEV83" s="248" t="str">
        <f t="shared" si="166"/>
        <v/>
      </c>
      <c r="OEW83" s="248" t="str">
        <f t="shared" si="166"/>
        <v/>
      </c>
      <c r="OEX83" s="248" t="str">
        <f t="shared" si="166"/>
        <v/>
      </c>
      <c r="OEY83" s="248" t="str">
        <f t="shared" si="166"/>
        <v/>
      </c>
      <c r="OEZ83" s="248" t="str">
        <f t="shared" si="166"/>
        <v/>
      </c>
      <c r="OFA83" s="248" t="str">
        <f t="shared" si="166"/>
        <v/>
      </c>
      <c r="OFB83" s="248" t="str">
        <f t="shared" si="166"/>
        <v/>
      </c>
      <c r="OFC83" s="248" t="str">
        <f t="shared" si="166"/>
        <v/>
      </c>
      <c r="OFD83" s="248" t="str">
        <f t="shared" si="166"/>
        <v/>
      </c>
      <c r="OFE83" s="248" t="str">
        <f t="shared" si="166"/>
        <v/>
      </c>
      <c r="OFF83" s="248" t="str">
        <f t="shared" si="166"/>
        <v/>
      </c>
      <c r="OFG83" s="248" t="str">
        <f t="shared" si="166"/>
        <v/>
      </c>
      <c r="OFH83" s="248" t="str">
        <f t="shared" si="166"/>
        <v/>
      </c>
      <c r="OFI83" s="248" t="str">
        <f t="shared" si="166"/>
        <v/>
      </c>
      <c r="OFJ83" s="248" t="str">
        <f t="shared" si="166"/>
        <v/>
      </c>
      <c r="OFK83" s="248" t="str">
        <f t="shared" si="166"/>
        <v/>
      </c>
      <c r="OFL83" s="248" t="str">
        <f t="shared" si="166"/>
        <v/>
      </c>
      <c r="OFM83" s="248" t="str">
        <f t="shared" si="166"/>
        <v/>
      </c>
      <c r="OFN83" s="248" t="str">
        <f t="shared" si="166"/>
        <v/>
      </c>
      <c r="OFO83" s="248" t="str">
        <f t="shared" si="166"/>
        <v/>
      </c>
      <c r="OFP83" s="248" t="str">
        <f t="shared" si="166"/>
        <v/>
      </c>
      <c r="OFQ83" s="248" t="str">
        <f t="shared" si="166"/>
        <v/>
      </c>
      <c r="OFR83" s="248" t="str">
        <f t="shared" si="166"/>
        <v/>
      </c>
      <c r="OFS83" s="248" t="str">
        <f t="shared" si="166"/>
        <v/>
      </c>
      <c r="OFT83" s="248" t="str">
        <f t="shared" si="166"/>
        <v/>
      </c>
      <c r="OFU83" s="248" t="str">
        <f t="shared" si="166"/>
        <v/>
      </c>
      <c r="OFV83" s="248" t="str">
        <f t="shared" si="166"/>
        <v/>
      </c>
      <c r="OFW83" s="248" t="str">
        <f t="shared" si="166"/>
        <v/>
      </c>
      <c r="OFX83" s="248" t="str">
        <f t="shared" si="166"/>
        <v/>
      </c>
      <c r="OFY83" s="248" t="str">
        <f t="shared" si="166"/>
        <v/>
      </c>
      <c r="OFZ83" s="248" t="str">
        <f t="shared" si="166"/>
        <v/>
      </c>
      <c r="OGA83" s="248" t="str">
        <f t="shared" si="166"/>
        <v/>
      </c>
      <c r="OGB83" s="248" t="str">
        <f t="shared" si="166"/>
        <v/>
      </c>
      <c r="OGC83" s="248" t="str">
        <f t="shared" si="166"/>
        <v/>
      </c>
      <c r="OGD83" s="248" t="str">
        <f t="shared" si="166"/>
        <v/>
      </c>
      <c r="OGE83" s="248" t="str">
        <f t="shared" si="166"/>
        <v/>
      </c>
      <c r="OGF83" s="248" t="str">
        <f t="shared" si="166"/>
        <v/>
      </c>
      <c r="OGG83" s="248" t="str">
        <f t="shared" si="166"/>
        <v/>
      </c>
      <c r="OGH83" s="248" t="str">
        <f t="shared" si="166"/>
        <v/>
      </c>
      <c r="OGI83" s="248" t="str">
        <f t="shared" si="166"/>
        <v/>
      </c>
      <c r="OGJ83" s="248" t="str">
        <f t="shared" si="166"/>
        <v/>
      </c>
      <c r="OGK83" s="248" t="str">
        <f t="shared" si="166"/>
        <v/>
      </c>
      <c r="OGL83" s="248" t="str">
        <f t="shared" si="166"/>
        <v/>
      </c>
      <c r="OGM83" s="248" t="str">
        <f t="shared" ref="OGM83:OIX83" si="167">UPPER(OGK83)</f>
        <v/>
      </c>
      <c r="OGN83" s="248" t="str">
        <f t="shared" si="167"/>
        <v/>
      </c>
      <c r="OGO83" s="248" t="str">
        <f t="shared" si="167"/>
        <v/>
      </c>
      <c r="OGP83" s="248" t="str">
        <f t="shared" si="167"/>
        <v/>
      </c>
      <c r="OGQ83" s="248" t="str">
        <f t="shared" si="167"/>
        <v/>
      </c>
      <c r="OGR83" s="248" t="str">
        <f t="shared" si="167"/>
        <v/>
      </c>
      <c r="OGS83" s="248" t="str">
        <f t="shared" si="167"/>
        <v/>
      </c>
      <c r="OGT83" s="248" t="str">
        <f t="shared" si="167"/>
        <v/>
      </c>
      <c r="OGU83" s="248" t="str">
        <f t="shared" si="167"/>
        <v/>
      </c>
      <c r="OGV83" s="248" t="str">
        <f t="shared" si="167"/>
        <v/>
      </c>
      <c r="OGW83" s="248" t="str">
        <f t="shared" si="167"/>
        <v/>
      </c>
      <c r="OGX83" s="248" t="str">
        <f t="shared" si="167"/>
        <v/>
      </c>
      <c r="OGY83" s="248" t="str">
        <f t="shared" si="167"/>
        <v/>
      </c>
      <c r="OGZ83" s="248" t="str">
        <f t="shared" si="167"/>
        <v/>
      </c>
      <c r="OHA83" s="248" t="str">
        <f t="shared" si="167"/>
        <v/>
      </c>
      <c r="OHB83" s="248" t="str">
        <f t="shared" si="167"/>
        <v/>
      </c>
      <c r="OHC83" s="248" t="str">
        <f t="shared" si="167"/>
        <v/>
      </c>
      <c r="OHD83" s="248" t="str">
        <f t="shared" si="167"/>
        <v/>
      </c>
      <c r="OHE83" s="248" t="str">
        <f t="shared" si="167"/>
        <v/>
      </c>
      <c r="OHF83" s="248" t="str">
        <f t="shared" si="167"/>
        <v/>
      </c>
      <c r="OHG83" s="248" t="str">
        <f t="shared" si="167"/>
        <v/>
      </c>
      <c r="OHH83" s="248" t="str">
        <f t="shared" si="167"/>
        <v/>
      </c>
      <c r="OHI83" s="248" t="str">
        <f t="shared" si="167"/>
        <v/>
      </c>
      <c r="OHJ83" s="248" t="str">
        <f t="shared" si="167"/>
        <v/>
      </c>
      <c r="OHK83" s="248" t="str">
        <f t="shared" si="167"/>
        <v/>
      </c>
      <c r="OHL83" s="248" t="str">
        <f t="shared" si="167"/>
        <v/>
      </c>
      <c r="OHM83" s="248" t="str">
        <f t="shared" si="167"/>
        <v/>
      </c>
      <c r="OHN83" s="248" t="str">
        <f t="shared" si="167"/>
        <v/>
      </c>
      <c r="OHO83" s="248" t="str">
        <f t="shared" si="167"/>
        <v/>
      </c>
      <c r="OHP83" s="248" t="str">
        <f t="shared" si="167"/>
        <v/>
      </c>
      <c r="OHQ83" s="248" t="str">
        <f t="shared" si="167"/>
        <v/>
      </c>
      <c r="OHR83" s="248" t="str">
        <f t="shared" si="167"/>
        <v/>
      </c>
      <c r="OHS83" s="248" t="str">
        <f t="shared" si="167"/>
        <v/>
      </c>
      <c r="OHT83" s="248" t="str">
        <f t="shared" si="167"/>
        <v/>
      </c>
      <c r="OHU83" s="248" t="str">
        <f t="shared" si="167"/>
        <v/>
      </c>
      <c r="OHV83" s="248" t="str">
        <f t="shared" si="167"/>
        <v/>
      </c>
      <c r="OHW83" s="248" t="str">
        <f t="shared" si="167"/>
        <v/>
      </c>
      <c r="OHX83" s="248" t="str">
        <f t="shared" si="167"/>
        <v/>
      </c>
      <c r="OHY83" s="248" t="str">
        <f t="shared" si="167"/>
        <v/>
      </c>
      <c r="OHZ83" s="248" t="str">
        <f t="shared" si="167"/>
        <v/>
      </c>
      <c r="OIA83" s="248" t="str">
        <f t="shared" si="167"/>
        <v/>
      </c>
      <c r="OIB83" s="248" t="str">
        <f t="shared" si="167"/>
        <v/>
      </c>
      <c r="OIC83" s="248" t="str">
        <f t="shared" si="167"/>
        <v/>
      </c>
      <c r="OID83" s="248" t="str">
        <f t="shared" si="167"/>
        <v/>
      </c>
      <c r="OIE83" s="248" t="str">
        <f t="shared" si="167"/>
        <v/>
      </c>
      <c r="OIF83" s="248" t="str">
        <f t="shared" si="167"/>
        <v/>
      </c>
      <c r="OIG83" s="248" t="str">
        <f t="shared" si="167"/>
        <v/>
      </c>
      <c r="OIH83" s="248" t="str">
        <f t="shared" si="167"/>
        <v/>
      </c>
      <c r="OII83" s="248" t="str">
        <f t="shared" si="167"/>
        <v/>
      </c>
      <c r="OIJ83" s="248" t="str">
        <f t="shared" si="167"/>
        <v/>
      </c>
      <c r="OIK83" s="248" t="str">
        <f t="shared" si="167"/>
        <v/>
      </c>
      <c r="OIL83" s="248" t="str">
        <f t="shared" si="167"/>
        <v/>
      </c>
      <c r="OIM83" s="248" t="str">
        <f t="shared" si="167"/>
        <v/>
      </c>
      <c r="OIN83" s="248" t="str">
        <f t="shared" si="167"/>
        <v/>
      </c>
      <c r="OIO83" s="248" t="str">
        <f t="shared" si="167"/>
        <v/>
      </c>
      <c r="OIP83" s="248" t="str">
        <f t="shared" si="167"/>
        <v/>
      </c>
      <c r="OIQ83" s="248" t="str">
        <f t="shared" si="167"/>
        <v/>
      </c>
      <c r="OIR83" s="248" t="str">
        <f t="shared" si="167"/>
        <v/>
      </c>
      <c r="OIS83" s="248" t="str">
        <f t="shared" si="167"/>
        <v/>
      </c>
      <c r="OIT83" s="248" t="str">
        <f t="shared" si="167"/>
        <v/>
      </c>
      <c r="OIU83" s="248" t="str">
        <f t="shared" si="167"/>
        <v/>
      </c>
      <c r="OIV83" s="248" t="str">
        <f t="shared" si="167"/>
        <v/>
      </c>
      <c r="OIW83" s="248" t="str">
        <f t="shared" si="167"/>
        <v/>
      </c>
      <c r="OIX83" s="248" t="str">
        <f t="shared" si="167"/>
        <v/>
      </c>
      <c r="OIY83" s="248" t="str">
        <f t="shared" ref="OIY83:OLJ83" si="168">UPPER(OIW83)</f>
        <v/>
      </c>
      <c r="OIZ83" s="248" t="str">
        <f t="shared" si="168"/>
        <v/>
      </c>
      <c r="OJA83" s="248" t="str">
        <f t="shared" si="168"/>
        <v/>
      </c>
      <c r="OJB83" s="248" t="str">
        <f t="shared" si="168"/>
        <v/>
      </c>
      <c r="OJC83" s="248" t="str">
        <f t="shared" si="168"/>
        <v/>
      </c>
      <c r="OJD83" s="248" t="str">
        <f t="shared" si="168"/>
        <v/>
      </c>
      <c r="OJE83" s="248" t="str">
        <f t="shared" si="168"/>
        <v/>
      </c>
      <c r="OJF83" s="248" t="str">
        <f t="shared" si="168"/>
        <v/>
      </c>
      <c r="OJG83" s="248" t="str">
        <f t="shared" si="168"/>
        <v/>
      </c>
      <c r="OJH83" s="248" t="str">
        <f t="shared" si="168"/>
        <v/>
      </c>
      <c r="OJI83" s="248" t="str">
        <f t="shared" si="168"/>
        <v/>
      </c>
      <c r="OJJ83" s="248" t="str">
        <f t="shared" si="168"/>
        <v/>
      </c>
      <c r="OJK83" s="248" t="str">
        <f t="shared" si="168"/>
        <v/>
      </c>
      <c r="OJL83" s="248" t="str">
        <f t="shared" si="168"/>
        <v/>
      </c>
      <c r="OJM83" s="248" t="str">
        <f t="shared" si="168"/>
        <v/>
      </c>
      <c r="OJN83" s="248" t="str">
        <f t="shared" si="168"/>
        <v/>
      </c>
      <c r="OJO83" s="248" t="str">
        <f t="shared" si="168"/>
        <v/>
      </c>
      <c r="OJP83" s="248" t="str">
        <f t="shared" si="168"/>
        <v/>
      </c>
      <c r="OJQ83" s="248" t="str">
        <f t="shared" si="168"/>
        <v/>
      </c>
      <c r="OJR83" s="248" t="str">
        <f t="shared" si="168"/>
        <v/>
      </c>
      <c r="OJS83" s="248" t="str">
        <f t="shared" si="168"/>
        <v/>
      </c>
      <c r="OJT83" s="248" t="str">
        <f t="shared" si="168"/>
        <v/>
      </c>
      <c r="OJU83" s="248" t="str">
        <f t="shared" si="168"/>
        <v/>
      </c>
      <c r="OJV83" s="248" t="str">
        <f t="shared" si="168"/>
        <v/>
      </c>
      <c r="OJW83" s="248" t="str">
        <f t="shared" si="168"/>
        <v/>
      </c>
      <c r="OJX83" s="248" t="str">
        <f t="shared" si="168"/>
        <v/>
      </c>
      <c r="OJY83" s="248" t="str">
        <f t="shared" si="168"/>
        <v/>
      </c>
      <c r="OJZ83" s="248" t="str">
        <f t="shared" si="168"/>
        <v/>
      </c>
      <c r="OKA83" s="248" t="str">
        <f t="shared" si="168"/>
        <v/>
      </c>
      <c r="OKB83" s="248" t="str">
        <f t="shared" si="168"/>
        <v/>
      </c>
      <c r="OKC83" s="248" t="str">
        <f t="shared" si="168"/>
        <v/>
      </c>
      <c r="OKD83" s="248" t="str">
        <f t="shared" si="168"/>
        <v/>
      </c>
      <c r="OKE83" s="248" t="str">
        <f t="shared" si="168"/>
        <v/>
      </c>
      <c r="OKF83" s="248" t="str">
        <f t="shared" si="168"/>
        <v/>
      </c>
      <c r="OKG83" s="248" t="str">
        <f t="shared" si="168"/>
        <v/>
      </c>
      <c r="OKH83" s="248" t="str">
        <f t="shared" si="168"/>
        <v/>
      </c>
      <c r="OKI83" s="248" t="str">
        <f t="shared" si="168"/>
        <v/>
      </c>
      <c r="OKJ83" s="248" t="str">
        <f t="shared" si="168"/>
        <v/>
      </c>
      <c r="OKK83" s="248" t="str">
        <f t="shared" si="168"/>
        <v/>
      </c>
      <c r="OKL83" s="248" t="str">
        <f t="shared" si="168"/>
        <v/>
      </c>
      <c r="OKM83" s="248" t="str">
        <f t="shared" si="168"/>
        <v/>
      </c>
      <c r="OKN83" s="248" t="str">
        <f t="shared" si="168"/>
        <v/>
      </c>
      <c r="OKO83" s="248" t="str">
        <f t="shared" si="168"/>
        <v/>
      </c>
      <c r="OKP83" s="248" t="str">
        <f t="shared" si="168"/>
        <v/>
      </c>
      <c r="OKQ83" s="248" t="str">
        <f t="shared" si="168"/>
        <v/>
      </c>
      <c r="OKR83" s="248" t="str">
        <f t="shared" si="168"/>
        <v/>
      </c>
      <c r="OKS83" s="248" t="str">
        <f t="shared" si="168"/>
        <v/>
      </c>
      <c r="OKT83" s="248" t="str">
        <f t="shared" si="168"/>
        <v/>
      </c>
      <c r="OKU83" s="248" t="str">
        <f t="shared" si="168"/>
        <v/>
      </c>
      <c r="OKV83" s="248" t="str">
        <f t="shared" si="168"/>
        <v/>
      </c>
      <c r="OKW83" s="248" t="str">
        <f t="shared" si="168"/>
        <v/>
      </c>
      <c r="OKX83" s="248" t="str">
        <f t="shared" si="168"/>
        <v/>
      </c>
      <c r="OKY83" s="248" t="str">
        <f t="shared" si="168"/>
        <v/>
      </c>
      <c r="OKZ83" s="248" t="str">
        <f t="shared" si="168"/>
        <v/>
      </c>
      <c r="OLA83" s="248" t="str">
        <f t="shared" si="168"/>
        <v/>
      </c>
      <c r="OLB83" s="248" t="str">
        <f t="shared" si="168"/>
        <v/>
      </c>
      <c r="OLC83" s="248" t="str">
        <f t="shared" si="168"/>
        <v/>
      </c>
      <c r="OLD83" s="248" t="str">
        <f t="shared" si="168"/>
        <v/>
      </c>
      <c r="OLE83" s="248" t="str">
        <f t="shared" si="168"/>
        <v/>
      </c>
      <c r="OLF83" s="248" t="str">
        <f t="shared" si="168"/>
        <v/>
      </c>
      <c r="OLG83" s="248" t="str">
        <f t="shared" si="168"/>
        <v/>
      </c>
      <c r="OLH83" s="248" t="str">
        <f t="shared" si="168"/>
        <v/>
      </c>
      <c r="OLI83" s="248" t="str">
        <f t="shared" si="168"/>
        <v/>
      </c>
      <c r="OLJ83" s="248" t="str">
        <f t="shared" si="168"/>
        <v/>
      </c>
      <c r="OLK83" s="248" t="str">
        <f t="shared" ref="OLK83:ONV83" si="169">UPPER(OLI83)</f>
        <v/>
      </c>
      <c r="OLL83" s="248" t="str">
        <f t="shared" si="169"/>
        <v/>
      </c>
      <c r="OLM83" s="248" t="str">
        <f t="shared" si="169"/>
        <v/>
      </c>
      <c r="OLN83" s="248" t="str">
        <f t="shared" si="169"/>
        <v/>
      </c>
      <c r="OLO83" s="248" t="str">
        <f t="shared" si="169"/>
        <v/>
      </c>
      <c r="OLP83" s="248" t="str">
        <f t="shared" si="169"/>
        <v/>
      </c>
      <c r="OLQ83" s="248" t="str">
        <f t="shared" si="169"/>
        <v/>
      </c>
      <c r="OLR83" s="248" t="str">
        <f t="shared" si="169"/>
        <v/>
      </c>
      <c r="OLS83" s="248" t="str">
        <f t="shared" si="169"/>
        <v/>
      </c>
      <c r="OLT83" s="248" t="str">
        <f t="shared" si="169"/>
        <v/>
      </c>
      <c r="OLU83" s="248" t="str">
        <f t="shared" si="169"/>
        <v/>
      </c>
      <c r="OLV83" s="248" t="str">
        <f t="shared" si="169"/>
        <v/>
      </c>
      <c r="OLW83" s="248" t="str">
        <f t="shared" si="169"/>
        <v/>
      </c>
      <c r="OLX83" s="248" t="str">
        <f t="shared" si="169"/>
        <v/>
      </c>
      <c r="OLY83" s="248" t="str">
        <f t="shared" si="169"/>
        <v/>
      </c>
      <c r="OLZ83" s="248" t="str">
        <f t="shared" si="169"/>
        <v/>
      </c>
      <c r="OMA83" s="248" t="str">
        <f t="shared" si="169"/>
        <v/>
      </c>
      <c r="OMB83" s="248" t="str">
        <f t="shared" si="169"/>
        <v/>
      </c>
      <c r="OMC83" s="248" t="str">
        <f t="shared" si="169"/>
        <v/>
      </c>
      <c r="OMD83" s="248" t="str">
        <f t="shared" si="169"/>
        <v/>
      </c>
      <c r="OME83" s="248" t="str">
        <f t="shared" si="169"/>
        <v/>
      </c>
      <c r="OMF83" s="248" t="str">
        <f t="shared" si="169"/>
        <v/>
      </c>
      <c r="OMG83" s="248" t="str">
        <f t="shared" si="169"/>
        <v/>
      </c>
      <c r="OMH83" s="248" t="str">
        <f t="shared" si="169"/>
        <v/>
      </c>
      <c r="OMI83" s="248" t="str">
        <f t="shared" si="169"/>
        <v/>
      </c>
      <c r="OMJ83" s="248" t="str">
        <f t="shared" si="169"/>
        <v/>
      </c>
      <c r="OMK83" s="248" t="str">
        <f t="shared" si="169"/>
        <v/>
      </c>
      <c r="OML83" s="248" t="str">
        <f t="shared" si="169"/>
        <v/>
      </c>
      <c r="OMM83" s="248" t="str">
        <f t="shared" si="169"/>
        <v/>
      </c>
      <c r="OMN83" s="248" t="str">
        <f t="shared" si="169"/>
        <v/>
      </c>
      <c r="OMO83" s="248" t="str">
        <f t="shared" si="169"/>
        <v/>
      </c>
      <c r="OMP83" s="248" t="str">
        <f t="shared" si="169"/>
        <v/>
      </c>
      <c r="OMQ83" s="248" t="str">
        <f t="shared" si="169"/>
        <v/>
      </c>
      <c r="OMR83" s="248" t="str">
        <f t="shared" si="169"/>
        <v/>
      </c>
      <c r="OMS83" s="248" t="str">
        <f t="shared" si="169"/>
        <v/>
      </c>
      <c r="OMT83" s="248" t="str">
        <f t="shared" si="169"/>
        <v/>
      </c>
      <c r="OMU83" s="248" t="str">
        <f t="shared" si="169"/>
        <v/>
      </c>
      <c r="OMV83" s="248" t="str">
        <f t="shared" si="169"/>
        <v/>
      </c>
      <c r="OMW83" s="248" t="str">
        <f t="shared" si="169"/>
        <v/>
      </c>
      <c r="OMX83" s="248" t="str">
        <f t="shared" si="169"/>
        <v/>
      </c>
      <c r="OMY83" s="248" t="str">
        <f t="shared" si="169"/>
        <v/>
      </c>
      <c r="OMZ83" s="248" t="str">
        <f t="shared" si="169"/>
        <v/>
      </c>
      <c r="ONA83" s="248" t="str">
        <f t="shared" si="169"/>
        <v/>
      </c>
      <c r="ONB83" s="248" t="str">
        <f t="shared" si="169"/>
        <v/>
      </c>
      <c r="ONC83" s="248" t="str">
        <f t="shared" si="169"/>
        <v/>
      </c>
      <c r="OND83" s="248" t="str">
        <f t="shared" si="169"/>
        <v/>
      </c>
      <c r="ONE83" s="248" t="str">
        <f t="shared" si="169"/>
        <v/>
      </c>
      <c r="ONF83" s="248" t="str">
        <f t="shared" si="169"/>
        <v/>
      </c>
      <c r="ONG83" s="248" t="str">
        <f t="shared" si="169"/>
        <v/>
      </c>
      <c r="ONH83" s="248" t="str">
        <f t="shared" si="169"/>
        <v/>
      </c>
      <c r="ONI83" s="248" t="str">
        <f t="shared" si="169"/>
        <v/>
      </c>
      <c r="ONJ83" s="248" t="str">
        <f t="shared" si="169"/>
        <v/>
      </c>
      <c r="ONK83" s="248" t="str">
        <f t="shared" si="169"/>
        <v/>
      </c>
      <c r="ONL83" s="248" t="str">
        <f t="shared" si="169"/>
        <v/>
      </c>
      <c r="ONM83" s="248" t="str">
        <f t="shared" si="169"/>
        <v/>
      </c>
      <c r="ONN83" s="248" t="str">
        <f t="shared" si="169"/>
        <v/>
      </c>
      <c r="ONO83" s="248" t="str">
        <f t="shared" si="169"/>
        <v/>
      </c>
      <c r="ONP83" s="248" t="str">
        <f t="shared" si="169"/>
        <v/>
      </c>
      <c r="ONQ83" s="248" t="str">
        <f t="shared" si="169"/>
        <v/>
      </c>
      <c r="ONR83" s="248" t="str">
        <f t="shared" si="169"/>
        <v/>
      </c>
      <c r="ONS83" s="248" t="str">
        <f t="shared" si="169"/>
        <v/>
      </c>
      <c r="ONT83" s="248" t="str">
        <f t="shared" si="169"/>
        <v/>
      </c>
      <c r="ONU83" s="248" t="str">
        <f t="shared" si="169"/>
        <v/>
      </c>
      <c r="ONV83" s="248" t="str">
        <f t="shared" si="169"/>
        <v/>
      </c>
      <c r="ONW83" s="248" t="str">
        <f t="shared" ref="ONW83:OQH83" si="170">UPPER(ONU83)</f>
        <v/>
      </c>
      <c r="ONX83" s="248" t="str">
        <f t="shared" si="170"/>
        <v/>
      </c>
      <c r="ONY83" s="248" t="str">
        <f t="shared" si="170"/>
        <v/>
      </c>
      <c r="ONZ83" s="248" t="str">
        <f t="shared" si="170"/>
        <v/>
      </c>
      <c r="OOA83" s="248" t="str">
        <f t="shared" si="170"/>
        <v/>
      </c>
      <c r="OOB83" s="248" t="str">
        <f t="shared" si="170"/>
        <v/>
      </c>
      <c r="OOC83" s="248" t="str">
        <f t="shared" si="170"/>
        <v/>
      </c>
      <c r="OOD83" s="248" t="str">
        <f t="shared" si="170"/>
        <v/>
      </c>
      <c r="OOE83" s="248" t="str">
        <f t="shared" si="170"/>
        <v/>
      </c>
      <c r="OOF83" s="248" t="str">
        <f t="shared" si="170"/>
        <v/>
      </c>
      <c r="OOG83" s="248" t="str">
        <f t="shared" si="170"/>
        <v/>
      </c>
      <c r="OOH83" s="248" t="str">
        <f t="shared" si="170"/>
        <v/>
      </c>
      <c r="OOI83" s="248" t="str">
        <f t="shared" si="170"/>
        <v/>
      </c>
      <c r="OOJ83" s="248" t="str">
        <f t="shared" si="170"/>
        <v/>
      </c>
      <c r="OOK83" s="248" t="str">
        <f t="shared" si="170"/>
        <v/>
      </c>
      <c r="OOL83" s="248" t="str">
        <f t="shared" si="170"/>
        <v/>
      </c>
      <c r="OOM83" s="248" t="str">
        <f t="shared" si="170"/>
        <v/>
      </c>
      <c r="OON83" s="248" t="str">
        <f t="shared" si="170"/>
        <v/>
      </c>
      <c r="OOO83" s="248" t="str">
        <f t="shared" si="170"/>
        <v/>
      </c>
      <c r="OOP83" s="248" t="str">
        <f t="shared" si="170"/>
        <v/>
      </c>
      <c r="OOQ83" s="248" t="str">
        <f t="shared" si="170"/>
        <v/>
      </c>
      <c r="OOR83" s="248" t="str">
        <f t="shared" si="170"/>
        <v/>
      </c>
      <c r="OOS83" s="248" t="str">
        <f t="shared" si="170"/>
        <v/>
      </c>
      <c r="OOT83" s="248" t="str">
        <f t="shared" si="170"/>
        <v/>
      </c>
      <c r="OOU83" s="248" t="str">
        <f t="shared" si="170"/>
        <v/>
      </c>
      <c r="OOV83" s="248" t="str">
        <f t="shared" si="170"/>
        <v/>
      </c>
      <c r="OOW83" s="248" t="str">
        <f t="shared" si="170"/>
        <v/>
      </c>
      <c r="OOX83" s="248" t="str">
        <f t="shared" si="170"/>
        <v/>
      </c>
      <c r="OOY83" s="248" t="str">
        <f t="shared" si="170"/>
        <v/>
      </c>
      <c r="OOZ83" s="248" t="str">
        <f t="shared" si="170"/>
        <v/>
      </c>
      <c r="OPA83" s="248" t="str">
        <f t="shared" si="170"/>
        <v/>
      </c>
      <c r="OPB83" s="248" t="str">
        <f t="shared" si="170"/>
        <v/>
      </c>
      <c r="OPC83" s="248" t="str">
        <f t="shared" si="170"/>
        <v/>
      </c>
      <c r="OPD83" s="248" t="str">
        <f t="shared" si="170"/>
        <v/>
      </c>
      <c r="OPE83" s="248" t="str">
        <f t="shared" si="170"/>
        <v/>
      </c>
      <c r="OPF83" s="248" t="str">
        <f t="shared" si="170"/>
        <v/>
      </c>
      <c r="OPG83" s="248" t="str">
        <f t="shared" si="170"/>
        <v/>
      </c>
      <c r="OPH83" s="248" t="str">
        <f t="shared" si="170"/>
        <v/>
      </c>
      <c r="OPI83" s="248" t="str">
        <f t="shared" si="170"/>
        <v/>
      </c>
      <c r="OPJ83" s="248" t="str">
        <f t="shared" si="170"/>
        <v/>
      </c>
      <c r="OPK83" s="248" t="str">
        <f t="shared" si="170"/>
        <v/>
      </c>
      <c r="OPL83" s="248" t="str">
        <f t="shared" si="170"/>
        <v/>
      </c>
      <c r="OPM83" s="248" t="str">
        <f t="shared" si="170"/>
        <v/>
      </c>
      <c r="OPN83" s="248" t="str">
        <f t="shared" si="170"/>
        <v/>
      </c>
      <c r="OPO83" s="248" t="str">
        <f t="shared" si="170"/>
        <v/>
      </c>
      <c r="OPP83" s="248" t="str">
        <f t="shared" si="170"/>
        <v/>
      </c>
      <c r="OPQ83" s="248" t="str">
        <f t="shared" si="170"/>
        <v/>
      </c>
      <c r="OPR83" s="248" t="str">
        <f t="shared" si="170"/>
        <v/>
      </c>
      <c r="OPS83" s="248" t="str">
        <f t="shared" si="170"/>
        <v/>
      </c>
      <c r="OPT83" s="248" t="str">
        <f t="shared" si="170"/>
        <v/>
      </c>
      <c r="OPU83" s="248" t="str">
        <f t="shared" si="170"/>
        <v/>
      </c>
      <c r="OPV83" s="248" t="str">
        <f t="shared" si="170"/>
        <v/>
      </c>
      <c r="OPW83" s="248" t="str">
        <f t="shared" si="170"/>
        <v/>
      </c>
      <c r="OPX83" s="248" t="str">
        <f t="shared" si="170"/>
        <v/>
      </c>
      <c r="OPY83" s="248" t="str">
        <f t="shared" si="170"/>
        <v/>
      </c>
      <c r="OPZ83" s="248" t="str">
        <f t="shared" si="170"/>
        <v/>
      </c>
      <c r="OQA83" s="248" t="str">
        <f t="shared" si="170"/>
        <v/>
      </c>
      <c r="OQB83" s="248" t="str">
        <f t="shared" si="170"/>
        <v/>
      </c>
      <c r="OQC83" s="248" t="str">
        <f t="shared" si="170"/>
        <v/>
      </c>
      <c r="OQD83" s="248" t="str">
        <f t="shared" si="170"/>
        <v/>
      </c>
      <c r="OQE83" s="248" t="str">
        <f t="shared" si="170"/>
        <v/>
      </c>
      <c r="OQF83" s="248" t="str">
        <f t="shared" si="170"/>
        <v/>
      </c>
      <c r="OQG83" s="248" t="str">
        <f t="shared" si="170"/>
        <v/>
      </c>
      <c r="OQH83" s="248" t="str">
        <f t="shared" si="170"/>
        <v/>
      </c>
      <c r="OQI83" s="248" t="str">
        <f t="shared" ref="OQI83:OST83" si="171">UPPER(OQG83)</f>
        <v/>
      </c>
      <c r="OQJ83" s="248" t="str">
        <f t="shared" si="171"/>
        <v/>
      </c>
      <c r="OQK83" s="248" t="str">
        <f t="shared" si="171"/>
        <v/>
      </c>
      <c r="OQL83" s="248" t="str">
        <f t="shared" si="171"/>
        <v/>
      </c>
      <c r="OQM83" s="248" t="str">
        <f t="shared" si="171"/>
        <v/>
      </c>
      <c r="OQN83" s="248" t="str">
        <f t="shared" si="171"/>
        <v/>
      </c>
      <c r="OQO83" s="248" t="str">
        <f t="shared" si="171"/>
        <v/>
      </c>
      <c r="OQP83" s="248" t="str">
        <f t="shared" si="171"/>
        <v/>
      </c>
      <c r="OQQ83" s="248" t="str">
        <f t="shared" si="171"/>
        <v/>
      </c>
      <c r="OQR83" s="248" t="str">
        <f t="shared" si="171"/>
        <v/>
      </c>
      <c r="OQS83" s="248" t="str">
        <f t="shared" si="171"/>
        <v/>
      </c>
      <c r="OQT83" s="248" t="str">
        <f t="shared" si="171"/>
        <v/>
      </c>
      <c r="OQU83" s="248" t="str">
        <f t="shared" si="171"/>
        <v/>
      </c>
      <c r="OQV83" s="248" t="str">
        <f t="shared" si="171"/>
        <v/>
      </c>
      <c r="OQW83" s="248" t="str">
        <f t="shared" si="171"/>
        <v/>
      </c>
      <c r="OQX83" s="248" t="str">
        <f t="shared" si="171"/>
        <v/>
      </c>
      <c r="OQY83" s="248" t="str">
        <f t="shared" si="171"/>
        <v/>
      </c>
      <c r="OQZ83" s="248" t="str">
        <f t="shared" si="171"/>
        <v/>
      </c>
      <c r="ORA83" s="248" t="str">
        <f t="shared" si="171"/>
        <v/>
      </c>
      <c r="ORB83" s="248" t="str">
        <f t="shared" si="171"/>
        <v/>
      </c>
      <c r="ORC83" s="248" t="str">
        <f t="shared" si="171"/>
        <v/>
      </c>
      <c r="ORD83" s="248" t="str">
        <f t="shared" si="171"/>
        <v/>
      </c>
      <c r="ORE83" s="248" t="str">
        <f t="shared" si="171"/>
        <v/>
      </c>
      <c r="ORF83" s="248" t="str">
        <f t="shared" si="171"/>
        <v/>
      </c>
      <c r="ORG83" s="248" t="str">
        <f t="shared" si="171"/>
        <v/>
      </c>
      <c r="ORH83" s="248" t="str">
        <f t="shared" si="171"/>
        <v/>
      </c>
      <c r="ORI83" s="248" t="str">
        <f t="shared" si="171"/>
        <v/>
      </c>
      <c r="ORJ83" s="248" t="str">
        <f t="shared" si="171"/>
        <v/>
      </c>
      <c r="ORK83" s="248" t="str">
        <f t="shared" si="171"/>
        <v/>
      </c>
      <c r="ORL83" s="248" t="str">
        <f t="shared" si="171"/>
        <v/>
      </c>
      <c r="ORM83" s="248" t="str">
        <f t="shared" si="171"/>
        <v/>
      </c>
      <c r="ORN83" s="248" t="str">
        <f t="shared" si="171"/>
        <v/>
      </c>
      <c r="ORO83" s="248" t="str">
        <f t="shared" si="171"/>
        <v/>
      </c>
      <c r="ORP83" s="248" t="str">
        <f t="shared" si="171"/>
        <v/>
      </c>
      <c r="ORQ83" s="248" t="str">
        <f t="shared" si="171"/>
        <v/>
      </c>
      <c r="ORR83" s="248" t="str">
        <f t="shared" si="171"/>
        <v/>
      </c>
      <c r="ORS83" s="248" t="str">
        <f t="shared" si="171"/>
        <v/>
      </c>
      <c r="ORT83" s="248" t="str">
        <f t="shared" si="171"/>
        <v/>
      </c>
      <c r="ORU83" s="248" t="str">
        <f t="shared" si="171"/>
        <v/>
      </c>
      <c r="ORV83" s="248" t="str">
        <f t="shared" si="171"/>
        <v/>
      </c>
      <c r="ORW83" s="248" t="str">
        <f t="shared" si="171"/>
        <v/>
      </c>
      <c r="ORX83" s="248" t="str">
        <f t="shared" si="171"/>
        <v/>
      </c>
      <c r="ORY83" s="248" t="str">
        <f t="shared" si="171"/>
        <v/>
      </c>
      <c r="ORZ83" s="248" t="str">
        <f t="shared" si="171"/>
        <v/>
      </c>
      <c r="OSA83" s="248" t="str">
        <f t="shared" si="171"/>
        <v/>
      </c>
      <c r="OSB83" s="248" t="str">
        <f t="shared" si="171"/>
        <v/>
      </c>
      <c r="OSC83" s="248" t="str">
        <f t="shared" si="171"/>
        <v/>
      </c>
      <c r="OSD83" s="248" t="str">
        <f t="shared" si="171"/>
        <v/>
      </c>
      <c r="OSE83" s="248" t="str">
        <f t="shared" si="171"/>
        <v/>
      </c>
      <c r="OSF83" s="248" t="str">
        <f t="shared" si="171"/>
        <v/>
      </c>
      <c r="OSG83" s="248" t="str">
        <f t="shared" si="171"/>
        <v/>
      </c>
      <c r="OSH83" s="248" t="str">
        <f t="shared" si="171"/>
        <v/>
      </c>
      <c r="OSI83" s="248" t="str">
        <f t="shared" si="171"/>
        <v/>
      </c>
      <c r="OSJ83" s="248" t="str">
        <f t="shared" si="171"/>
        <v/>
      </c>
      <c r="OSK83" s="248" t="str">
        <f t="shared" si="171"/>
        <v/>
      </c>
      <c r="OSL83" s="248" t="str">
        <f t="shared" si="171"/>
        <v/>
      </c>
      <c r="OSM83" s="248" t="str">
        <f t="shared" si="171"/>
        <v/>
      </c>
      <c r="OSN83" s="248" t="str">
        <f t="shared" si="171"/>
        <v/>
      </c>
      <c r="OSO83" s="248" t="str">
        <f t="shared" si="171"/>
        <v/>
      </c>
      <c r="OSP83" s="248" t="str">
        <f t="shared" si="171"/>
        <v/>
      </c>
      <c r="OSQ83" s="248" t="str">
        <f t="shared" si="171"/>
        <v/>
      </c>
      <c r="OSR83" s="248" t="str">
        <f t="shared" si="171"/>
        <v/>
      </c>
      <c r="OSS83" s="248" t="str">
        <f t="shared" si="171"/>
        <v/>
      </c>
      <c r="OST83" s="248" t="str">
        <f t="shared" si="171"/>
        <v/>
      </c>
      <c r="OSU83" s="248" t="str">
        <f t="shared" ref="OSU83:OVF83" si="172">UPPER(OSS83)</f>
        <v/>
      </c>
      <c r="OSV83" s="248" t="str">
        <f t="shared" si="172"/>
        <v/>
      </c>
      <c r="OSW83" s="248" t="str">
        <f t="shared" si="172"/>
        <v/>
      </c>
      <c r="OSX83" s="248" t="str">
        <f t="shared" si="172"/>
        <v/>
      </c>
      <c r="OSY83" s="248" t="str">
        <f t="shared" si="172"/>
        <v/>
      </c>
      <c r="OSZ83" s="248" t="str">
        <f t="shared" si="172"/>
        <v/>
      </c>
      <c r="OTA83" s="248" t="str">
        <f t="shared" si="172"/>
        <v/>
      </c>
      <c r="OTB83" s="248" t="str">
        <f t="shared" si="172"/>
        <v/>
      </c>
      <c r="OTC83" s="248" t="str">
        <f t="shared" si="172"/>
        <v/>
      </c>
      <c r="OTD83" s="248" t="str">
        <f t="shared" si="172"/>
        <v/>
      </c>
      <c r="OTE83" s="248" t="str">
        <f t="shared" si="172"/>
        <v/>
      </c>
      <c r="OTF83" s="248" t="str">
        <f t="shared" si="172"/>
        <v/>
      </c>
      <c r="OTG83" s="248" t="str">
        <f t="shared" si="172"/>
        <v/>
      </c>
      <c r="OTH83" s="248" t="str">
        <f t="shared" si="172"/>
        <v/>
      </c>
      <c r="OTI83" s="248" t="str">
        <f t="shared" si="172"/>
        <v/>
      </c>
      <c r="OTJ83" s="248" t="str">
        <f t="shared" si="172"/>
        <v/>
      </c>
      <c r="OTK83" s="248" t="str">
        <f t="shared" si="172"/>
        <v/>
      </c>
      <c r="OTL83" s="248" t="str">
        <f t="shared" si="172"/>
        <v/>
      </c>
      <c r="OTM83" s="248" t="str">
        <f t="shared" si="172"/>
        <v/>
      </c>
      <c r="OTN83" s="248" t="str">
        <f t="shared" si="172"/>
        <v/>
      </c>
      <c r="OTO83" s="248" t="str">
        <f t="shared" si="172"/>
        <v/>
      </c>
      <c r="OTP83" s="248" t="str">
        <f t="shared" si="172"/>
        <v/>
      </c>
      <c r="OTQ83" s="248" t="str">
        <f t="shared" si="172"/>
        <v/>
      </c>
      <c r="OTR83" s="248" t="str">
        <f t="shared" si="172"/>
        <v/>
      </c>
      <c r="OTS83" s="248" t="str">
        <f t="shared" si="172"/>
        <v/>
      </c>
      <c r="OTT83" s="248" t="str">
        <f t="shared" si="172"/>
        <v/>
      </c>
      <c r="OTU83" s="248" t="str">
        <f t="shared" si="172"/>
        <v/>
      </c>
      <c r="OTV83" s="248" t="str">
        <f t="shared" si="172"/>
        <v/>
      </c>
      <c r="OTW83" s="248" t="str">
        <f t="shared" si="172"/>
        <v/>
      </c>
      <c r="OTX83" s="248" t="str">
        <f t="shared" si="172"/>
        <v/>
      </c>
      <c r="OTY83" s="248" t="str">
        <f t="shared" si="172"/>
        <v/>
      </c>
      <c r="OTZ83" s="248" t="str">
        <f t="shared" si="172"/>
        <v/>
      </c>
      <c r="OUA83" s="248" t="str">
        <f t="shared" si="172"/>
        <v/>
      </c>
      <c r="OUB83" s="248" t="str">
        <f t="shared" si="172"/>
        <v/>
      </c>
      <c r="OUC83" s="248" t="str">
        <f t="shared" si="172"/>
        <v/>
      </c>
      <c r="OUD83" s="248" t="str">
        <f t="shared" si="172"/>
        <v/>
      </c>
      <c r="OUE83" s="248" t="str">
        <f t="shared" si="172"/>
        <v/>
      </c>
      <c r="OUF83" s="248" t="str">
        <f t="shared" si="172"/>
        <v/>
      </c>
      <c r="OUG83" s="248" t="str">
        <f t="shared" si="172"/>
        <v/>
      </c>
      <c r="OUH83" s="248" t="str">
        <f t="shared" si="172"/>
        <v/>
      </c>
      <c r="OUI83" s="248" t="str">
        <f t="shared" si="172"/>
        <v/>
      </c>
      <c r="OUJ83" s="248" t="str">
        <f t="shared" si="172"/>
        <v/>
      </c>
      <c r="OUK83" s="248" t="str">
        <f t="shared" si="172"/>
        <v/>
      </c>
      <c r="OUL83" s="248" t="str">
        <f t="shared" si="172"/>
        <v/>
      </c>
      <c r="OUM83" s="248" t="str">
        <f t="shared" si="172"/>
        <v/>
      </c>
      <c r="OUN83" s="248" t="str">
        <f t="shared" si="172"/>
        <v/>
      </c>
      <c r="OUO83" s="248" t="str">
        <f t="shared" si="172"/>
        <v/>
      </c>
      <c r="OUP83" s="248" t="str">
        <f t="shared" si="172"/>
        <v/>
      </c>
      <c r="OUQ83" s="248" t="str">
        <f t="shared" si="172"/>
        <v/>
      </c>
      <c r="OUR83" s="248" t="str">
        <f t="shared" si="172"/>
        <v/>
      </c>
      <c r="OUS83" s="248" t="str">
        <f t="shared" si="172"/>
        <v/>
      </c>
      <c r="OUT83" s="248" t="str">
        <f t="shared" si="172"/>
        <v/>
      </c>
      <c r="OUU83" s="248" t="str">
        <f t="shared" si="172"/>
        <v/>
      </c>
      <c r="OUV83" s="248" t="str">
        <f t="shared" si="172"/>
        <v/>
      </c>
      <c r="OUW83" s="248" t="str">
        <f t="shared" si="172"/>
        <v/>
      </c>
      <c r="OUX83" s="248" t="str">
        <f t="shared" si="172"/>
        <v/>
      </c>
      <c r="OUY83" s="248" t="str">
        <f t="shared" si="172"/>
        <v/>
      </c>
      <c r="OUZ83" s="248" t="str">
        <f t="shared" si="172"/>
        <v/>
      </c>
      <c r="OVA83" s="248" t="str">
        <f t="shared" si="172"/>
        <v/>
      </c>
      <c r="OVB83" s="248" t="str">
        <f t="shared" si="172"/>
        <v/>
      </c>
      <c r="OVC83" s="248" t="str">
        <f t="shared" si="172"/>
        <v/>
      </c>
      <c r="OVD83" s="248" t="str">
        <f t="shared" si="172"/>
        <v/>
      </c>
      <c r="OVE83" s="248" t="str">
        <f t="shared" si="172"/>
        <v/>
      </c>
      <c r="OVF83" s="248" t="str">
        <f t="shared" si="172"/>
        <v/>
      </c>
      <c r="OVG83" s="248" t="str">
        <f t="shared" ref="OVG83:OXR83" si="173">UPPER(OVE83)</f>
        <v/>
      </c>
      <c r="OVH83" s="248" t="str">
        <f t="shared" si="173"/>
        <v/>
      </c>
      <c r="OVI83" s="248" t="str">
        <f t="shared" si="173"/>
        <v/>
      </c>
      <c r="OVJ83" s="248" t="str">
        <f t="shared" si="173"/>
        <v/>
      </c>
      <c r="OVK83" s="248" t="str">
        <f t="shared" si="173"/>
        <v/>
      </c>
      <c r="OVL83" s="248" t="str">
        <f t="shared" si="173"/>
        <v/>
      </c>
      <c r="OVM83" s="248" t="str">
        <f t="shared" si="173"/>
        <v/>
      </c>
      <c r="OVN83" s="248" t="str">
        <f t="shared" si="173"/>
        <v/>
      </c>
      <c r="OVO83" s="248" t="str">
        <f t="shared" si="173"/>
        <v/>
      </c>
      <c r="OVP83" s="248" t="str">
        <f t="shared" si="173"/>
        <v/>
      </c>
      <c r="OVQ83" s="248" t="str">
        <f t="shared" si="173"/>
        <v/>
      </c>
      <c r="OVR83" s="248" t="str">
        <f t="shared" si="173"/>
        <v/>
      </c>
      <c r="OVS83" s="248" t="str">
        <f t="shared" si="173"/>
        <v/>
      </c>
      <c r="OVT83" s="248" t="str">
        <f t="shared" si="173"/>
        <v/>
      </c>
      <c r="OVU83" s="248" t="str">
        <f t="shared" si="173"/>
        <v/>
      </c>
      <c r="OVV83" s="248" t="str">
        <f t="shared" si="173"/>
        <v/>
      </c>
      <c r="OVW83" s="248" t="str">
        <f t="shared" si="173"/>
        <v/>
      </c>
      <c r="OVX83" s="248" t="str">
        <f t="shared" si="173"/>
        <v/>
      </c>
      <c r="OVY83" s="248" t="str">
        <f t="shared" si="173"/>
        <v/>
      </c>
      <c r="OVZ83" s="248" t="str">
        <f t="shared" si="173"/>
        <v/>
      </c>
      <c r="OWA83" s="248" t="str">
        <f t="shared" si="173"/>
        <v/>
      </c>
      <c r="OWB83" s="248" t="str">
        <f t="shared" si="173"/>
        <v/>
      </c>
      <c r="OWC83" s="248" t="str">
        <f t="shared" si="173"/>
        <v/>
      </c>
      <c r="OWD83" s="248" t="str">
        <f t="shared" si="173"/>
        <v/>
      </c>
      <c r="OWE83" s="248" t="str">
        <f t="shared" si="173"/>
        <v/>
      </c>
      <c r="OWF83" s="248" t="str">
        <f t="shared" si="173"/>
        <v/>
      </c>
      <c r="OWG83" s="248" t="str">
        <f t="shared" si="173"/>
        <v/>
      </c>
      <c r="OWH83" s="248" t="str">
        <f t="shared" si="173"/>
        <v/>
      </c>
      <c r="OWI83" s="248" t="str">
        <f t="shared" si="173"/>
        <v/>
      </c>
      <c r="OWJ83" s="248" t="str">
        <f t="shared" si="173"/>
        <v/>
      </c>
      <c r="OWK83" s="248" t="str">
        <f t="shared" si="173"/>
        <v/>
      </c>
      <c r="OWL83" s="248" t="str">
        <f t="shared" si="173"/>
        <v/>
      </c>
      <c r="OWM83" s="248" t="str">
        <f t="shared" si="173"/>
        <v/>
      </c>
      <c r="OWN83" s="248" t="str">
        <f t="shared" si="173"/>
        <v/>
      </c>
      <c r="OWO83" s="248" t="str">
        <f t="shared" si="173"/>
        <v/>
      </c>
      <c r="OWP83" s="248" t="str">
        <f t="shared" si="173"/>
        <v/>
      </c>
      <c r="OWQ83" s="248" t="str">
        <f t="shared" si="173"/>
        <v/>
      </c>
      <c r="OWR83" s="248" t="str">
        <f t="shared" si="173"/>
        <v/>
      </c>
      <c r="OWS83" s="248" t="str">
        <f t="shared" si="173"/>
        <v/>
      </c>
      <c r="OWT83" s="248" t="str">
        <f t="shared" si="173"/>
        <v/>
      </c>
      <c r="OWU83" s="248" t="str">
        <f t="shared" si="173"/>
        <v/>
      </c>
      <c r="OWV83" s="248" t="str">
        <f t="shared" si="173"/>
        <v/>
      </c>
      <c r="OWW83" s="248" t="str">
        <f t="shared" si="173"/>
        <v/>
      </c>
      <c r="OWX83" s="248" t="str">
        <f t="shared" si="173"/>
        <v/>
      </c>
      <c r="OWY83" s="248" t="str">
        <f t="shared" si="173"/>
        <v/>
      </c>
      <c r="OWZ83" s="248" t="str">
        <f t="shared" si="173"/>
        <v/>
      </c>
      <c r="OXA83" s="248" t="str">
        <f t="shared" si="173"/>
        <v/>
      </c>
      <c r="OXB83" s="248" t="str">
        <f t="shared" si="173"/>
        <v/>
      </c>
      <c r="OXC83" s="248" t="str">
        <f t="shared" si="173"/>
        <v/>
      </c>
      <c r="OXD83" s="248" t="str">
        <f t="shared" si="173"/>
        <v/>
      </c>
      <c r="OXE83" s="248" t="str">
        <f t="shared" si="173"/>
        <v/>
      </c>
      <c r="OXF83" s="248" t="str">
        <f t="shared" si="173"/>
        <v/>
      </c>
      <c r="OXG83" s="248" t="str">
        <f t="shared" si="173"/>
        <v/>
      </c>
      <c r="OXH83" s="248" t="str">
        <f t="shared" si="173"/>
        <v/>
      </c>
      <c r="OXI83" s="248" t="str">
        <f t="shared" si="173"/>
        <v/>
      </c>
      <c r="OXJ83" s="248" t="str">
        <f t="shared" si="173"/>
        <v/>
      </c>
      <c r="OXK83" s="248" t="str">
        <f t="shared" si="173"/>
        <v/>
      </c>
      <c r="OXL83" s="248" t="str">
        <f t="shared" si="173"/>
        <v/>
      </c>
      <c r="OXM83" s="248" t="str">
        <f t="shared" si="173"/>
        <v/>
      </c>
      <c r="OXN83" s="248" t="str">
        <f t="shared" si="173"/>
        <v/>
      </c>
      <c r="OXO83" s="248" t="str">
        <f t="shared" si="173"/>
        <v/>
      </c>
      <c r="OXP83" s="248" t="str">
        <f t="shared" si="173"/>
        <v/>
      </c>
      <c r="OXQ83" s="248" t="str">
        <f t="shared" si="173"/>
        <v/>
      </c>
      <c r="OXR83" s="248" t="str">
        <f t="shared" si="173"/>
        <v/>
      </c>
      <c r="OXS83" s="248" t="str">
        <f t="shared" ref="OXS83:PAD83" si="174">UPPER(OXQ83)</f>
        <v/>
      </c>
      <c r="OXT83" s="248" t="str">
        <f t="shared" si="174"/>
        <v/>
      </c>
      <c r="OXU83" s="248" t="str">
        <f t="shared" si="174"/>
        <v/>
      </c>
      <c r="OXV83" s="248" t="str">
        <f t="shared" si="174"/>
        <v/>
      </c>
      <c r="OXW83" s="248" t="str">
        <f t="shared" si="174"/>
        <v/>
      </c>
      <c r="OXX83" s="248" t="str">
        <f t="shared" si="174"/>
        <v/>
      </c>
      <c r="OXY83" s="248" t="str">
        <f t="shared" si="174"/>
        <v/>
      </c>
      <c r="OXZ83" s="248" t="str">
        <f t="shared" si="174"/>
        <v/>
      </c>
      <c r="OYA83" s="248" t="str">
        <f t="shared" si="174"/>
        <v/>
      </c>
      <c r="OYB83" s="248" t="str">
        <f t="shared" si="174"/>
        <v/>
      </c>
      <c r="OYC83" s="248" t="str">
        <f t="shared" si="174"/>
        <v/>
      </c>
      <c r="OYD83" s="248" t="str">
        <f t="shared" si="174"/>
        <v/>
      </c>
      <c r="OYE83" s="248" t="str">
        <f t="shared" si="174"/>
        <v/>
      </c>
      <c r="OYF83" s="248" t="str">
        <f t="shared" si="174"/>
        <v/>
      </c>
      <c r="OYG83" s="248" t="str">
        <f t="shared" si="174"/>
        <v/>
      </c>
      <c r="OYH83" s="248" t="str">
        <f t="shared" si="174"/>
        <v/>
      </c>
      <c r="OYI83" s="248" t="str">
        <f t="shared" si="174"/>
        <v/>
      </c>
      <c r="OYJ83" s="248" t="str">
        <f t="shared" si="174"/>
        <v/>
      </c>
      <c r="OYK83" s="248" t="str">
        <f t="shared" si="174"/>
        <v/>
      </c>
      <c r="OYL83" s="248" t="str">
        <f t="shared" si="174"/>
        <v/>
      </c>
      <c r="OYM83" s="248" t="str">
        <f t="shared" si="174"/>
        <v/>
      </c>
      <c r="OYN83" s="248" t="str">
        <f t="shared" si="174"/>
        <v/>
      </c>
      <c r="OYO83" s="248" t="str">
        <f t="shared" si="174"/>
        <v/>
      </c>
      <c r="OYP83" s="248" t="str">
        <f t="shared" si="174"/>
        <v/>
      </c>
      <c r="OYQ83" s="248" t="str">
        <f t="shared" si="174"/>
        <v/>
      </c>
      <c r="OYR83" s="248" t="str">
        <f t="shared" si="174"/>
        <v/>
      </c>
      <c r="OYS83" s="248" t="str">
        <f t="shared" si="174"/>
        <v/>
      </c>
      <c r="OYT83" s="248" t="str">
        <f t="shared" si="174"/>
        <v/>
      </c>
      <c r="OYU83" s="248" t="str">
        <f t="shared" si="174"/>
        <v/>
      </c>
      <c r="OYV83" s="248" t="str">
        <f t="shared" si="174"/>
        <v/>
      </c>
      <c r="OYW83" s="248" t="str">
        <f t="shared" si="174"/>
        <v/>
      </c>
      <c r="OYX83" s="248" t="str">
        <f t="shared" si="174"/>
        <v/>
      </c>
      <c r="OYY83" s="248" t="str">
        <f t="shared" si="174"/>
        <v/>
      </c>
      <c r="OYZ83" s="248" t="str">
        <f t="shared" si="174"/>
        <v/>
      </c>
      <c r="OZA83" s="248" t="str">
        <f t="shared" si="174"/>
        <v/>
      </c>
      <c r="OZB83" s="248" t="str">
        <f t="shared" si="174"/>
        <v/>
      </c>
      <c r="OZC83" s="248" t="str">
        <f t="shared" si="174"/>
        <v/>
      </c>
      <c r="OZD83" s="248" t="str">
        <f t="shared" si="174"/>
        <v/>
      </c>
      <c r="OZE83" s="248" t="str">
        <f t="shared" si="174"/>
        <v/>
      </c>
      <c r="OZF83" s="248" t="str">
        <f t="shared" si="174"/>
        <v/>
      </c>
      <c r="OZG83" s="248" t="str">
        <f t="shared" si="174"/>
        <v/>
      </c>
      <c r="OZH83" s="248" t="str">
        <f t="shared" si="174"/>
        <v/>
      </c>
      <c r="OZI83" s="248" t="str">
        <f t="shared" si="174"/>
        <v/>
      </c>
      <c r="OZJ83" s="248" t="str">
        <f t="shared" si="174"/>
        <v/>
      </c>
      <c r="OZK83" s="248" t="str">
        <f t="shared" si="174"/>
        <v/>
      </c>
      <c r="OZL83" s="248" t="str">
        <f t="shared" si="174"/>
        <v/>
      </c>
      <c r="OZM83" s="248" t="str">
        <f t="shared" si="174"/>
        <v/>
      </c>
      <c r="OZN83" s="248" t="str">
        <f t="shared" si="174"/>
        <v/>
      </c>
      <c r="OZO83" s="248" t="str">
        <f t="shared" si="174"/>
        <v/>
      </c>
      <c r="OZP83" s="248" t="str">
        <f t="shared" si="174"/>
        <v/>
      </c>
      <c r="OZQ83" s="248" t="str">
        <f t="shared" si="174"/>
        <v/>
      </c>
      <c r="OZR83" s="248" t="str">
        <f t="shared" si="174"/>
        <v/>
      </c>
      <c r="OZS83" s="248" t="str">
        <f t="shared" si="174"/>
        <v/>
      </c>
      <c r="OZT83" s="248" t="str">
        <f t="shared" si="174"/>
        <v/>
      </c>
      <c r="OZU83" s="248" t="str">
        <f t="shared" si="174"/>
        <v/>
      </c>
      <c r="OZV83" s="248" t="str">
        <f t="shared" si="174"/>
        <v/>
      </c>
      <c r="OZW83" s="248" t="str">
        <f t="shared" si="174"/>
        <v/>
      </c>
      <c r="OZX83" s="248" t="str">
        <f t="shared" si="174"/>
        <v/>
      </c>
      <c r="OZY83" s="248" t="str">
        <f t="shared" si="174"/>
        <v/>
      </c>
      <c r="OZZ83" s="248" t="str">
        <f t="shared" si="174"/>
        <v/>
      </c>
      <c r="PAA83" s="248" t="str">
        <f t="shared" si="174"/>
        <v/>
      </c>
      <c r="PAB83" s="248" t="str">
        <f t="shared" si="174"/>
        <v/>
      </c>
      <c r="PAC83" s="248" t="str">
        <f t="shared" si="174"/>
        <v/>
      </c>
      <c r="PAD83" s="248" t="str">
        <f t="shared" si="174"/>
        <v/>
      </c>
      <c r="PAE83" s="248" t="str">
        <f t="shared" ref="PAE83:PCP83" si="175">UPPER(PAC83)</f>
        <v/>
      </c>
      <c r="PAF83" s="248" t="str">
        <f t="shared" si="175"/>
        <v/>
      </c>
      <c r="PAG83" s="248" t="str">
        <f t="shared" si="175"/>
        <v/>
      </c>
      <c r="PAH83" s="248" t="str">
        <f t="shared" si="175"/>
        <v/>
      </c>
      <c r="PAI83" s="248" t="str">
        <f t="shared" si="175"/>
        <v/>
      </c>
      <c r="PAJ83" s="248" t="str">
        <f t="shared" si="175"/>
        <v/>
      </c>
      <c r="PAK83" s="248" t="str">
        <f t="shared" si="175"/>
        <v/>
      </c>
      <c r="PAL83" s="248" t="str">
        <f t="shared" si="175"/>
        <v/>
      </c>
      <c r="PAM83" s="248" t="str">
        <f t="shared" si="175"/>
        <v/>
      </c>
      <c r="PAN83" s="248" t="str">
        <f t="shared" si="175"/>
        <v/>
      </c>
      <c r="PAO83" s="248" t="str">
        <f t="shared" si="175"/>
        <v/>
      </c>
      <c r="PAP83" s="248" t="str">
        <f t="shared" si="175"/>
        <v/>
      </c>
      <c r="PAQ83" s="248" t="str">
        <f t="shared" si="175"/>
        <v/>
      </c>
      <c r="PAR83" s="248" t="str">
        <f t="shared" si="175"/>
        <v/>
      </c>
      <c r="PAS83" s="248" t="str">
        <f t="shared" si="175"/>
        <v/>
      </c>
      <c r="PAT83" s="248" t="str">
        <f t="shared" si="175"/>
        <v/>
      </c>
      <c r="PAU83" s="248" t="str">
        <f t="shared" si="175"/>
        <v/>
      </c>
      <c r="PAV83" s="248" t="str">
        <f t="shared" si="175"/>
        <v/>
      </c>
      <c r="PAW83" s="248" t="str">
        <f t="shared" si="175"/>
        <v/>
      </c>
      <c r="PAX83" s="248" t="str">
        <f t="shared" si="175"/>
        <v/>
      </c>
      <c r="PAY83" s="248" t="str">
        <f t="shared" si="175"/>
        <v/>
      </c>
      <c r="PAZ83" s="248" t="str">
        <f t="shared" si="175"/>
        <v/>
      </c>
      <c r="PBA83" s="248" t="str">
        <f t="shared" si="175"/>
        <v/>
      </c>
      <c r="PBB83" s="248" t="str">
        <f t="shared" si="175"/>
        <v/>
      </c>
      <c r="PBC83" s="248" t="str">
        <f t="shared" si="175"/>
        <v/>
      </c>
      <c r="PBD83" s="248" t="str">
        <f t="shared" si="175"/>
        <v/>
      </c>
      <c r="PBE83" s="248" t="str">
        <f t="shared" si="175"/>
        <v/>
      </c>
      <c r="PBF83" s="248" t="str">
        <f t="shared" si="175"/>
        <v/>
      </c>
      <c r="PBG83" s="248" t="str">
        <f t="shared" si="175"/>
        <v/>
      </c>
      <c r="PBH83" s="248" t="str">
        <f t="shared" si="175"/>
        <v/>
      </c>
      <c r="PBI83" s="248" t="str">
        <f t="shared" si="175"/>
        <v/>
      </c>
      <c r="PBJ83" s="248" t="str">
        <f t="shared" si="175"/>
        <v/>
      </c>
      <c r="PBK83" s="248" t="str">
        <f t="shared" si="175"/>
        <v/>
      </c>
      <c r="PBL83" s="248" t="str">
        <f t="shared" si="175"/>
        <v/>
      </c>
      <c r="PBM83" s="248" t="str">
        <f t="shared" si="175"/>
        <v/>
      </c>
      <c r="PBN83" s="248" t="str">
        <f t="shared" si="175"/>
        <v/>
      </c>
      <c r="PBO83" s="248" t="str">
        <f t="shared" si="175"/>
        <v/>
      </c>
      <c r="PBP83" s="248" t="str">
        <f t="shared" si="175"/>
        <v/>
      </c>
      <c r="PBQ83" s="248" t="str">
        <f t="shared" si="175"/>
        <v/>
      </c>
      <c r="PBR83" s="248" t="str">
        <f t="shared" si="175"/>
        <v/>
      </c>
      <c r="PBS83" s="248" t="str">
        <f t="shared" si="175"/>
        <v/>
      </c>
      <c r="PBT83" s="248" t="str">
        <f t="shared" si="175"/>
        <v/>
      </c>
      <c r="PBU83" s="248" t="str">
        <f t="shared" si="175"/>
        <v/>
      </c>
      <c r="PBV83" s="248" t="str">
        <f t="shared" si="175"/>
        <v/>
      </c>
      <c r="PBW83" s="248" t="str">
        <f t="shared" si="175"/>
        <v/>
      </c>
      <c r="PBX83" s="248" t="str">
        <f t="shared" si="175"/>
        <v/>
      </c>
      <c r="PBY83" s="248" t="str">
        <f t="shared" si="175"/>
        <v/>
      </c>
      <c r="PBZ83" s="248" t="str">
        <f t="shared" si="175"/>
        <v/>
      </c>
      <c r="PCA83" s="248" t="str">
        <f t="shared" si="175"/>
        <v/>
      </c>
      <c r="PCB83" s="248" t="str">
        <f t="shared" si="175"/>
        <v/>
      </c>
      <c r="PCC83" s="248" t="str">
        <f t="shared" si="175"/>
        <v/>
      </c>
      <c r="PCD83" s="248" t="str">
        <f t="shared" si="175"/>
        <v/>
      </c>
      <c r="PCE83" s="248" t="str">
        <f t="shared" si="175"/>
        <v/>
      </c>
      <c r="PCF83" s="248" t="str">
        <f t="shared" si="175"/>
        <v/>
      </c>
      <c r="PCG83" s="248" t="str">
        <f t="shared" si="175"/>
        <v/>
      </c>
      <c r="PCH83" s="248" t="str">
        <f t="shared" si="175"/>
        <v/>
      </c>
      <c r="PCI83" s="248" t="str">
        <f t="shared" si="175"/>
        <v/>
      </c>
      <c r="PCJ83" s="248" t="str">
        <f t="shared" si="175"/>
        <v/>
      </c>
      <c r="PCK83" s="248" t="str">
        <f t="shared" si="175"/>
        <v/>
      </c>
      <c r="PCL83" s="248" t="str">
        <f t="shared" si="175"/>
        <v/>
      </c>
      <c r="PCM83" s="248" t="str">
        <f t="shared" si="175"/>
        <v/>
      </c>
      <c r="PCN83" s="248" t="str">
        <f t="shared" si="175"/>
        <v/>
      </c>
      <c r="PCO83" s="248" t="str">
        <f t="shared" si="175"/>
        <v/>
      </c>
      <c r="PCP83" s="248" t="str">
        <f t="shared" si="175"/>
        <v/>
      </c>
      <c r="PCQ83" s="248" t="str">
        <f t="shared" ref="PCQ83:PFB83" si="176">UPPER(PCO83)</f>
        <v/>
      </c>
      <c r="PCR83" s="248" t="str">
        <f t="shared" si="176"/>
        <v/>
      </c>
      <c r="PCS83" s="248" t="str">
        <f t="shared" si="176"/>
        <v/>
      </c>
      <c r="PCT83" s="248" t="str">
        <f t="shared" si="176"/>
        <v/>
      </c>
      <c r="PCU83" s="248" t="str">
        <f t="shared" si="176"/>
        <v/>
      </c>
      <c r="PCV83" s="248" t="str">
        <f t="shared" si="176"/>
        <v/>
      </c>
      <c r="PCW83" s="248" t="str">
        <f t="shared" si="176"/>
        <v/>
      </c>
      <c r="PCX83" s="248" t="str">
        <f t="shared" si="176"/>
        <v/>
      </c>
      <c r="PCY83" s="248" t="str">
        <f t="shared" si="176"/>
        <v/>
      </c>
      <c r="PCZ83" s="248" t="str">
        <f t="shared" si="176"/>
        <v/>
      </c>
      <c r="PDA83" s="248" t="str">
        <f t="shared" si="176"/>
        <v/>
      </c>
      <c r="PDB83" s="248" t="str">
        <f t="shared" si="176"/>
        <v/>
      </c>
      <c r="PDC83" s="248" t="str">
        <f t="shared" si="176"/>
        <v/>
      </c>
      <c r="PDD83" s="248" t="str">
        <f t="shared" si="176"/>
        <v/>
      </c>
      <c r="PDE83" s="248" t="str">
        <f t="shared" si="176"/>
        <v/>
      </c>
      <c r="PDF83" s="248" t="str">
        <f t="shared" si="176"/>
        <v/>
      </c>
      <c r="PDG83" s="248" t="str">
        <f t="shared" si="176"/>
        <v/>
      </c>
      <c r="PDH83" s="248" t="str">
        <f t="shared" si="176"/>
        <v/>
      </c>
      <c r="PDI83" s="248" t="str">
        <f t="shared" si="176"/>
        <v/>
      </c>
      <c r="PDJ83" s="248" t="str">
        <f t="shared" si="176"/>
        <v/>
      </c>
      <c r="PDK83" s="248" t="str">
        <f t="shared" si="176"/>
        <v/>
      </c>
      <c r="PDL83" s="248" t="str">
        <f t="shared" si="176"/>
        <v/>
      </c>
      <c r="PDM83" s="248" t="str">
        <f t="shared" si="176"/>
        <v/>
      </c>
      <c r="PDN83" s="248" t="str">
        <f t="shared" si="176"/>
        <v/>
      </c>
      <c r="PDO83" s="248" t="str">
        <f t="shared" si="176"/>
        <v/>
      </c>
      <c r="PDP83" s="248" t="str">
        <f t="shared" si="176"/>
        <v/>
      </c>
      <c r="PDQ83" s="248" t="str">
        <f t="shared" si="176"/>
        <v/>
      </c>
      <c r="PDR83" s="248" t="str">
        <f t="shared" si="176"/>
        <v/>
      </c>
      <c r="PDS83" s="248" t="str">
        <f t="shared" si="176"/>
        <v/>
      </c>
      <c r="PDT83" s="248" t="str">
        <f t="shared" si="176"/>
        <v/>
      </c>
      <c r="PDU83" s="248" t="str">
        <f t="shared" si="176"/>
        <v/>
      </c>
      <c r="PDV83" s="248" t="str">
        <f t="shared" si="176"/>
        <v/>
      </c>
      <c r="PDW83" s="248" t="str">
        <f t="shared" si="176"/>
        <v/>
      </c>
      <c r="PDX83" s="248" t="str">
        <f t="shared" si="176"/>
        <v/>
      </c>
      <c r="PDY83" s="248" t="str">
        <f t="shared" si="176"/>
        <v/>
      </c>
      <c r="PDZ83" s="248" t="str">
        <f t="shared" si="176"/>
        <v/>
      </c>
      <c r="PEA83" s="248" t="str">
        <f t="shared" si="176"/>
        <v/>
      </c>
      <c r="PEB83" s="248" t="str">
        <f t="shared" si="176"/>
        <v/>
      </c>
      <c r="PEC83" s="248" t="str">
        <f t="shared" si="176"/>
        <v/>
      </c>
      <c r="PED83" s="248" t="str">
        <f t="shared" si="176"/>
        <v/>
      </c>
      <c r="PEE83" s="248" t="str">
        <f t="shared" si="176"/>
        <v/>
      </c>
      <c r="PEF83" s="248" t="str">
        <f t="shared" si="176"/>
        <v/>
      </c>
      <c r="PEG83" s="248" t="str">
        <f t="shared" si="176"/>
        <v/>
      </c>
      <c r="PEH83" s="248" t="str">
        <f t="shared" si="176"/>
        <v/>
      </c>
      <c r="PEI83" s="248" t="str">
        <f t="shared" si="176"/>
        <v/>
      </c>
      <c r="PEJ83" s="248" t="str">
        <f t="shared" si="176"/>
        <v/>
      </c>
      <c r="PEK83" s="248" t="str">
        <f t="shared" si="176"/>
        <v/>
      </c>
      <c r="PEL83" s="248" t="str">
        <f t="shared" si="176"/>
        <v/>
      </c>
      <c r="PEM83" s="248" t="str">
        <f t="shared" si="176"/>
        <v/>
      </c>
      <c r="PEN83" s="248" t="str">
        <f t="shared" si="176"/>
        <v/>
      </c>
      <c r="PEO83" s="248" t="str">
        <f t="shared" si="176"/>
        <v/>
      </c>
      <c r="PEP83" s="248" t="str">
        <f t="shared" si="176"/>
        <v/>
      </c>
      <c r="PEQ83" s="248" t="str">
        <f t="shared" si="176"/>
        <v/>
      </c>
      <c r="PER83" s="248" t="str">
        <f t="shared" si="176"/>
        <v/>
      </c>
      <c r="PES83" s="248" t="str">
        <f t="shared" si="176"/>
        <v/>
      </c>
      <c r="PET83" s="248" t="str">
        <f t="shared" si="176"/>
        <v/>
      </c>
      <c r="PEU83" s="248" t="str">
        <f t="shared" si="176"/>
        <v/>
      </c>
      <c r="PEV83" s="248" t="str">
        <f t="shared" si="176"/>
        <v/>
      </c>
      <c r="PEW83" s="248" t="str">
        <f t="shared" si="176"/>
        <v/>
      </c>
      <c r="PEX83" s="248" t="str">
        <f t="shared" si="176"/>
        <v/>
      </c>
      <c r="PEY83" s="248" t="str">
        <f t="shared" si="176"/>
        <v/>
      </c>
      <c r="PEZ83" s="248" t="str">
        <f t="shared" si="176"/>
        <v/>
      </c>
      <c r="PFA83" s="248" t="str">
        <f t="shared" si="176"/>
        <v/>
      </c>
      <c r="PFB83" s="248" t="str">
        <f t="shared" si="176"/>
        <v/>
      </c>
      <c r="PFC83" s="248" t="str">
        <f t="shared" ref="PFC83:PHN83" si="177">UPPER(PFA83)</f>
        <v/>
      </c>
      <c r="PFD83" s="248" t="str">
        <f t="shared" si="177"/>
        <v/>
      </c>
      <c r="PFE83" s="248" t="str">
        <f t="shared" si="177"/>
        <v/>
      </c>
      <c r="PFF83" s="248" t="str">
        <f t="shared" si="177"/>
        <v/>
      </c>
      <c r="PFG83" s="248" t="str">
        <f t="shared" si="177"/>
        <v/>
      </c>
      <c r="PFH83" s="248" t="str">
        <f t="shared" si="177"/>
        <v/>
      </c>
      <c r="PFI83" s="248" t="str">
        <f t="shared" si="177"/>
        <v/>
      </c>
      <c r="PFJ83" s="248" t="str">
        <f t="shared" si="177"/>
        <v/>
      </c>
      <c r="PFK83" s="248" t="str">
        <f t="shared" si="177"/>
        <v/>
      </c>
      <c r="PFL83" s="248" t="str">
        <f t="shared" si="177"/>
        <v/>
      </c>
      <c r="PFM83" s="248" t="str">
        <f t="shared" si="177"/>
        <v/>
      </c>
      <c r="PFN83" s="248" t="str">
        <f t="shared" si="177"/>
        <v/>
      </c>
      <c r="PFO83" s="248" t="str">
        <f t="shared" si="177"/>
        <v/>
      </c>
      <c r="PFP83" s="248" t="str">
        <f t="shared" si="177"/>
        <v/>
      </c>
      <c r="PFQ83" s="248" t="str">
        <f t="shared" si="177"/>
        <v/>
      </c>
      <c r="PFR83" s="248" t="str">
        <f t="shared" si="177"/>
        <v/>
      </c>
      <c r="PFS83" s="248" t="str">
        <f t="shared" si="177"/>
        <v/>
      </c>
      <c r="PFT83" s="248" t="str">
        <f t="shared" si="177"/>
        <v/>
      </c>
      <c r="PFU83" s="248" t="str">
        <f t="shared" si="177"/>
        <v/>
      </c>
      <c r="PFV83" s="248" t="str">
        <f t="shared" si="177"/>
        <v/>
      </c>
      <c r="PFW83" s="248" t="str">
        <f t="shared" si="177"/>
        <v/>
      </c>
      <c r="PFX83" s="248" t="str">
        <f t="shared" si="177"/>
        <v/>
      </c>
      <c r="PFY83" s="248" t="str">
        <f t="shared" si="177"/>
        <v/>
      </c>
      <c r="PFZ83" s="248" t="str">
        <f t="shared" si="177"/>
        <v/>
      </c>
      <c r="PGA83" s="248" t="str">
        <f t="shared" si="177"/>
        <v/>
      </c>
      <c r="PGB83" s="248" t="str">
        <f t="shared" si="177"/>
        <v/>
      </c>
      <c r="PGC83" s="248" t="str">
        <f t="shared" si="177"/>
        <v/>
      </c>
      <c r="PGD83" s="248" t="str">
        <f t="shared" si="177"/>
        <v/>
      </c>
      <c r="PGE83" s="248" t="str">
        <f t="shared" si="177"/>
        <v/>
      </c>
      <c r="PGF83" s="248" t="str">
        <f t="shared" si="177"/>
        <v/>
      </c>
      <c r="PGG83" s="248" t="str">
        <f t="shared" si="177"/>
        <v/>
      </c>
      <c r="PGH83" s="248" t="str">
        <f t="shared" si="177"/>
        <v/>
      </c>
      <c r="PGI83" s="248" t="str">
        <f t="shared" si="177"/>
        <v/>
      </c>
      <c r="PGJ83" s="248" t="str">
        <f t="shared" si="177"/>
        <v/>
      </c>
      <c r="PGK83" s="248" t="str">
        <f t="shared" si="177"/>
        <v/>
      </c>
      <c r="PGL83" s="248" t="str">
        <f t="shared" si="177"/>
        <v/>
      </c>
      <c r="PGM83" s="248" t="str">
        <f t="shared" si="177"/>
        <v/>
      </c>
      <c r="PGN83" s="248" t="str">
        <f t="shared" si="177"/>
        <v/>
      </c>
      <c r="PGO83" s="248" t="str">
        <f t="shared" si="177"/>
        <v/>
      </c>
      <c r="PGP83" s="248" t="str">
        <f t="shared" si="177"/>
        <v/>
      </c>
      <c r="PGQ83" s="248" t="str">
        <f t="shared" si="177"/>
        <v/>
      </c>
      <c r="PGR83" s="248" t="str">
        <f t="shared" si="177"/>
        <v/>
      </c>
      <c r="PGS83" s="248" t="str">
        <f t="shared" si="177"/>
        <v/>
      </c>
      <c r="PGT83" s="248" t="str">
        <f t="shared" si="177"/>
        <v/>
      </c>
      <c r="PGU83" s="248" t="str">
        <f t="shared" si="177"/>
        <v/>
      </c>
      <c r="PGV83" s="248" t="str">
        <f t="shared" si="177"/>
        <v/>
      </c>
      <c r="PGW83" s="248" t="str">
        <f t="shared" si="177"/>
        <v/>
      </c>
      <c r="PGX83" s="248" t="str">
        <f t="shared" si="177"/>
        <v/>
      </c>
      <c r="PGY83" s="248" t="str">
        <f t="shared" si="177"/>
        <v/>
      </c>
      <c r="PGZ83" s="248" t="str">
        <f t="shared" si="177"/>
        <v/>
      </c>
      <c r="PHA83" s="248" t="str">
        <f t="shared" si="177"/>
        <v/>
      </c>
      <c r="PHB83" s="248" t="str">
        <f t="shared" si="177"/>
        <v/>
      </c>
      <c r="PHC83" s="248" t="str">
        <f t="shared" si="177"/>
        <v/>
      </c>
      <c r="PHD83" s="248" t="str">
        <f t="shared" si="177"/>
        <v/>
      </c>
      <c r="PHE83" s="248" t="str">
        <f t="shared" si="177"/>
        <v/>
      </c>
      <c r="PHF83" s="248" t="str">
        <f t="shared" si="177"/>
        <v/>
      </c>
      <c r="PHG83" s="248" t="str">
        <f t="shared" si="177"/>
        <v/>
      </c>
      <c r="PHH83" s="248" t="str">
        <f t="shared" si="177"/>
        <v/>
      </c>
      <c r="PHI83" s="248" t="str">
        <f t="shared" si="177"/>
        <v/>
      </c>
      <c r="PHJ83" s="248" t="str">
        <f t="shared" si="177"/>
        <v/>
      </c>
      <c r="PHK83" s="248" t="str">
        <f t="shared" si="177"/>
        <v/>
      </c>
      <c r="PHL83" s="248" t="str">
        <f t="shared" si="177"/>
        <v/>
      </c>
      <c r="PHM83" s="248" t="str">
        <f t="shared" si="177"/>
        <v/>
      </c>
      <c r="PHN83" s="248" t="str">
        <f t="shared" si="177"/>
        <v/>
      </c>
      <c r="PHO83" s="248" t="str">
        <f t="shared" ref="PHO83:PJZ83" si="178">UPPER(PHM83)</f>
        <v/>
      </c>
      <c r="PHP83" s="248" t="str">
        <f t="shared" si="178"/>
        <v/>
      </c>
      <c r="PHQ83" s="248" t="str">
        <f t="shared" si="178"/>
        <v/>
      </c>
      <c r="PHR83" s="248" t="str">
        <f t="shared" si="178"/>
        <v/>
      </c>
      <c r="PHS83" s="248" t="str">
        <f t="shared" si="178"/>
        <v/>
      </c>
      <c r="PHT83" s="248" t="str">
        <f t="shared" si="178"/>
        <v/>
      </c>
      <c r="PHU83" s="248" t="str">
        <f t="shared" si="178"/>
        <v/>
      </c>
      <c r="PHV83" s="248" t="str">
        <f t="shared" si="178"/>
        <v/>
      </c>
      <c r="PHW83" s="248" t="str">
        <f t="shared" si="178"/>
        <v/>
      </c>
      <c r="PHX83" s="248" t="str">
        <f t="shared" si="178"/>
        <v/>
      </c>
      <c r="PHY83" s="248" t="str">
        <f t="shared" si="178"/>
        <v/>
      </c>
      <c r="PHZ83" s="248" t="str">
        <f t="shared" si="178"/>
        <v/>
      </c>
      <c r="PIA83" s="248" t="str">
        <f t="shared" si="178"/>
        <v/>
      </c>
      <c r="PIB83" s="248" t="str">
        <f t="shared" si="178"/>
        <v/>
      </c>
      <c r="PIC83" s="248" t="str">
        <f t="shared" si="178"/>
        <v/>
      </c>
      <c r="PID83" s="248" t="str">
        <f t="shared" si="178"/>
        <v/>
      </c>
      <c r="PIE83" s="248" t="str">
        <f t="shared" si="178"/>
        <v/>
      </c>
      <c r="PIF83" s="248" t="str">
        <f t="shared" si="178"/>
        <v/>
      </c>
      <c r="PIG83" s="248" t="str">
        <f t="shared" si="178"/>
        <v/>
      </c>
      <c r="PIH83" s="248" t="str">
        <f t="shared" si="178"/>
        <v/>
      </c>
      <c r="PII83" s="248" t="str">
        <f t="shared" si="178"/>
        <v/>
      </c>
      <c r="PIJ83" s="248" t="str">
        <f t="shared" si="178"/>
        <v/>
      </c>
      <c r="PIK83" s="248" t="str">
        <f t="shared" si="178"/>
        <v/>
      </c>
      <c r="PIL83" s="248" t="str">
        <f t="shared" si="178"/>
        <v/>
      </c>
      <c r="PIM83" s="248" t="str">
        <f t="shared" si="178"/>
        <v/>
      </c>
      <c r="PIN83" s="248" t="str">
        <f t="shared" si="178"/>
        <v/>
      </c>
      <c r="PIO83" s="248" t="str">
        <f t="shared" si="178"/>
        <v/>
      </c>
      <c r="PIP83" s="248" t="str">
        <f t="shared" si="178"/>
        <v/>
      </c>
      <c r="PIQ83" s="248" t="str">
        <f t="shared" si="178"/>
        <v/>
      </c>
      <c r="PIR83" s="248" t="str">
        <f t="shared" si="178"/>
        <v/>
      </c>
      <c r="PIS83" s="248" t="str">
        <f t="shared" si="178"/>
        <v/>
      </c>
      <c r="PIT83" s="248" t="str">
        <f t="shared" si="178"/>
        <v/>
      </c>
      <c r="PIU83" s="248" t="str">
        <f t="shared" si="178"/>
        <v/>
      </c>
      <c r="PIV83" s="248" t="str">
        <f t="shared" si="178"/>
        <v/>
      </c>
      <c r="PIW83" s="248" t="str">
        <f t="shared" si="178"/>
        <v/>
      </c>
      <c r="PIX83" s="248" t="str">
        <f t="shared" si="178"/>
        <v/>
      </c>
      <c r="PIY83" s="248" t="str">
        <f t="shared" si="178"/>
        <v/>
      </c>
      <c r="PIZ83" s="248" t="str">
        <f t="shared" si="178"/>
        <v/>
      </c>
      <c r="PJA83" s="248" t="str">
        <f t="shared" si="178"/>
        <v/>
      </c>
      <c r="PJB83" s="248" t="str">
        <f t="shared" si="178"/>
        <v/>
      </c>
      <c r="PJC83" s="248" t="str">
        <f t="shared" si="178"/>
        <v/>
      </c>
      <c r="PJD83" s="248" t="str">
        <f t="shared" si="178"/>
        <v/>
      </c>
      <c r="PJE83" s="248" t="str">
        <f t="shared" si="178"/>
        <v/>
      </c>
      <c r="PJF83" s="248" t="str">
        <f t="shared" si="178"/>
        <v/>
      </c>
      <c r="PJG83" s="248" t="str">
        <f t="shared" si="178"/>
        <v/>
      </c>
      <c r="PJH83" s="248" t="str">
        <f t="shared" si="178"/>
        <v/>
      </c>
      <c r="PJI83" s="248" t="str">
        <f t="shared" si="178"/>
        <v/>
      </c>
      <c r="PJJ83" s="248" t="str">
        <f t="shared" si="178"/>
        <v/>
      </c>
      <c r="PJK83" s="248" t="str">
        <f t="shared" si="178"/>
        <v/>
      </c>
      <c r="PJL83" s="248" t="str">
        <f t="shared" si="178"/>
        <v/>
      </c>
      <c r="PJM83" s="248" t="str">
        <f t="shared" si="178"/>
        <v/>
      </c>
      <c r="PJN83" s="248" t="str">
        <f t="shared" si="178"/>
        <v/>
      </c>
      <c r="PJO83" s="248" t="str">
        <f t="shared" si="178"/>
        <v/>
      </c>
      <c r="PJP83" s="248" t="str">
        <f t="shared" si="178"/>
        <v/>
      </c>
      <c r="PJQ83" s="248" t="str">
        <f t="shared" si="178"/>
        <v/>
      </c>
      <c r="PJR83" s="248" t="str">
        <f t="shared" si="178"/>
        <v/>
      </c>
      <c r="PJS83" s="248" t="str">
        <f t="shared" si="178"/>
        <v/>
      </c>
      <c r="PJT83" s="248" t="str">
        <f t="shared" si="178"/>
        <v/>
      </c>
      <c r="PJU83" s="248" t="str">
        <f t="shared" si="178"/>
        <v/>
      </c>
      <c r="PJV83" s="248" t="str">
        <f t="shared" si="178"/>
        <v/>
      </c>
      <c r="PJW83" s="248" t="str">
        <f t="shared" si="178"/>
        <v/>
      </c>
      <c r="PJX83" s="248" t="str">
        <f t="shared" si="178"/>
        <v/>
      </c>
      <c r="PJY83" s="248" t="str">
        <f t="shared" si="178"/>
        <v/>
      </c>
      <c r="PJZ83" s="248" t="str">
        <f t="shared" si="178"/>
        <v/>
      </c>
      <c r="PKA83" s="248" t="str">
        <f t="shared" ref="PKA83:PML83" si="179">UPPER(PJY83)</f>
        <v/>
      </c>
      <c r="PKB83" s="248" t="str">
        <f t="shared" si="179"/>
        <v/>
      </c>
      <c r="PKC83" s="248" t="str">
        <f t="shared" si="179"/>
        <v/>
      </c>
      <c r="PKD83" s="248" t="str">
        <f t="shared" si="179"/>
        <v/>
      </c>
      <c r="PKE83" s="248" t="str">
        <f t="shared" si="179"/>
        <v/>
      </c>
      <c r="PKF83" s="248" t="str">
        <f t="shared" si="179"/>
        <v/>
      </c>
      <c r="PKG83" s="248" t="str">
        <f t="shared" si="179"/>
        <v/>
      </c>
      <c r="PKH83" s="248" t="str">
        <f t="shared" si="179"/>
        <v/>
      </c>
      <c r="PKI83" s="248" t="str">
        <f t="shared" si="179"/>
        <v/>
      </c>
      <c r="PKJ83" s="248" t="str">
        <f t="shared" si="179"/>
        <v/>
      </c>
      <c r="PKK83" s="248" t="str">
        <f t="shared" si="179"/>
        <v/>
      </c>
      <c r="PKL83" s="248" t="str">
        <f t="shared" si="179"/>
        <v/>
      </c>
      <c r="PKM83" s="248" t="str">
        <f t="shared" si="179"/>
        <v/>
      </c>
      <c r="PKN83" s="248" t="str">
        <f t="shared" si="179"/>
        <v/>
      </c>
      <c r="PKO83" s="248" t="str">
        <f t="shared" si="179"/>
        <v/>
      </c>
      <c r="PKP83" s="248" t="str">
        <f t="shared" si="179"/>
        <v/>
      </c>
      <c r="PKQ83" s="248" t="str">
        <f t="shared" si="179"/>
        <v/>
      </c>
      <c r="PKR83" s="248" t="str">
        <f t="shared" si="179"/>
        <v/>
      </c>
      <c r="PKS83" s="248" t="str">
        <f t="shared" si="179"/>
        <v/>
      </c>
      <c r="PKT83" s="248" t="str">
        <f t="shared" si="179"/>
        <v/>
      </c>
      <c r="PKU83" s="248" t="str">
        <f t="shared" si="179"/>
        <v/>
      </c>
      <c r="PKV83" s="248" t="str">
        <f t="shared" si="179"/>
        <v/>
      </c>
      <c r="PKW83" s="248" t="str">
        <f t="shared" si="179"/>
        <v/>
      </c>
      <c r="PKX83" s="248" t="str">
        <f t="shared" si="179"/>
        <v/>
      </c>
      <c r="PKY83" s="248" t="str">
        <f t="shared" si="179"/>
        <v/>
      </c>
      <c r="PKZ83" s="248" t="str">
        <f t="shared" si="179"/>
        <v/>
      </c>
      <c r="PLA83" s="248" t="str">
        <f t="shared" si="179"/>
        <v/>
      </c>
      <c r="PLB83" s="248" t="str">
        <f t="shared" si="179"/>
        <v/>
      </c>
      <c r="PLC83" s="248" t="str">
        <f t="shared" si="179"/>
        <v/>
      </c>
      <c r="PLD83" s="248" t="str">
        <f t="shared" si="179"/>
        <v/>
      </c>
      <c r="PLE83" s="248" t="str">
        <f t="shared" si="179"/>
        <v/>
      </c>
      <c r="PLF83" s="248" t="str">
        <f t="shared" si="179"/>
        <v/>
      </c>
      <c r="PLG83" s="248" t="str">
        <f t="shared" si="179"/>
        <v/>
      </c>
      <c r="PLH83" s="248" t="str">
        <f t="shared" si="179"/>
        <v/>
      </c>
      <c r="PLI83" s="248" t="str">
        <f t="shared" si="179"/>
        <v/>
      </c>
      <c r="PLJ83" s="248" t="str">
        <f t="shared" si="179"/>
        <v/>
      </c>
      <c r="PLK83" s="248" t="str">
        <f t="shared" si="179"/>
        <v/>
      </c>
      <c r="PLL83" s="248" t="str">
        <f t="shared" si="179"/>
        <v/>
      </c>
      <c r="PLM83" s="248" t="str">
        <f t="shared" si="179"/>
        <v/>
      </c>
      <c r="PLN83" s="248" t="str">
        <f t="shared" si="179"/>
        <v/>
      </c>
      <c r="PLO83" s="248" t="str">
        <f t="shared" si="179"/>
        <v/>
      </c>
      <c r="PLP83" s="248" t="str">
        <f t="shared" si="179"/>
        <v/>
      </c>
      <c r="PLQ83" s="248" t="str">
        <f t="shared" si="179"/>
        <v/>
      </c>
      <c r="PLR83" s="248" t="str">
        <f t="shared" si="179"/>
        <v/>
      </c>
      <c r="PLS83" s="248" t="str">
        <f t="shared" si="179"/>
        <v/>
      </c>
      <c r="PLT83" s="248" t="str">
        <f t="shared" si="179"/>
        <v/>
      </c>
      <c r="PLU83" s="248" t="str">
        <f t="shared" si="179"/>
        <v/>
      </c>
      <c r="PLV83" s="248" t="str">
        <f t="shared" si="179"/>
        <v/>
      </c>
      <c r="PLW83" s="248" t="str">
        <f t="shared" si="179"/>
        <v/>
      </c>
      <c r="PLX83" s="248" t="str">
        <f t="shared" si="179"/>
        <v/>
      </c>
      <c r="PLY83" s="248" t="str">
        <f t="shared" si="179"/>
        <v/>
      </c>
      <c r="PLZ83" s="248" t="str">
        <f t="shared" si="179"/>
        <v/>
      </c>
      <c r="PMA83" s="248" t="str">
        <f t="shared" si="179"/>
        <v/>
      </c>
      <c r="PMB83" s="248" t="str">
        <f t="shared" si="179"/>
        <v/>
      </c>
      <c r="PMC83" s="248" t="str">
        <f t="shared" si="179"/>
        <v/>
      </c>
      <c r="PMD83" s="248" t="str">
        <f t="shared" si="179"/>
        <v/>
      </c>
      <c r="PME83" s="248" t="str">
        <f t="shared" si="179"/>
        <v/>
      </c>
      <c r="PMF83" s="248" t="str">
        <f t="shared" si="179"/>
        <v/>
      </c>
      <c r="PMG83" s="248" t="str">
        <f t="shared" si="179"/>
        <v/>
      </c>
      <c r="PMH83" s="248" t="str">
        <f t="shared" si="179"/>
        <v/>
      </c>
      <c r="PMI83" s="248" t="str">
        <f t="shared" si="179"/>
        <v/>
      </c>
      <c r="PMJ83" s="248" t="str">
        <f t="shared" si="179"/>
        <v/>
      </c>
      <c r="PMK83" s="248" t="str">
        <f t="shared" si="179"/>
        <v/>
      </c>
      <c r="PML83" s="248" t="str">
        <f t="shared" si="179"/>
        <v/>
      </c>
      <c r="PMM83" s="248" t="str">
        <f t="shared" ref="PMM83:POX83" si="180">UPPER(PMK83)</f>
        <v/>
      </c>
      <c r="PMN83" s="248" t="str">
        <f t="shared" si="180"/>
        <v/>
      </c>
      <c r="PMO83" s="248" t="str">
        <f t="shared" si="180"/>
        <v/>
      </c>
      <c r="PMP83" s="248" t="str">
        <f t="shared" si="180"/>
        <v/>
      </c>
      <c r="PMQ83" s="248" t="str">
        <f t="shared" si="180"/>
        <v/>
      </c>
      <c r="PMR83" s="248" t="str">
        <f t="shared" si="180"/>
        <v/>
      </c>
      <c r="PMS83" s="248" t="str">
        <f t="shared" si="180"/>
        <v/>
      </c>
      <c r="PMT83" s="248" t="str">
        <f t="shared" si="180"/>
        <v/>
      </c>
      <c r="PMU83" s="248" t="str">
        <f t="shared" si="180"/>
        <v/>
      </c>
      <c r="PMV83" s="248" t="str">
        <f t="shared" si="180"/>
        <v/>
      </c>
      <c r="PMW83" s="248" t="str">
        <f t="shared" si="180"/>
        <v/>
      </c>
      <c r="PMX83" s="248" t="str">
        <f t="shared" si="180"/>
        <v/>
      </c>
      <c r="PMY83" s="248" t="str">
        <f t="shared" si="180"/>
        <v/>
      </c>
      <c r="PMZ83" s="248" t="str">
        <f t="shared" si="180"/>
        <v/>
      </c>
      <c r="PNA83" s="248" t="str">
        <f t="shared" si="180"/>
        <v/>
      </c>
      <c r="PNB83" s="248" t="str">
        <f t="shared" si="180"/>
        <v/>
      </c>
      <c r="PNC83" s="248" t="str">
        <f t="shared" si="180"/>
        <v/>
      </c>
      <c r="PND83" s="248" t="str">
        <f t="shared" si="180"/>
        <v/>
      </c>
      <c r="PNE83" s="248" t="str">
        <f t="shared" si="180"/>
        <v/>
      </c>
      <c r="PNF83" s="248" t="str">
        <f t="shared" si="180"/>
        <v/>
      </c>
      <c r="PNG83" s="248" t="str">
        <f t="shared" si="180"/>
        <v/>
      </c>
      <c r="PNH83" s="248" t="str">
        <f t="shared" si="180"/>
        <v/>
      </c>
      <c r="PNI83" s="248" t="str">
        <f t="shared" si="180"/>
        <v/>
      </c>
      <c r="PNJ83" s="248" t="str">
        <f t="shared" si="180"/>
        <v/>
      </c>
      <c r="PNK83" s="248" t="str">
        <f t="shared" si="180"/>
        <v/>
      </c>
      <c r="PNL83" s="248" t="str">
        <f t="shared" si="180"/>
        <v/>
      </c>
      <c r="PNM83" s="248" t="str">
        <f t="shared" si="180"/>
        <v/>
      </c>
      <c r="PNN83" s="248" t="str">
        <f t="shared" si="180"/>
        <v/>
      </c>
      <c r="PNO83" s="248" t="str">
        <f t="shared" si="180"/>
        <v/>
      </c>
      <c r="PNP83" s="248" t="str">
        <f t="shared" si="180"/>
        <v/>
      </c>
      <c r="PNQ83" s="248" t="str">
        <f t="shared" si="180"/>
        <v/>
      </c>
      <c r="PNR83" s="248" t="str">
        <f t="shared" si="180"/>
        <v/>
      </c>
      <c r="PNS83" s="248" t="str">
        <f t="shared" si="180"/>
        <v/>
      </c>
      <c r="PNT83" s="248" t="str">
        <f t="shared" si="180"/>
        <v/>
      </c>
      <c r="PNU83" s="248" t="str">
        <f t="shared" si="180"/>
        <v/>
      </c>
      <c r="PNV83" s="248" t="str">
        <f t="shared" si="180"/>
        <v/>
      </c>
      <c r="PNW83" s="248" t="str">
        <f t="shared" si="180"/>
        <v/>
      </c>
      <c r="PNX83" s="248" t="str">
        <f t="shared" si="180"/>
        <v/>
      </c>
      <c r="PNY83" s="248" t="str">
        <f t="shared" si="180"/>
        <v/>
      </c>
      <c r="PNZ83" s="248" t="str">
        <f t="shared" si="180"/>
        <v/>
      </c>
      <c r="POA83" s="248" t="str">
        <f t="shared" si="180"/>
        <v/>
      </c>
      <c r="POB83" s="248" t="str">
        <f t="shared" si="180"/>
        <v/>
      </c>
      <c r="POC83" s="248" t="str">
        <f t="shared" si="180"/>
        <v/>
      </c>
      <c r="POD83" s="248" t="str">
        <f t="shared" si="180"/>
        <v/>
      </c>
      <c r="POE83" s="248" t="str">
        <f t="shared" si="180"/>
        <v/>
      </c>
      <c r="POF83" s="248" t="str">
        <f t="shared" si="180"/>
        <v/>
      </c>
      <c r="POG83" s="248" t="str">
        <f t="shared" si="180"/>
        <v/>
      </c>
      <c r="POH83" s="248" t="str">
        <f t="shared" si="180"/>
        <v/>
      </c>
      <c r="POI83" s="248" t="str">
        <f t="shared" si="180"/>
        <v/>
      </c>
      <c r="POJ83" s="248" t="str">
        <f t="shared" si="180"/>
        <v/>
      </c>
      <c r="POK83" s="248" t="str">
        <f t="shared" si="180"/>
        <v/>
      </c>
      <c r="POL83" s="248" t="str">
        <f t="shared" si="180"/>
        <v/>
      </c>
      <c r="POM83" s="248" t="str">
        <f t="shared" si="180"/>
        <v/>
      </c>
      <c r="PON83" s="248" t="str">
        <f t="shared" si="180"/>
        <v/>
      </c>
      <c r="POO83" s="248" t="str">
        <f t="shared" si="180"/>
        <v/>
      </c>
      <c r="POP83" s="248" t="str">
        <f t="shared" si="180"/>
        <v/>
      </c>
      <c r="POQ83" s="248" t="str">
        <f t="shared" si="180"/>
        <v/>
      </c>
      <c r="POR83" s="248" t="str">
        <f t="shared" si="180"/>
        <v/>
      </c>
      <c r="POS83" s="248" t="str">
        <f t="shared" si="180"/>
        <v/>
      </c>
      <c r="POT83" s="248" t="str">
        <f t="shared" si="180"/>
        <v/>
      </c>
      <c r="POU83" s="248" t="str">
        <f t="shared" si="180"/>
        <v/>
      </c>
      <c r="POV83" s="248" t="str">
        <f t="shared" si="180"/>
        <v/>
      </c>
      <c r="POW83" s="248" t="str">
        <f t="shared" si="180"/>
        <v/>
      </c>
      <c r="POX83" s="248" t="str">
        <f t="shared" si="180"/>
        <v/>
      </c>
      <c r="POY83" s="248" t="str">
        <f t="shared" ref="POY83:PRJ83" si="181">UPPER(POW83)</f>
        <v/>
      </c>
      <c r="POZ83" s="248" t="str">
        <f t="shared" si="181"/>
        <v/>
      </c>
      <c r="PPA83" s="248" t="str">
        <f t="shared" si="181"/>
        <v/>
      </c>
      <c r="PPB83" s="248" t="str">
        <f t="shared" si="181"/>
        <v/>
      </c>
      <c r="PPC83" s="248" t="str">
        <f t="shared" si="181"/>
        <v/>
      </c>
      <c r="PPD83" s="248" t="str">
        <f t="shared" si="181"/>
        <v/>
      </c>
      <c r="PPE83" s="248" t="str">
        <f t="shared" si="181"/>
        <v/>
      </c>
      <c r="PPF83" s="248" t="str">
        <f t="shared" si="181"/>
        <v/>
      </c>
      <c r="PPG83" s="248" t="str">
        <f t="shared" si="181"/>
        <v/>
      </c>
      <c r="PPH83" s="248" t="str">
        <f t="shared" si="181"/>
        <v/>
      </c>
      <c r="PPI83" s="248" t="str">
        <f t="shared" si="181"/>
        <v/>
      </c>
      <c r="PPJ83" s="248" t="str">
        <f t="shared" si="181"/>
        <v/>
      </c>
      <c r="PPK83" s="248" t="str">
        <f t="shared" si="181"/>
        <v/>
      </c>
      <c r="PPL83" s="248" t="str">
        <f t="shared" si="181"/>
        <v/>
      </c>
      <c r="PPM83" s="248" t="str">
        <f t="shared" si="181"/>
        <v/>
      </c>
      <c r="PPN83" s="248" t="str">
        <f t="shared" si="181"/>
        <v/>
      </c>
      <c r="PPO83" s="248" t="str">
        <f t="shared" si="181"/>
        <v/>
      </c>
      <c r="PPP83" s="248" t="str">
        <f t="shared" si="181"/>
        <v/>
      </c>
      <c r="PPQ83" s="248" t="str">
        <f t="shared" si="181"/>
        <v/>
      </c>
      <c r="PPR83" s="248" t="str">
        <f t="shared" si="181"/>
        <v/>
      </c>
      <c r="PPS83" s="248" t="str">
        <f t="shared" si="181"/>
        <v/>
      </c>
      <c r="PPT83" s="248" t="str">
        <f t="shared" si="181"/>
        <v/>
      </c>
      <c r="PPU83" s="248" t="str">
        <f t="shared" si="181"/>
        <v/>
      </c>
      <c r="PPV83" s="248" t="str">
        <f t="shared" si="181"/>
        <v/>
      </c>
      <c r="PPW83" s="248" t="str">
        <f t="shared" si="181"/>
        <v/>
      </c>
      <c r="PPX83" s="248" t="str">
        <f t="shared" si="181"/>
        <v/>
      </c>
      <c r="PPY83" s="248" t="str">
        <f t="shared" si="181"/>
        <v/>
      </c>
      <c r="PPZ83" s="248" t="str">
        <f t="shared" si="181"/>
        <v/>
      </c>
      <c r="PQA83" s="248" t="str">
        <f t="shared" si="181"/>
        <v/>
      </c>
      <c r="PQB83" s="248" t="str">
        <f t="shared" si="181"/>
        <v/>
      </c>
      <c r="PQC83" s="248" t="str">
        <f t="shared" si="181"/>
        <v/>
      </c>
      <c r="PQD83" s="248" t="str">
        <f t="shared" si="181"/>
        <v/>
      </c>
      <c r="PQE83" s="248" t="str">
        <f t="shared" si="181"/>
        <v/>
      </c>
      <c r="PQF83" s="248" t="str">
        <f t="shared" si="181"/>
        <v/>
      </c>
      <c r="PQG83" s="248" t="str">
        <f t="shared" si="181"/>
        <v/>
      </c>
      <c r="PQH83" s="248" t="str">
        <f t="shared" si="181"/>
        <v/>
      </c>
      <c r="PQI83" s="248" t="str">
        <f t="shared" si="181"/>
        <v/>
      </c>
      <c r="PQJ83" s="248" t="str">
        <f t="shared" si="181"/>
        <v/>
      </c>
      <c r="PQK83" s="248" t="str">
        <f t="shared" si="181"/>
        <v/>
      </c>
      <c r="PQL83" s="248" t="str">
        <f t="shared" si="181"/>
        <v/>
      </c>
      <c r="PQM83" s="248" t="str">
        <f t="shared" si="181"/>
        <v/>
      </c>
      <c r="PQN83" s="248" t="str">
        <f t="shared" si="181"/>
        <v/>
      </c>
      <c r="PQO83" s="248" t="str">
        <f t="shared" si="181"/>
        <v/>
      </c>
      <c r="PQP83" s="248" t="str">
        <f t="shared" si="181"/>
        <v/>
      </c>
      <c r="PQQ83" s="248" t="str">
        <f t="shared" si="181"/>
        <v/>
      </c>
      <c r="PQR83" s="248" t="str">
        <f t="shared" si="181"/>
        <v/>
      </c>
      <c r="PQS83" s="248" t="str">
        <f t="shared" si="181"/>
        <v/>
      </c>
      <c r="PQT83" s="248" t="str">
        <f t="shared" si="181"/>
        <v/>
      </c>
      <c r="PQU83" s="248" t="str">
        <f t="shared" si="181"/>
        <v/>
      </c>
      <c r="PQV83" s="248" t="str">
        <f t="shared" si="181"/>
        <v/>
      </c>
      <c r="PQW83" s="248" t="str">
        <f t="shared" si="181"/>
        <v/>
      </c>
      <c r="PQX83" s="248" t="str">
        <f t="shared" si="181"/>
        <v/>
      </c>
      <c r="PQY83" s="248" t="str">
        <f t="shared" si="181"/>
        <v/>
      </c>
      <c r="PQZ83" s="248" t="str">
        <f t="shared" si="181"/>
        <v/>
      </c>
      <c r="PRA83" s="248" t="str">
        <f t="shared" si="181"/>
        <v/>
      </c>
      <c r="PRB83" s="248" t="str">
        <f t="shared" si="181"/>
        <v/>
      </c>
      <c r="PRC83" s="248" t="str">
        <f t="shared" si="181"/>
        <v/>
      </c>
      <c r="PRD83" s="248" t="str">
        <f t="shared" si="181"/>
        <v/>
      </c>
      <c r="PRE83" s="248" t="str">
        <f t="shared" si="181"/>
        <v/>
      </c>
      <c r="PRF83" s="248" t="str">
        <f t="shared" si="181"/>
        <v/>
      </c>
      <c r="PRG83" s="248" t="str">
        <f t="shared" si="181"/>
        <v/>
      </c>
      <c r="PRH83" s="248" t="str">
        <f t="shared" si="181"/>
        <v/>
      </c>
      <c r="PRI83" s="248" t="str">
        <f t="shared" si="181"/>
        <v/>
      </c>
      <c r="PRJ83" s="248" t="str">
        <f t="shared" si="181"/>
        <v/>
      </c>
      <c r="PRK83" s="248" t="str">
        <f t="shared" ref="PRK83:PTV83" si="182">UPPER(PRI83)</f>
        <v/>
      </c>
      <c r="PRL83" s="248" t="str">
        <f t="shared" si="182"/>
        <v/>
      </c>
      <c r="PRM83" s="248" t="str">
        <f t="shared" si="182"/>
        <v/>
      </c>
      <c r="PRN83" s="248" t="str">
        <f t="shared" si="182"/>
        <v/>
      </c>
      <c r="PRO83" s="248" t="str">
        <f t="shared" si="182"/>
        <v/>
      </c>
      <c r="PRP83" s="248" t="str">
        <f t="shared" si="182"/>
        <v/>
      </c>
      <c r="PRQ83" s="248" t="str">
        <f t="shared" si="182"/>
        <v/>
      </c>
      <c r="PRR83" s="248" t="str">
        <f t="shared" si="182"/>
        <v/>
      </c>
      <c r="PRS83" s="248" t="str">
        <f t="shared" si="182"/>
        <v/>
      </c>
      <c r="PRT83" s="248" t="str">
        <f t="shared" si="182"/>
        <v/>
      </c>
      <c r="PRU83" s="248" t="str">
        <f t="shared" si="182"/>
        <v/>
      </c>
      <c r="PRV83" s="248" t="str">
        <f t="shared" si="182"/>
        <v/>
      </c>
      <c r="PRW83" s="248" t="str">
        <f t="shared" si="182"/>
        <v/>
      </c>
      <c r="PRX83" s="248" t="str">
        <f t="shared" si="182"/>
        <v/>
      </c>
      <c r="PRY83" s="248" t="str">
        <f t="shared" si="182"/>
        <v/>
      </c>
      <c r="PRZ83" s="248" t="str">
        <f t="shared" si="182"/>
        <v/>
      </c>
      <c r="PSA83" s="248" t="str">
        <f t="shared" si="182"/>
        <v/>
      </c>
      <c r="PSB83" s="248" t="str">
        <f t="shared" si="182"/>
        <v/>
      </c>
      <c r="PSC83" s="248" t="str">
        <f t="shared" si="182"/>
        <v/>
      </c>
      <c r="PSD83" s="248" t="str">
        <f t="shared" si="182"/>
        <v/>
      </c>
      <c r="PSE83" s="248" t="str">
        <f t="shared" si="182"/>
        <v/>
      </c>
      <c r="PSF83" s="248" t="str">
        <f t="shared" si="182"/>
        <v/>
      </c>
      <c r="PSG83" s="248" t="str">
        <f t="shared" si="182"/>
        <v/>
      </c>
      <c r="PSH83" s="248" t="str">
        <f t="shared" si="182"/>
        <v/>
      </c>
      <c r="PSI83" s="248" t="str">
        <f t="shared" si="182"/>
        <v/>
      </c>
      <c r="PSJ83" s="248" t="str">
        <f t="shared" si="182"/>
        <v/>
      </c>
      <c r="PSK83" s="248" t="str">
        <f t="shared" si="182"/>
        <v/>
      </c>
      <c r="PSL83" s="248" t="str">
        <f t="shared" si="182"/>
        <v/>
      </c>
      <c r="PSM83" s="248" t="str">
        <f t="shared" si="182"/>
        <v/>
      </c>
      <c r="PSN83" s="248" t="str">
        <f t="shared" si="182"/>
        <v/>
      </c>
      <c r="PSO83" s="248" t="str">
        <f t="shared" si="182"/>
        <v/>
      </c>
      <c r="PSP83" s="248" t="str">
        <f t="shared" si="182"/>
        <v/>
      </c>
      <c r="PSQ83" s="248" t="str">
        <f t="shared" si="182"/>
        <v/>
      </c>
      <c r="PSR83" s="248" t="str">
        <f t="shared" si="182"/>
        <v/>
      </c>
      <c r="PSS83" s="248" t="str">
        <f t="shared" si="182"/>
        <v/>
      </c>
      <c r="PST83" s="248" t="str">
        <f t="shared" si="182"/>
        <v/>
      </c>
      <c r="PSU83" s="248" t="str">
        <f t="shared" si="182"/>
        <v/>
      </c>
      <c r="PSV83" s="248" t="str">
        <f t="shared" si="182"/>
        <v/>
      </c>
      <c r="PSW83" s="248" t="str">
        <f t="shared" si="182"/>
        <v/>
      </c>
      <c r="PSX83" s="248" t="str">
        <f t="shared" si="182"/>
        <v/>
      </c>
      <c r="PSY83" s="248" t="str">
        <f t="shared" si="182"/>
        <v/>
      </c>
      <c r="PSZ83" s="248" t="str">
        <f t="shared" si="182"/>
        <v/>
      </c>
      <c r="PTA83" s="248" t="str">
        <f t="shared" si="182"/>
        <v/>
      </c>
      <c r="PTB83" s="248" t="str">
        <f t="shared" si="182"/>
        <v/>
      </c>
      <c r="PTC83" s="248" t="str">
        <f t="shared" si="182"/>
        <v/>
      </c>
      <c r="PTD83" s="248" t="str">
        <f t="shared" si="182"/>
        <v/>
      </c>
      <c r="PTE83" s="248" t="str">
        <f t="shared" si="182"/>
        <v/>
      </c>
      <c r="PTF83" s="248" t="str">
        <f t="shared" si="182"/>
        <v/>
      </c>
      <c r="PTG83" s="248" t="str">
        <f t="shared" si="182"/>
        <v/>
      </c>
      <c r="PTH83" s="248" t="str">
        <f t="shared" si="182"/>
        <v/>
      </c>
      <c r="PTI83" s="248" t="str">
        <f t="shared" si="182"/>
        <v/>
      </c>
      <c r="PTJ83" s="248" t="str">
        <f t="shared" si="182"/>
        <v/>
      </c>
      <c r="PTK83" s="248" t="str">
        <f t="shared" si="182"/>
        <v/>
      </c>
      <c r="PTL83" s="248" t="str">
        <f t="shared" si="182"/>
        <v/>
      </c>
      <c r="PTM83" s="248" t="str">
        <f t="shared" si="182"/>
        <v/>
      </c>
      <c r="PTN83" s="248" t="str">
        <f t="shared" si="182"/>
        <v/>
      </c>
      <c r="PTO83" s="248" t="str">
        <f t="shared" si="182"/>
        <v/>
      </c>
      <c r="PTP83" s="248" t="str">
        <f t="shared" si="182"/>
        <v/>
      </c>
      <c r="PTQ83" s="248" t="str">
        <f t="shared" si="182"/>
        <v/>
      </c>
      <c r="PTR83" s="248" t="str">
        <f t="shared" si="182"/>
        <v/>
      </c>
      <c r="PTS83" s="248" t="str">
        <f t="shared" si="182"/>
        <v/>
      </c>
      <c r="PTT83" s="248" t="str">
        <f t="shared" si="182"/>
        <v/>
      </c>
      <c r="PTU83" s="248" t="str">
        <f t="shared" si="182"/>
        <v/>
      </c>
      <c r="PTV83" s="248" t="str">
        <f t="shared" si="182"/>
        <v/>
      </c>
      <c r="PTW83" s="248" t="str">
        <f t="shared" ref="PTW83:PWH83" si="183">UPPER(PTU83)</f>
        <v/>
      </c>
      <c r="PTX83" s="248" t="str">
        <f t="shared" si="183"/>
        <v/>
      </c>
      <c r="PTY83" s="248" t="str">
        <f t="shared" si="183"/>
        <v/>
      </c>
      <c r="PTZ83" s="248" t="str">
        <f t="shared" si="183"/>
        <v/>
      </c>
      <c r="PUA83" s="248" t="str">
        <f t="shared" si="183"/>
        <v/>
      </c>
      <c r="PUB83" s="248" t="str">
        <f t="shared" si="183"/>
        <v/>
      </c>
      <c r="PUC83" s="248" t="str">
        <f t="shared" si="183"/>
        <v/>
      </c>
      <c r="PUD83" s="248" t="str">
        <f t="shared" si="183"/>
        <v/>
      </c>
      <c r="PUE83" s="248" t="str">
        <f t="shared" si="183"/>
        <v/>
      </c>
      <c r="PUF83" s="248" t="str">
        <f t="shared" si="183"/>
        <v/>
      </c>
      <c r="PUG83" s="248" t="str">
        <f t="shared" si="183"/>
        <v/>
      </c>
      <c r="PUH83" s="248" t="str">
        <f t="shared" si="183"/>
        <v/>
      </c>
      <c r="PUI83" s="248" t="str">
        <f t="shared" si="183"/>
        <v/>
      </c>
      <c r="PUJ83" s="248" t="str">
        <f t="shared" si="183"/>
        <v/>
      </c>
      <c r="PUK83" s="248" t="str">
        <f t="shared" si="183"/>
        <v/>
      </c>
      <c r="PUL83" s="248" t="str">
        <f t="shared" si="183"/>
        <v/>
      </c>
      <c r="PUM83" s="248" t="str">
        <f t="shared" si="183"/>
        <v/>
      </c>
      <c r="PUN83" s="248" t="str">
        <f t="shared" si="183"/>
        <v/>
      </c>
      <c r="PUO83" s="248" t="str">
        <f t="shared" si="183"/>
        <v/>
      </c>
      <c r="PUP83" s="248" t="str">
        <f t="shared" si="183"/>
        <v/>
      </c>
      <c r="PUQ83" s="248" t="str">
        <f t="shared" si="183"/>
        <v/>
      </c>
      <c r="PUR83" s="248" t="str">
        <f t="shared" si="183"/>
        <v/>
      </c>
      <c r="PUS83" s="248" t="str">
        <f t="shared" si="183"/>
        <v/>
      </c>
      <c r="PUT83" s="248" t="str">
        <f t="shared" si="183"/>
        <v/>
      </c>
      <c r="PUU83" s="248" t="str">
        <f t="shared" si="183"/>
        <v/>
      </c>
      <c r="PUV83" s="248" t="str">
        <f t="shared" si="183"/>
        <v/>
      </c>
      <c r="PUW83" s="248" t="str">
        <f t="shared" si="183"/>
        <v/>
      </c>
      <c r="PUX83" s="248" t="str">
        <f t="shared" si="183"/>
        <v/>
      </c>
      <c r="PUY83" s="248" t="str">
        <f t="shared" si="183"/>
        <v/>
      </c>
      <c r="PUZ83" s="248" t="str">
        <f t="shared" si="183"/>
        <v/>
      </c>
      <c r="PVA83" s="248" t="str">
        <f t="shared" si="183"/>
        <v/>
      </c>
      <c r="PVB83" s="248" t="str">
        <f t="shared" si="183"/>
        <v/>
      </c>
      <c r="PVC83" s="248" t="str">
        <f t="shared" si="183"/>
        <v/>
      </c>
      <c r="PVD83" s="248" t="str">
        <f t="shared" si="183"/>
        <v/>
      </c>
      <c r="PVE83" s="248" t="str">
        <f t="shared" si="183"/>
        <v/>
      </c>
      <c r="PVF83" s="248" t="str">
        <f t="shared" si="183"/>
        <v/>
      </c>
      <c r="PVG83" s="248" t="str">
        <f t="shared" si="183"/>
        <v/>
      </c>
      <c r="PVH83" s="248" t="str">
        <f t="shared" si="183"/>
        <v/>
      </c>
      <c r="PVI83" s="248" t="str">
        <f t="shared" si="183"/>
        <v/>
      </c>
      <c r="PVJ83" s="248" t="str">
        <f t="shared" si="183"/>
        <v/>
      </c>
      <c r="PVK83" s="248" t="str">
        <f t="shared" si="183"/>
        <v/>
      </c>
      <c r="PVL83" s="248" t="str">
        <f t="shared" si="183"/>
        <v/>
      </c>
      <c r="PVM83" s="248" t="str">
        <f t="shared" si="183"/>
        <v/>
      </c>
      <c r="PVN83" s="248" t="str">
        <f t="shared" si="183"/>
        <v/>
      </c>
      <c r="PVO83" s="248" t="str">
        <f t="shared" si="183"/>
        <v/>
      </c>
      <c r="PVP83" s="248" t="str">
        <f t="shared" si="183"/>
        <v/>
      </c>
      <c r="PVQ83" s="248" t="str">
        <f t="shared" si="183"/>
        <v/>
      </c>
      <c r="PVR83" s="248" t="str">
        <f t="shared" si="183"/>
        <v/>
      </c>
      <c r="PVS83" s="248" t="str">
        <f t="shared" si="183"/>
        <v/>
      </c>
      <c r="PVT83" s="248" t="str">
        <f t="shared" si="183"/>
        <v/>
      </c>
      <c r="PVU83" s="248" t="str">
        <f t="shared" si="183"/>
        <v/>
      </c>
      <c r="PVV83" s="248" t="str">
        <f t="shared" si="183"/>
        <v/>
      </c>
      <c r="PVW83" s="248" t="str">
        <f t="shared" si="183"/>
        <v/>
      </c>
      <c r="PVX83" s="248" t="str">
        <f t="shared" si="183"/>
        <v/>
      </c>
      <c r="PVY83" s="248" t="str">
        <f t="shared" si="183"/>
        <v/>
      </c>
      <c r="PVZ83" s="248" t="str">
        <f t="shared" si="183"/>
        <v/>
      </c>
      <c r="PWA83" s="248" t="str">
        <f t="shared" si="183"/>
        <v/>
      </c>
      <c r="PWB83" s="248" t="str">
        <f t="shared" si="183"/>
        <v/>
      </c>
      <c r="PWC83" s="248" t="str">
        <f t="shared" si="183"/>
        <v/>
      </c>
      <c r="PWD83" s="248" t="str">
        <f t="shared" si="183"/>
        <v/>
      </c>
      <c r="PWE83" s="248" t="str">
        <f t="shared" si="183"/>
        <v/>
      </c>
      <c r="PWF83" s="248" t="str">
        <f t="shared" si="183"/>
        <v/>
      </c>
      <c r="PWG83" s="248" t="str">
        <f t="shared" si="183"/>
        <v/>
      </c>
      <c r="PWH83" s="248" t="str">
        <f t="shared" si="183"/>
        <v/>
      </c>
      <c r="PWI83" s="248" t="str">
        <f t="shared" ref="PWI83:PYT83" si="184">UPPER(PWG83)</f>
        <v/>
      </c>
      <c r="PWJ83" s="248" t="str">
        <f t="shared" si="184"/>
        <v/>
      </c>
      <c r="PWK83" s="248" t="str">
        <f t="shared" si="184"/>
        <v/>
      </c>
      <c r="PWL83" s="248" t="str">
        <f t="shared" si="184"/>
        <v/>
      </c>
      <c r="PWM83" s="248" t="str">
        <f t="shared" si="184"/>
        <v/>
      </c>
      <c r="PWN83" s="248" t="str">
        <f t="shared" si="184"/>
        <v/>
      </c>
      <c r="PWO83" s="248" t="str">
        <f t="shared" si="184"/>
        <v/>
      </c>
      <c r="PWP83" s="248" t="str">
        <f t="shared" si="184"/>
        <v/>
      </c>
      <c r="PWQ83" s="248" t="str">
        <f t="shared" si="184"/>
        <v/>
      </c>
      <c r="PWR83" s="248" t="str">
        <f t="shared" si="184"/>
        <v/>
      </c>
      <c r="PWS83" s="248" t="str">
        <f t="shared" si="184"/>
        <v/>
      </c>
      <c r="PWT83" s="248" t="str">
        <f t="shared" si="184"/>
        <v/>
      </c>
      <c r="PWU83" s="248" t="str">
        <f t="shared" si="184"/>
        <v/>
      </c>
      <c r="PWV83" s="248" t="str">
        <f t="shared" si="184"/>
        <v/>
      </c>
      <c r="PWW83" s="248" t="str">
        <f t="shared" si="184"/>
        <v/>
      </c>
      <c r="PWX83" s="248" t="str">
        <f t="shared" si="184"/>
        <v/>
      </c>
      <c r="PWY83" s="248" t="str">
        <f t="shared" si="184"/>
        <v/>
      </c>
      <c r="PWZ83" s="248" t="str">
        <f t="shared" si="184"/>
        <v/>
      </c>
      <c r="PXA83" s="248" t="str">
        <f t="shared" si="184"/>
        <v/>
      </c>
      <c r="PXB83" s="248" t="str">
        <f t="shared" si="184"/>
        <v/>
      </c>
      <c r="PXC83" s="248" t="str">
        <f t="shared" si="184"/>
        <v/>
      </c>
      <c r="PXD83" s="248" t="str">
        <f t="shared" si="184"/>
        <v/>
      </c>
      <c r="PXE83" s="248" t="str">
        <f t="shared" si="184"/>
        <v/>
      </c>
      <c r="PXF83" s="248" t="str">
        <f t="shared" si="184"/>
        <v/>
      </c>
      <c r="PXG83" s="248" t="str">
        <f t="shared" si="184"/>
        <v/>
      </c>
      <c r="PXH83" s="248" t="str">
        <f t="shared" si="184"/>
        <v/>
      </c>
      <c r="PXI83" s="248" t="str">
        <f t="shared" si="184"/>
        <v/>
      </c>
      <c r="PXJ83" s="248" t="str">
        <f t="shared" si="184"/>
        <v/>
      </c>
      <c r="PXK83" s="248" t="str">
        <f t="shared" si="184"/>
        <v/>
      </c>
      <c r="PXL83" s="248" t="str">
        <f t="shared" si="184"/>
        <v/>
      </c>
      <c r="PXM83" s="248" t="str">
        <f t="shared" si="184"/>
        <v/>
      </c>
      <c r="PXN83" s="248" t="str">
        <f t="shared" si="184"/>
        <v/>
      </c>
      <c r="PXO83" s="248" t="str">
        <f t="shared" si="184"/>
        <v/>
      </c>
      <c r="PXP83" s="248" t="str">
        <f t="shared" si="184"/>
        <v/>
      </c>
      <c r="PXQ83" s="248" t="str">
        <f t="shared" si="184"/>
        <v/>
      </c>
      <c r="PXR83" s="248" t="str">
        <f t="shared" si="184"/>
        <v/>
      </c>
      <c r="PXS83" s="248" t="str">
        <f t="shared" si="184"/>
        <v/>
      </c>
      <c r="PXT83" s="248" t="str">
        <f t="shared" si="184"/>
        <v/>
      </c>
      <c r="PXU83" s="248" t="str">
        <f t="shared" si="184"/>
        <v/>
      </c>
      <c r="PXV83" s="248" t="str">
        <f t="shared" si="184"/>
        <v/>
      </c>
      <c r="PXW83" s="248" t="str">
        <f t="shared" si="184"/>
        <v/>
      </c>
      <c r="PXX83" s="248" t="str">
        <f t="shared" si="184"/>
        <v/>
      </c>
      <c r="PXY83" s="248" t="str">
        <f t="shared" si="184"/>
        <v/>
      </c>
      <c r="PXZ83" s="248" t="str">
        <f t="shared" si="184"/>
        <v/>
      </c>
      <c r="PYA83" s="248" t="str">
        <f t="shared" si="184"/>
        <v/>
      </c>
      <c r="PYB83" s="248" t="str">
        <f t="shared" si="184"/>
        <v/>
      </c>
      <c r="PYC83" s="248" t="str">
        <f t="shared" si="184"/>
        <v/>
      </c>
      <c r="PYD83" s="248" t="str">
        <f t="shared" si="184"/>
        <v/>
      </c>
      <c r="PYE83" s="248" t="str">
        <f t="shared" si="184"/>
        <v/>
      </c>
      <c r="PYF83" s="248" t="str">
        <f t="shared" si="184"/>
        <v/>
      </c>
      <c r="PYG83" s="248" t="str">
        <f t="shared" si="184"/>
        <v/>
      </c>
      <c r="PYH83" s="248" t="str">
        <f t="shared" si="184"/>
        <v/>
      </c>
      <c r="PYI83" s="248" t="str">
        <f t="shared" si="184"/>
        <v/>
      </c>
      <c r="PYJ83" s="248" t="str">
        <f t="shared" si="184"/>
        <v/>
      </c>
      <c r="PYK83" s="248" t="str">
        <f t="shared" si="184"/>
        <v/>
      </c>
      <c r="PYL83" s="248" t="str">
        <f t="shared" si="184"/>
        <v/>
      </c>
      <c r="PYM83" s="248" t="str">
        <f t="shared" si="184"/>
        <v/>
      </c>
      <c r="PYN83" s="248" t="str">
        <f t="shared" si="184"/>
        <v/>
      </c>
      <c r="PYO83" s="248" t="str">
        <f t="shared" si="184"/>
        <v/>
      </c>
      <c r="PYP83" s="248" t="str">
        <f t="shared" si="184"/>
        <v/>
      </c>
      <c r="PYQ83" s="248" t="str">
        <f t="shared" si="184"/>
        <v/>
      </c>
      <c r="PYR83" s="248" t="str">
        <f t="shared" si="184"/>
        <v/>
      </c>
      <c r="PYS83" s="248" t="str">
        <f t="shared" si="184"/>
        <v/>
      </c>
      <c r="PYT83" s="248" t="str">
        <f t="shared" si="184"/>
        <v/>
      </c>
      <c r="PYU83" s="248" t="str">
        <f t="shared" ref="PYU83:QBF83" si="185">UPPER(PYS83)</f>
        <v/>
      </c>
      <c r="PYV83" s="248" t="str">
        <f t="shared" si="185"/>
        <v/>
      </c>
      <c r="PYW83" s="248" t="str">
        <f t="shared" si="185"/>
        <v/>
      </c>
      <c r="PYX83" s="248" t="str">
        <f t="shared" si="185"/>
        <v/>
      </c>
      <c r="PYY83" s="248" t="str">
        <f t="shared" si="185"/>
        <v/>
      </c>
      <c r="PYZ83" s="248" t="str">
        <f t="shared" si="185"/>
        <v/>
      </c>
      <c r="PZA83" s="248" t="str">
        <f t="shared" si="185"/>
        <v/>
      </c>
      <c r="PZB83" s="248" t="str">
        <f t="shared" si="185"/>
        <v/>
      </c>
      <c r="PZC83" s="248" t="str">
        <f t="shared" si="185"/>
        <v/>
      </c>
      <c r="PZD83" s="248" t="str">
        <f t="shared" si="185"/>
        <v/>
      </c>
      <c r="PZE83" s="248" t="str">
        <f t="shared" si="185"/>
        <v/>
      </c>
      <c r="PZF83" s="248" t="str">
        <f t="shared" si="185"/>
        <v/>
      </c>
      <c r="PZG83" s="248" t="str">
        <f t="shared" si="185"/>
        <v/>
      </c>
      <c r="PZH83" s="248" t="str">
        <f t="shared" si="185"/>
        <v/>
      </c>
      <c r="PZI83" s="248" t="str">
        <f t="shared" si="185"/>
        <v/>
      </c>
      <c r="PZJ83" s="248" t="str">
        <f t="shared" si="185"/>
        <v/>
      </c>
      <c r="PZK83" s="248" t="str">
        <f t="shared" si="185"/>
        <v/>
      </c>
      <c r="PZL83" s="248" t="str">
        <f t="shared" si="185"/>
        <v/>
      </c>
      <c r="PZM83" s="248" t="str">
        <f t="shared" si="185"/>
        <v/>
      </c>
      <c r="PZN83" s="248" t="str">
        <f t="shared" si="185"/>
        <v/>
      </c>
      <c r="PZO83" s="248" t="str">
        <f t="shared" si="185"/>
        <v/>
      </c>
      <c r="PZP83" s="248" t="str">
        <f t="shared" si="185"/>
        <v/>
      </c>
      <c r="PZQ83" s="248" t="str">
        <f t="shared" si="185"/>
        <v/>
      </c>
      <c r="PZR83" s="248" t="str">
        <f t="shared" si="185"/>
        <v/>
      </c>
      <c r="PZS83" s="248" t="str">
        <f t="shared" si="185"/>
        <v/>
      </c>
      <c r="PZT83" s="248" t="str">
        <f t="shared" si="185"/>
        <v/>
      </c>
      <c r="PZU83" s="248" t="str">
        <f t="shared" si="185"/>
        <v/>
      </c>
      <c r="PZV83" s="248" t="str">
        <f t="shared" si="185"/>
        <v/>
      </c>
      <c r="PZW83" s="248" t="str">
        <f t="shared" si="185"/>
        <v/>
      </c>
      <c r="PZX83" s="248" t="str">
        <f t="shared" si="185"/>
        <v/>
      </c>
      <c r="PZY83" s="248" t="str">
        <f t="shared" si="185"/>
        <v/>
      </c>
      <c r="PZZ83" s="248" t="str">
        <f t="shared" si="185"/>
        <v/>
      </c>
      <c r="QAA83" s="248" t="str">
        <f t="shared" si="185"/>
        <v/>
      </c>
      <c r="QAB83" s="248" t="str">
        <f t="shared" si="185"/>
        <v/>
      </c>
      <c r="QAC83" s="248" t="str">
        <f t="shared" si="185"/>
        <v/>
      </c>
      <c r="QAD83" s="248" t="str">
        <f t="shared" si="185"/>
        <v/>
      </c>
      <c r="QAE83" s="248" t="str">
        <f t="shared" si="185"/>
        <v/>
      </c>
      <c r="QAF83" s="248" t="str">
        <f t="shared" si="185"/>
        <v/>
      </c>
      <c r="QAG83" s="248" t="str">
        <f t="shared" si="185"/>
        <v/>
      </c>
      <c r="QAH83" s="248" t="str">
        <f t="shared" si="185"/>
        <v/>
      </c>
      <c r="QAI83" s="248" t="str">
        <f t="shared" si="185"/>
        <v/>
      </c>
      <c r="QAJ83" s="248" t="str">
        <f t="shared" si="185"/>
        <v/>
      </c>
      <c r="QAK83" s="248" t="str">
        <f t="shared" si="185"/>
        <v/>
      </c>
      <c r="QAL83" s="248" t="str">
        <f t="shared" si="185"/>
        <v/>
      </c>
      <c r="QAM83" s="248" t="str">
        <f t="shared" si="185"/>
        <v/>
      </c>
      <c r="QAN83" s="248" t="str">
        <f t="shared" si="185"/>
        <v/>
      </c>
      <c r="QAO83" s="248" t="str">
        <f t="shared" si="185"/>
        <v/>
      </c>
      <c r="QAP83" s="248" t="str">
        <f t="shared" si="185"/>
        <v/>
      </c>
      <c r="QAQ83" s="248" t="str">
        <f t="shared" si="185"/>
        <v/>
      </c>
      <c r="QAR83" s="248" t="str">
        <f t="shared" si="185"/>
        <v/>
      </c>
      <c r="QAS83" s="248" t="str">
        <f t="shared" si="185"/>
        <v/>
      </c>
      <c r="QAT83" s="248" t="str">
        <f t="shared" si="185"/>
        <v/>
      </c>
      <c r="QAU83" s="248" t="str">
        <f t="shared" si="185"/>
        <v/>
      </c>
      <c r="QAV83" s="248" t="str">
        <f t="shared" si="185"/>
        <v/>
      </c>
      <c r="QAW83" s="248" t="str">
        <f t="shared" si="185"/>
        <v/>
      </c>
      <c r="QAX83" s="248" t="str">
        <f t="shared" si="185"/>
        <v/>
      </c>
      <c r="QAY83" s="248" t="str">
        <f t="shared" si="185"/>
        <v/>
      </c>
      <c r="QAZ83" s="248" t="str">
        <f t="shared" si="185"/>
        <v/>
      </c>
      <c r="QBA83" s="248" t="str">
        <f t="shared" si="185"/>
        <v/>
      </c>
      <c r="QBB83" s="248" t="str">
        <f t="shared" si="185"/>
        <v/>
      </c>
      <c r="QBC83" s="248" t="str">
        <f t="shared" si="185"/>
        <v/>
      </c>
      <c r="QBD83" s="248" t="str">
        <f t="shared" si="185"/>
        <v/>
      </c>
      <c r="QBE83" s="248" t="str">
        <f t="shared" si="185"/>
        <v/>
      </c>
      <c r="QBF83" s="248" t="str">
        <f t="shared" si="185"/>
        <v/>
      </c>
      <c r="QBG83" s="248" t="str">
        <f t="shared" ref="QBG83:QDR83" si="186">UPPER(QBE83)</f>
        <v/>
      </c>
      <c r="QBH83" s="248" t="str">
        <f t="shared" si="186"/>
        <v/>
      </c>
      <c r="QBI83" s="248" t="str">
        <f t="shared" si="186"/>
        <v/>
      </c>
      <c r="QBJ83" s="248" t="str">
        <f t="shared" si="186"/>
        <v/>
      </c>
      <c r="QBK83" s="248" t="str">
        <f t="shared" si="186"/>
        <v/>
      </c>
      <c r="QBL83" s="248" t="str">
        <f t="shared" si="186"/>
        <v/>
      </c>
      <c r="QBM83" s="248" t="str">
        <f t="shared" si="186"/>
        <v/>
      </c>
      <c r="QBN83" s="248" t="str">
        <f t="shared" si="186"/>
        <v/>
      </c>
      <c r="QBO83" s="248" t="str">
        <f t="shared" si="186"/>
        <v/>
      </c>
      <c r="QBP83" s="248" t="str">
        <f t="shared" si="186"/>
        <v/>
      </c>
      <c r="QBQ83" s="248" t="str">
        <f t="shared" si="186"/>
        <v/>
      </c>
      <c r="QBR83" s="248" t="str">
        <f t="shared" si="186"/>
        <v/>
      </c>
      <c r="QBS83" s="248" t="str">
        <f t="shared" si="186"/>
        <v/>
      </c>
      <c r="QBT83" s="248" t="str">
        <f t="shared" si="186"/>
        <v/>
      </c>
      <c r="QBU83" s="248" t="str">
        <f t="shared" si="186"/>
        <v/>
      </c>
      <c r="QBV83" s="248" t="str">
        <f t="shared" si="186"/>
        <v/>
      </c>
      <c r="QBW83" s="248" t="str">
        <f t="shared" si="186"/>
        <v/>
      </c>
      <c r="QBX83" s="248" t="str">
        <f t="shared" si="186"/>
        <v/>
      </c>
      <c r="QBY83" s="248" t="str">
        <f t="shared" si="186"/>
        <v/>
      </c>
      <c r="QBZ83" s="248" t="str">
        <f t="shared" si="186"/>
        <v/>
      </c>
      <c r="QCA83" s="248" t="str">
        <f t="shared" si="186"/>
        <v/>
      </c>
      <c r="QCB83" s="248" t="str">
        <f t="shared" si="186"/>
        <v/>
      </c>
      <c r="QCC83" s="248" t="str">
        <f t="shared" si="186"/>
        <v/>
      </c>
      <c r="QCD83" s="248" t="str">
        <f t="shared" si="186"/>
        <v/>
      </c>
      <c r="QCE83" s="248" t="str">
        <f t="shared" si="186"/>
        <v/>
      </c>
      <c r="QCF83" s="248" t="str">
        <f t="shared" si="186"/>
        <v/>
      </c>
      <c r="QCG83" s="248" t="str">
        <f t="shared" si="186"/>
        <v/>
      </c>
      <c r="QCH83" s="248" t="str">
        <f t="shared" si="186"/>
        <v/>
      </c>
      <c r="QCI83" s="248" t="str">
        <f t="shared" si="186"/>
        <v/>
      </c>
      <c r="QCJ83" s="248" t="str">
        <f t="shared" si="186"/>
        <v/>
      </c>
      <c r="QCK83" s="248" t="str">
        <f t="shared" si="186"/>
        <v/>
      </c>
      <c r="QCL83" s="248" t="str">
        <f t="shared" si="186"/>
        <v/>
      </c>
      <c r="QCM83" s="248" t="str">
        <f t="shared" si="186"/>
        <v/>
      </c>
      <c r="QCN83" s="248" t="str">
        <f t="shared" si="186"/>
        <v/>
      </c>
      <c r="QCO83" s="248" t="str">
        <f t="shared" si="186"/>
        <v/>
      </c>
      <c r="QCP83" s="248" t="str">
        <f t="shared" si="186"/>
        <v/>
      </c>
      <c r="QCQ83" s="248" t="str">
        <f t="shared" si="186"/>
        <v/>
      </c>
      <c r="QCR83" s="248" t="str">
        <f t="shared" si="186"/>
        <v/>
      </c>
      <c r="QCS83" s="248" t="str">
        <f t="shared" si="186"/>
        <v/>
      </c>
      <c r="QCT83" s="248" t="str">
        <f t="shared" si="186"/>
        <v/>
      </c>
      <c r="QCU83" s="248" t="str">
        <f t="shared" si="186"/>
        <v/>
      </c>
      <c r="QCV83" s="248" t="str">
        <f t="shared" si="186"/>
        <v/>
      </c>
      <c r="QCW83" s="248" t="str">
        <f t="shared" si="186"/>
        <v/>
      </c>
      <c r="QCX83" s="248" t="str">
        <f t="shared" si="186"/>
        <v/>
      </c>
      <c r="QCY83" s="248" t="str">
        <f t="shared" si="186"/>
        <v/>
      </c>
      <c r="QCZ83" s="248" t="str">
        <f t="shared" si="186"/>
        <v/>
      </c>
      <c r="QDA83" s="248" t="str">
        <f t="shared" si="186"/>
        <v/>
      </c>
      <c r="QDB83" s="248" t="str">
        <f t="shared" si="186"/>
        <v/>
      </c>
      <c r="QDC83" s="248" t="str">
        <f t="shared" si="186"/>
        <v/>
      </c>
      <c r="QDD83" s="248" t="str">
        <f t="shared" si="186"/>
        <v/>
      </c>
      <c r="QDE83" s="248" t="str">
        <f t="shared" si="186"/>
        <v/>
      </c>
      <c r="QDF83" s="248" t="str">
        <f t="shared" si="186"/>
        <v/>
      </c>
      <c r="QDG83" s="248" t="str">
        <f t="shared" si="186"/>
        <v/>
      </c>
      <c r="QDH83" s="248" t="str">
        <f t="shared" si="186"/>
        <v/>
      </c>
      <c r="QDI83" s="248" t="str">
        <f t="shared" si="186"/>
        <v/>
      </c>
      <c r="QDJ83" s="248" t="str">
        <f t="shared" si="186"/>
        <v/>
      </c>
      <c r="QDK83" s="248" t="str">
        <f t="shared" si="186"/>
        <v/>
      </c>
      <c r="QDL83" s="248" t="str">
        <f t="shared" si="186"/>
        <v/>
      </c>
      <c r="QDM83" s="248" t="str">
        <f t="shared" si="186"/>
        <v/>
      </c>
      <c r="QDN83" s="248" t="str">
        <f t="shared" si="186"/>
        <v/>
      </c>
      <c r="QDO83" s="248" t="str">
        <f t="shared" si="186"/>
        <v/>
      </c>
      <c r="QDP83" s="248" t="str">
        <f t="shared" si="186"/>
        <v/>
      </c>
      <c r="QDQ83" s="248" t="str">
        <f t="shared" si="186"/>
        <v/>
      </c>
      <c r="QDR83" s="248" t="str">
        <f t="shared" si="186"/>
        <v/>
      </c>
      <c r="QDS83" s="248" t="str">
        <f t="shared" ref="QDS83:QGD83" si="187">UPPER(QDQ83)</f>
        <v/>
      </c>
      <c r="QDT83" s="248" t="str">
        <f t="shared" si="187"/>
        <v/>
      </c>
      <c r="QDU83" s="248" t="str">
        <f t="shared" si="187"/>
        <v/>
      </c>
      <c r="QDV83" s="248" t="str">
        <f t="shared" si="187"/>
        <v/>
      </c>
      <c r="QDW83" s="248" t="str">
        <f t="shared" si="187"/>
        <v/>
      </c>
      <c r="QDX83" s="248" t="str">
        <f t="shared" si="187"/>
        <v/>
      </c>
      <c r="QDY83" s="248" t="str">
        <f t="shared" si="187"/>
        <v/>
      </c>
      <c r="QDZ83" s="248" t="str">
        <f t="shared" si="187"/>
        <v/>
      </c>
      <c r="QEA83" s="248" t="str">
        <f t="shared" si="187"/>
        <v/>
      </c>
      <c r="QEB83" s="248" t="str">
        <f t="shared" si="187"/>
        <v/>
      </c>
      <c r="QEC83" s="248" t="str">
        <f t="shared" si="187"/>
        <v/>
      </c>
      <c r="QED83" s="248" t="str">
        <f t="shared" si="187"/>
        <v/>
      </c>
      <c r="QEE83" s="248" t="str">
        <f t="shared" si="187"/>
        <v/>
      </c>
      <c r="QEF83" s="248" t="str">
        <f t="shared" si="187"/>
        <v/>
      </c>
      <c r="QEG83" s="248" t="str">
        <f t="shared" si="187"/>
        <v/>
      </c>
      <c r="QEH83" s="248" t="str">
        <f t="shared" si="187"/>
        <v/>
      </c>
      <c r="QEI83" s="248" t="str">
        <f t="shared" si="187"/>
        <v/>
      </c>
      <c r="QEJ83" s="248" t="str">
        <f t="shared" si="187"/>
        <v/>
      </c>
      <c r="QEK83" s="248" t="str">
        <f t="shared" si="187"/>
        <v/>
      </c>
      <c r="QEL83" s="248" t="str">
        <f t="shared" si="187"/>
        <v/>
      </c>
      <c r="QEM83" s="248" t="str">
        <f t="shared" si="187"/>
        <v/>
      </c>
      <c r="QEN83" s="248" t="str">
        <f t="shared" si="187"/>
        <v/>
      </c>
      <c r="QEO83" s="248" t="str">
        <f t="shared" si="187"/>
        <v/>
      </c>
      <c r="QEP83" s="248" t="str">
        <f t="shared" si="187"/>
        <v/>
      </c>
      <c r="QEQ83" s="248" t="str">
        <f t="shared" si="187"/>
        <v/>
      </c>
      <c r="QER83" s="248" t="str">
        <f t="shared" si="187"/>
        <v/>
      </c>
      <c r="QES83" s="248" t="str">
        <f t="shared" si="187"/>
        <v/>
      </c>
      <c r="QET83" s="248" t="str">
        <f t="shared" si="187"/>
        <v/>
      </c>
      <c r="QEU83" s="248" t="str">
        <f t="shared" si="187"/>
        <v/>
      </c>
      <c r="QEV83" s="248" t="str">
        <f t="shared" si="187"/>
        <v/>
      </c>
      <c r="QEW83" s="248" t="str">
        <f t="shared" si="187"/>
        <v/>
      </c>
      <c r="QEX83" s="248" t="str">
        <f t="shared" si="187"/>
        <v/>
      </c>
      <c r="QEY83" s="248" t="str">
        <f t="shared" si="187"/>
        <v/>
      </c>
      <c r="QEZ83" s="248" t="str">
        <f t="shared" si="187"/>
        <v/>
      </c>
      <c r="QFA83" s="248" t="str">
        <f t="shared" si="187"/>
        <v/>
      </c>
      <c r="QFB83" s="248" t="str">
        <f t="shared" si="187"/>
        <v/>
      </c>
      <c r="QFC83" s="248" t="str">
        <f t="shared" si="187"/>
        <v/>
      </c>
      <c r="QFD83" s="248" t="str">
        <f t="shared" si="187"/>
        <v/>
      </c>
      <c r="QFE83" s="248" t="str">
        <f t="shared" si="187"/>
        <v/>
      </c>
      <c r="QFF83" s="248" t="str">
        <f t="shared" si="187"/>
        <v/>
      </c>
      <c r="QFG83" s="248" t="str">
        <f t="shared" si="187"/>
        <v/>
      </c>
      <c r="QFH83" s="248" t="str">
        <f t="shared" si="187"/>
        <v/>
      </c>
      <c r="QFI83" s="248" t="str">
        <f t="shared" si="187"/>
        <v/>
      </c>
      <c r="QFJ83" s="248" t="str">
        <f t="shared" si="187"/>
        <v/>
      </c>
      <c r="QFK83" s="248" t="str">
        <f t="shared" si="187"/>
        <v/>
      </c>
      <c r="QFL83" s="248" t="str">
        <f t="shared" si="187"/>
        <v/>
      </c>
      <c r="QFM83" s="248" t="str">
        <f t="shared" si="187"/>
        <v/>
      </c>
      <c r="QFN83" s="248" t="str">
        <f t="shared" si="187"/>
        <v/>
      </c>
      <c r="QFO83" s="248" t="str">
        <f t="shared" si="187"/>
        <v/>
      </c>
      <c r="QFP83" s="248" t="str">
        <f t="shared" si="187"/>
        <v/>
      </c>
      <c r="QFQ83" s="248" t="str">
        <f t="shared" si="187"/>
        <v/>
      </c>
      <c r="QFR83" s="248" t="str">
        <f t="shared" si="187"/>
        <v/>
      </c>
      <c r="QFS83" s="248" t="str">
        <f t="shared" si="187"/>
        <v/>
      </c>
      <c r="QFT83" s="248" t="str">
        <f t="shared" si="187"/>
        <v/>
      </c>
      <c r="QFU83" s="248" t="str">
        <f t="shared" si="187"/>
        <v/>
      </c>
      <c r="QFV83" s="248" t="str">
        <f t="shared" si="187"/>
        <v/>
      </c>
      <c r="QFW83" s="248" t="str">
        <f t="shared" si="187"/>
        <v/>
      </c>
      <c r="QFX83" s="248" t="str">
        <f t="shared" si="187"/>
        <v/>
      </c>
      <c r="QFY83" s="248" t="str">
        <f t="shared" si="187"/>
        <v/>
      </c>
      <c r="QFZ83" s="248" t="str">
        <f t="shared" si="187"/>
        <v/>
      </c>
      <c r="QGA83" s="248" t="str">
        <f t="shared" si="187"/>
        <v/>
      </c>
      <c r="QGB83" s="248" t="str">
        <f t="shared" si="187"/>
        <v/>
      </c>
      <c r="QGC83" s="248" t="str">
        <f t="shared" si="187"/>
        <v/>
      </c>
      <c r="QGD83" s="248" t="str">
        <f t="shared" si="187"/>
        <v/>
      </c>
      <c r="QGE83" s="248" t="str">
        <f t="shared" ref="QGE83:QIP83" si="188">UPPER(QGC83)</f>
        <v/>
      </c>
      <c r="QGF83" s="248" t="str">
        <f t="shared" si="188"/>
        <v/>
      </c>
      <c r="QGG83" s="248" t="str">
        <f t="shared" si="188"/>
        <v/>
      </c>
      <c r="QGH83" s="248" t="str">
        <f t="shared" si="188"/>
        <v/>
      </c>
      <c r="QGI83" s="248" t="str">
        <f t="shared" si="188"/>
        <v/>
      </c>
      <c r="QGJ83" s="248" t="str">
        <f t="shared" si="188"/>
        <v/>
      </c>
      <c r="QGK83" s="248" t="str">
        <f t="shared" si="188"/>
        <v/>
      </c>
      <c r="QGL83" s="248" t="str">
        <f t="shared" si="188"/>
        <v/>
      </c>
      <c r="QGM83" s="248" t="str">
        <f t="shared" si="188"/>
        <v/>
      </c>
      <c r="QGN83" s="248" t="str">
        <f t="shared" si="188"/>
        <v/>
      </c>
      <c r="QGO83" s="248" t="str">
        <f t="shared" si="188"/>
        <v/>
      </c>
      <c r="QGP83" s="248" t="str">
        <f t="shared" si="188"/>
        <v/>
      </c>
      <c r="QGQ83" s="248" t="str">
        <f t="shared" si="188"/>
        <v/>
      </c>
      <c r="QGR83" s="248" t="str">
        <f t="shared" si="188"/>
        <v/>
      </c>
      <c r="QGS83" s="248" t="str">
        <f t="shared" si="188"/>
        <v/>
      </c>
      <c r="QGT83" s="248" t="str">
        <f t="shared" si="188"/>
        <v/>
      </c>
      <c r="QGU83" s="248" t="str">
        <f t="shared" si="188"/>
        <v/>
      </c>
      <c r="QGV83" s="248" t="str">
        <f t="shared" si="188"/>
        <v/>
      </c>
      <c r="QGW83" s="248" t="str">
        <f t="shared" si="188"/>
        <v/>
      </c>
      <c r="QGX83" s="248" t="str">
        <f t="shared" si="188"/>
        <v/>
      </c>
      <c r="QGY83" s="248" t="str">
        <f t="shared" si="188"/>
        <v/>
      </c>
      <c r="QGZ83" s="248" t="str">
        <f t="shared" si="188"/>
        <v/>
      </c>
      <c r="QHA83" s="248" t="str">
        <f t="shared" si="188"/>
        <v/>
      </c>
      <c r="QHB83" s="248" t="str">
        <f t="shared" si="188"/>
        <v/>
      </c>
      <c r="QHC83" s="248" t="str">
        <f t="shared" si="188"/>
        <v/>
      </c>
      <c r="QHD83" s="248" t="str">
        <f t="shared" si="188"/>
        <v/>
      </c>
      <c r="QHE83" s="248" t="str">
        <f t="shared" si="188"/>
        <v/>
      </c>
      <c r="QHF83" s="248" t="str">
        <f t="shared" si="188"/>
        <v/>
      </c>
      <c r="QHG83" s="248" t="str">
        <f t="shared" si="188"/>
        <v/>
      </c>
      <c r="QHH83" s="248" t="str">
        <f t="shared" si="188"/>
        <v/>
      </c>
      <c r="QHI83" s="248" t="str">
        <f t="shared" si="188"/>
        <v/>
      </c>
      <c r="QHJ83" s="248" t="str">
        <f t="shared" si="188"/>
        <v/>
      </c>
      <c r="QHK83" s="248" t="str">
        <f t="shared" si="188"/>
        <v/>
      </c>
      <c r="QHL83" s="248" t="str">
        <f t="shared" si="188"/>
        <v/>
      </c>
      <c r="QHM83" s="248" t="str">
        <f t="shared" si="188"/>
        <v/>
      </c>
      <c r="QHN83" s="248" t="str">
        <f t="shared" si="188"/>
        <v/>
      </c>
      <c r="QHO83" s="248" t="str">
        <f t="shared" si="188"/>
        <v/>
      </c>
      <c r="QHP83" s="248" t="str">
        <f t="shared" si="188"/>
        <v/>
      </c>
      <c r="QHQ83" s="248" t="str">
        <f t="shared" si="188"/>
        <v/>
      </c>
      <c r="QHR83" s="248" t="str">
        <f t="shared" si="188"/>
        <v/>
      </c>
      <c r="QHS83" s="248" t="str">
        <f t="shared" si="188"/>
        <v/>
      </c>
      <c r="QHT83" s="248" t="str">
        <f t="shared" si="188"/>
        <v/>
      </c>
      <c r="QHU83" s="248" t="str">
        <f t="shared" si="188"/>
        <v/>
      </c>
      <c r="QHV83" s="248" t="str">
        <f t="shared" si="188"/>
        <v/>
      </c>
      <c r="QHW83" s="248" t="str">
        <f t="shared" si="188"/>
        <v/>
      </c>
      <c r="QHX83" s="248" t="str">
        <f t="shared" si="188"/>
        <v/>
      </c>
      <c r="QHY83" s="248" t="str">
        <f t="shared" si="188"/>
        <v/>
      </c>
      <c r="QHZ83" s="248" t="str">
        <f t="shared" si="188"/>
        <v/>
      </c>
      <c r="QIA83" s="248" t="str">
        <f t="shared" si="188"/>
        <v/>
      </c>
      <c r="QIB83" s="248" t="str">
        <f t="shared" si="188"/>
        <v/>
      </c>
      <c r="QIC83" s="248" t="str">
        <f t="shared" si="188"/>
        <v/>
      </c>
      <c r="QID83" s="248" t="str">
        <f t="shared" si="188"/>
        <v/>
      </c>
      <c r="QIE83" s="248" t="str">
        <f t="shared" si="188"/>
        <v/>
      </c>
      <c r="QIF83" s="248" t="str">
        <f t="shared" si="188"/>
        <v/>
      </c>
      <c r="QIG83" s="248" t="str">
        <f t="shared" si="188"/>
        <v/>
      </c>
      <c r="QIH83" s="248" t="str">
        <f t="shared" si="188"/>
        <v/>
      </c>
      <c r="QII83" s="248" t="str">
        <f t="shared" si="188"/>
        <v/>
      </c>
      <c r="QIJ83" s="248" t="str">
        <f t="shared" si="188"/>
        <v/>
      </c>
      <c r="QIK83" s="248" t="str">
        <f t="shared" si="188"/>
        <v/>
      </c>
      <c r="QIL83" s="248" t="str">
        <f t="shared" si="188"/>
        <v/>
      </c>
      <c r="QIM83" s="248" t="str">
        <f t="shared" si="188"/>
        <v/>
      </c>
      <c r="QIN83" s="248" t="str">
        <f t="shared" si="188"/>
        <v/>
      </c>
      <c r="QIO83" s="248" t="str">
        <f t="shared" si="188"/>
        <v/>
      </c>
      <c r="QIP83" s="248" t="str">
        <f t="shared" si="188"/>
        <v/>
      </c>
      <c r="QIQ83" s="248" t="str">
        <f t="shared" ref="QIQ83:QLB83" si="189">UPPER(QIO83)</f>
        <v/>
      </c>
      <c r="QIR83" s="248" t="str">
        <f t="shared" si="189"/>
        <v/>
      </c>
      <c r="QIS83" s="248" t="str">
        <f t="shared" si="189"/>
        <v/>
      </c>
      <c r="QIT83" s="248" t="str">
        <f t="shared" si="189"/>
        <v/>
      </c>
      <c r="QIU83" s="248" t="str">
        <f t="shared" si="189"/>
        <v/>
      </c>
      <c r="QIV83" s="248" t="str">
        <f t="shared" si="189"/>
        <v/>
      </c>
      <c r="QIW83" s="248" t="str">
        <f t="shared" si="189"/>
        <v/>
      </c>
      <c r="QIX83" s="248" t="str">
        <f t="shared" si="189"/>
        <v/>
      </c>
      <c r="QIY83" s="248" t="str">
        <f t="shared" si="189"/>
        <v/>
      </c>
      <c r="QIZ83" s="248" t="str">
        <f t="shared" si="189"/>
        <v/>
      </c>
      <c r="QJA83" s="248" t="str">
        <f t="shared" si="189"/>
        <v/>
      </c>
      <c r="QJB83" s="248" t="str">
        <f t="shared" si="189"/>
        <v/>
      </c>
      <c r="QJC83" s="248" t="str">
        <f t="shared" si="189"/>
        <v/>
      </c>
      <c r="QJD83" s="248" t="str">
        <f t="shared" si="189"/>
        <v/>
      </c>
      <c r="QJE83" s="248" t="str">
        <f t="shared" si="189"/>
        <v/>
      </c>
      <c r="QJF83" s="248" t="str">
        <f t="shared" si="189"/>
        <v/>
      </c>
      <c r="QJG83" s="248" t="str">
        <f t="shared" si="189"/>
        <v/>
      </c>
      <c r="QJH83" s="248" t="str">
        <f t="shared" si="189"/>
        <v/>
      </c>
      <c r="QJI83" s="248" t="str">
        <f t="shared" si="189"/>
        <v/>
      </c>
      <c r="QJJ83" s="248" t="str">
        <f t="shared" si="189"/>
        <v/>
      </c>
      <c r="QJK83" s="248" t="str">
        <f t="shared" si="189"/>
        <v/>
      </c>
      <c r="QJL83" s="248" t="str">
        <f t="shared" si="189"/>
        <v/>
      </c>
      <c r="QJM83" s="248" t="str">
        <f t="shared" si="189"/>
        <v/>
      </c>
      <c r="QJN83" s="248" t="str">
        <f t="shared" si="189"/>
        <v/>
      </c>
      <c r="QJO83" s="248" t="str">
        <f t="shared" si="189"/>
        <v/>
      </c>
      <c r="QJP83" s="248" t="str">
        <f t="shared" si="189"/>
        <v/>
      </c>
      <c r="QJQ83" s="248" t="str">
        <f t="shared" si="189"/>
        <v/>
      </c>
      <c r="QJR83" s="248" t="str">
        <f t="shared" si="189"/>
        <v/>
      </c>
      <c r="QJS83" s="248" t="str">
        <f t="shared" si="189"/>
        <v/>
      </c>
      <c r="QJT83" s="248" t="str">
        <f t="shared" si="189"/>
        <v/>
      </c>
      <c r="QJU83" s="248" t="str">
        <f t="shared" si="189"/>
        <v/>
      </c>
      <c r="QJV83" s="248" t="str">
        <f t="shared" si="189"/>
        <v/>
      </c>
      <c r="QJW83" s="248" t="str">
        <f t="shared" si="189"/>
        <v/>
      </c>
      <c r="QJX83" s="248" t="str">
        <f t="shared" si="189"/>
        <v/>
      </c>
      <c r="QJY83" s="248" t="str">
        <f t="shared" si="189"/>
        <v/>
      </c>
      <c r="QJZ83" s="248" t="str">
        <f t="shared" si="189"/>
        <v/>
      </c>
      <c r="QKA83" s="248" t="str">
        <f t="shared" si="189"/>
        <v/>
      </c>
      <c r="QKB83" s="248" t="str">
        <f t="shared" si="189"/>
        <v/>
      </c>
      <c r="QKC83" s="248" t="str">
        <f t="shared" si="189"/>
        <v/>
      </c>
      <c r="QKD83" s="248" t="str">
        <f t="shared" si="189"/>
        <v/>
      </c>
      <c r="QKE83" s="248" t="str">
        <f t="shared" si="189"/>
        <v/>
      </c>
      <c r="QKF83" s="248" t="str">
        <f t="shared" si="189"/>
        <v/>
      </c>
      <c r="QKG83" s="248" t="str">
        <f t="shared" si="189"/>
        <v/>
      </c>
      <c r="QKH83" s="248" t="str">
        <f t="shared" si="189"/>
        <v/>
      </c>
      <c r="QKI83" s="248" t="str">
        <f t="shared" si="189"/>
        <v/>
      </c>
      <c r="QKJ83" s="248" t="str">
        <f t="shared" si="189"/>
        <v/>
      </c>
      <c r="QKK83" s="248" t="str">
        <f t="shared" si="189"/>
        <v/>
      </c>
      <c r="QKL83" s="248" t="str">
        <f t="shared" si="189"/>
        <v/>
      </c>
      <c r="QKM83" s="248" t="str">
        <f t="shared" si="189"/>
        <v/>
      </c>
      <c r="QKN83" s="248" t="str">
        <f t="shared" si="189"/>
        <v/>
      </c>
      <c r="QKO83" s="248" t="str">
        <f t="shared" si="189"/>
        <v/>
      </c>
      <c r="QKP83" s="248" t="str">
        <f t="shared" si="189"/>
        <v/>
      </c>
      <c r="QKQ83" s="248" t="str">
        <f t="shared" si="189"/>
        <v/>
      </c>
      <c r="QKR83" s="248" t="str">
        <f t="shared" si="189"/>
        <v/>
      </c>
      <c r="QKS83" s="248" t="str">
        <f t="shared" si="189"/>
        <v/>
      </c>
      <c r="QKT83" s="248" t="str">
        <f t="shared" si="189"/>
        <v/>
      </c>
      <c r="QKU83" s="248" t="str">
        <f t="shared" si="189"/>
        <v/>
      </c>
      <c r="QKV83" s="248" t="str">
        <f t="shared" si="189"/>
        <v/>
      </c>
      <c r="QKW83" s="248" t="str">
        <f t="shared" si="189"/>
        <v/>
      </c>
      <c r="QKX83" s="248" t="str">
        <f t="shared" si="189"/>
        <v/>
      </c>
      <c r="QKY83" s="248" t="str">
        <f t="shared" si="189"/>
        <v/>
      </c>
      <c r="QKZ83" s="248" t="str">
        <f t="shared" si="189"/>
        <v/>
      </c>
      <c r="QLA83" s="248" t="str">
        <f t="shared" si="189"/>
        <v/>
      </c>
      <c r="QLB83" s="248" t="str">
        <f t="shared" si="189"/>
        <v/>
      </c>
      <c r="QLC83" s="248" t="str">
        <f t="shared" ref="QLC83:QNN83" si="190">UPPER(QLA83)</f>
        <v/>
      </c>
      <c r="QLD83" s="248" t="str">
        <f t="shared" si="190"/>
        <v/>
      </c>
      <c r="QLE83" s="248" t="str">
        <f t="shared" si="190"/>
        <v/>
      </c>
      <c r="QLF83" s="248" t="str">
        <f t="shared" si="190"/>
        <v/>
      </c>
      <c r="QLG83" s="248" t="str">
        <f t="shared" si="190"/>
        <v/>
      </c>
      <c r="QLH83" s="248" t="str">
        <f t="shared" si="190"/>
        <v/>
      </c>
      <c r="QLI83" s="248" t="str">
        <f t="shared" si="190"/>
        <v/>
      </c>
      <c r="QLJ83" s="248" t="str">
        <f t="shared" si="190"/>
        <v/>
      </c>
      <c r="QLK83" s="248" t="str">
        <f t="shared" si="190"/>
        <v/>
      </c>
      <c r="QLL83" s="248" t="str">
        <f t="shared" si="190"/>
        <v/>
      </c>
      <c r="QLM83" s="248" t="str">
        <f t="shared" si="190"/>
        <v/>
      </c>
      <c r="QLN83" s="248" t="str">
        <f t="shared" si="190"/>
        <v/>
      </c>
      <c r="QLO83" s="248" t="str">
        <f t="shared" si="190"/>
        <v/>
      </c>
      <c r="QLP83" s="248" t="str">
        <f t="shared" si="190"/>
        <v/>
      </c>
      <c r="QLQ83" s="248" t="str">
        <f t="shared" si="190"/>
        <v/>
      </c>
      <c r="QLR83" s="248" t="str">
        <f t="shared" si="190"/>
        <v/>
      </c>
      <c r="QLS83" s="248" t="str">
        <f t="shared" si="190"/>
        <v/>
      </c>
      <c r="QLT83" s="248" t="str">
        <f t="shared" si="190"/>
        <v/>
      </c>
      <c r="QLU83" s="248" t="str">
        <f t="shared" si="190"/>
        <v/>
      </c>
      <c r="QLV83" s="248" t="str">
        <f t="shared" si="190"/>
        <v/>
      </c>
      <c r="QLW83" s="248" t="str">
        <f t="shared" si="190"/>
        <v/>
      </c>
      <c r="QLX83" s="248" t="str">
        <f t="shared" si="190"/>
        <v/>
      </c>
      <c r="QLY83" s="248" t="str">
        <f t="shared" si="190"/>
        <v/>
      </c>
      <c r="QLZ83" s="248" t="str">
        <f t="shared" si="190"/>
        <v/>
      </c>
      <c r="QMA83" s="248" t="str">
        <f t="shared" si="190"/>
        <v/>
      </c>
      <c r="QMB83" s="248" t="str">
        <f t="shared" si="190"/>
        <v/>
      </c>
      <c r="QMC83" s="248" t="str">
        <f t="shared" si="190"/>
        <v/>
      </c>
      <c r="QMD83" s="248" t="str">
        <f t="shared" si="190"/>
        <v/>
      </c>
      <c r="QME83" s="248" t="str">
        <f t="shared" si="190"/>
        <v/>
      </c>
      <c r="QMF83" s="248" t="str">
        <f t="shared" si="190"/>
        <v/>
      </c>
      <c r="QMG83" s="248" t="str">
        <f t="shared" si="190"/>
        <v/>
      </c>
      <c r="QMH83" s="248" t="str">
        <f t="shared" si="190"/>
        <v/>
      </c>
      <c r="QMI83" s="248" t="str">
        <f t="shared" si="190"/>
        <v/>
      </c>
      <c r="QMJ83" s="248" t="str">
        <f t="shared" si="190"/>
        <v/>
      </c>
      <c r="QMK83" s="248" t="str">
        <f t="shared" si="190"/>
        <v/>
      </c>
      <c r="QML83" s="248" t="str">
        <f t="shared" si="190"/>
        <v/>
      </c>
      <c r="QMM83" s="248" t="str">
        <f t="shared" si="190"/>
        <v/>
      </c>
      <c r="QMN83" s="248" t="str">
        <f t="shared" si="190"/>
        <v/>
      </c>
      <c r="QMO83" s="248" t="str">
        <f t="shared" si="190"/>
        <v/>
      </c>
      <c r="QMP83" s="248" t="str">
        <f t="shared" si="190"/>
        <v/>
      </c>
      <c r="QMQ83" s="248" t="str">
        <f t="shared" si="190"/>
        <v/>
      </c>
      <c r="QMR83" s="248" t="str">
        <f t="shared" si="190"/>
        <v/>
      </c>
      <c r="QMS83" s="248" t="str">
        <f t="shared" si="190"/>
        <v/>
      </c>
      <c r="QMT83" s="248" t="str">
        <f t="shared" si="190"/>
        <v/>
      </c>
      <c r="QMU83" s="248" t="str">
        <f t="shared" si="190"/>
        <v/>
      </c>
      <c r="QMV83" s="248" t="str">
        <f t="shared" si="190"/>
        <v/>
      </c>
      <c r="QMW83" s="248" t="str">
        <f t="shared" si="190"/>
        <v/>
      </c>
      <c r="QMX83" s="248" t="str">
        <f t="shared" si="190"/>
        <v/>
      </c>
      <c r="QMY83" s="248" t="str">
        <f t="shared" si="190"/>
        <v/>
      </c>
      <c r="QMZ83" s="248" t="str">
        <f t="shared" si="190"/>
        <v/>
      </c>
      <c r="QNA83" s="248" t="str">
        <f t="shared" si="190"/>
        <v/>
      </c>
      <c r="QNB83" s="248" t="str">
        <f t="shared" si="190"/>
        <v/>
      </c>
      <c r="QNC83" s="248" t="str">
        <f t="shared" si="190"/>
        <v/>
      </c>
      <c r="QND83" s="248" t="str">
        <f t="shared" si="190"/>
        <v/>
      </c>
      <c r="QNE83" s="248" t="str">
        <f t="shared" si="190"/>
        <v/>
      </c>
      <c r="QNF83" s="248" t="str">
        <f t="shared" si="190"/>
        <v/>
      </c>
      <c r="QNG83" s="248" t="str">
        <f t="shared" si="190"/>
        <v/>
      </c>
      <c r="QNH83" s="248" t="str">
        <f t="shared" si="190"/>
        <v/>
      </c>
      <c r="QNI83" s="248" t="str">
        <f t="shared" si="190"/>
        <v/>
      </c>
      <c r="QNJ83" s="248" t="str">
        <f t="shared" si="190"/>
        <v/>
      </c>
      <c r="QNK83" s="248" t="str">
        <f t="shared" si="190"/>
        <v/>
      </c>
      <c r="QNL83" s="248" t="str">
        <f t="shared" si="190"/>
        <v/>
      </c>
      <c r="QNM83" s="248" t="str">
        <f t="shared" si="190"/>
        <v/>
      </c>
      <c r="QNN83" s="248" t="str">
        <f t="shared" si="190"/>
        <v/>
      </c>
      <c r="QNO83" s="248" t="str">
        <f t="shared" ref="QNO83:QPZ83" si="191">UPPER(QNM83)</f>
        <v/>
      </c>
      <c r="QNP83" s="248" t="str">
        <f t="shared" si="191"/>
        <v/>
      </c>
      <c r="QNQ83" s="248" t="str">
        <f t="shared" si="191"/>
        <v/>
      </c>
      <c r="QNR83" s="248" t="str">
        <f t="shared" si="191"/>
        <v/>
      </c>
      <c r="QNS83" s="248" t="str">
        <f t="shared" si="191"/>
        <v/>
      </c>
      <c r="QNT83" s="248" t="str">
        <f t="shared" si="191"/>
        <v/>
      </c>
      <c r="QNU83" s="248" t="str">
        <f t="shared" si="191"/>
        <v/>
      </c>
      <c r="QNV83" s="248" t="str">
        <f t="shared" si="191"/>
        <v/>
      </c>
      <c r="QNW83" s="248" t="str">
        <f t="shared" si="191"/>
        <v/>
      </c>
      <c r="QNX83" s="248" t="str">
        <f t="shared" si="191"/>
        <v/>
      </c>
      <c r="QNY83" s="248" t="str">
        <f t="shared" si="191"/>
        <v/>
      </c>
      <c r="QNZ83" s="248" t="str">
        <f t="shared" si="191"/>
        <v/>
      </c>
      <c r="QOA83" s="248" t="str">
        <f t="shared" si="191"/>
        <v/>
      </c>
      <c r="QOB83" s="248" t="str">
        <f t="shared" si="191"/>
        <v/>
      </c>
      <c r="QOC83" s="248" t="str">
        <f t="shared" si="191"/>
        <v/>
      </c>
      <c r="QOD83" s="248" t="str">
        <f t="shared" si="191"/>
        <v/>
      </c>
      <c r="QOE83" s="248" t="str">
        <f t="shared" si="191"/>
        <v/>
      </c>
      <c r="QOF83" s="248" t="str">
        <f t="shared" si="191"/>
        <v/>
      </c>
      <c r="QOG83" s="248" t="str">
        <f t="shared" si="191"/>
        <v/>
      </c>
      <c r="QOH83" s="248" t="str">
        <f t="shared" si="191"/>
        <v/>
      </c>
      <c r="QOI83" s="248" t="str">
        <f t="shared" si="191"/>
        <v/>
      </c>
      <c r="QOJ83" s="248" t="str">
        <f t="shared" si="191"/>
        <v/>
      </c>
      <c r="QOK83" s="248" t="str">
        <f t="shared" si="191"/>
        <v/>
      </c>
      <c r="QOL83" s="248" t="str">
        <f t="shared" si="191"/>
        <v/>
      </c>
      <c r="QOM83" s="248" t="str">
        <f t="shared" si="191"/>
        <v/>
      </c>
      <c r="QON83" s="248" t="str">
        <f t="shared" si="191"/>
        <v/>
      </c>
      <c r="QOO83" s="248" t="str">
        <f t="shared" si="191"/>
        <v/>
      </c>
      <c r="QOP83" s="248" t="str">
        <f t="shared" si="191"/>
        <v/>
      </c>
      <c r="QOQ83" s="248" t="str">
        <f t="shared" si="191"/>
        <v/>
      </c>
      <c r="QOR83" s="248" t="str">
        <f t="shared" si="191"/>
        <v/>
      </c>
      <c r="QOS83" s="248" t="str">
        <f t="shared" si="191"/>
        <v/>
      </c>
      <c r="QOT83" s="248" t="str">
        <f t="shared" si="191"/>
        <v/>
      </c>
      <c r="QOU83" s="248" t="str">
        <f t="shared" si="191"/>
        <v/>
      </c>
      <c r="QOV83" s="248" t="str">
        <f t="shared" si="191"/>
        <v/>
      </c>
      <c r="QOW83" s="248" t="str">
        <f t="shared" si="191"/>
        <v/>
      </c>
      <c r="QOX83" s="248" t="str">
        <f t="shared" si="191"/>
        <v/>
      </c>
      <c r="QOY83" s="248" t="str">
        <f t="shared" si="191"/>
        <v/>
      </c>
      <c r="QOZ83" s="248" t="str">
        <f t="shared" si="191"/>
        <v/>
      </c>
      <c r="QPA83" s="248" t="str">
        <f t="shared" si="191"/>
        <v/>
      </c>
      <c r="QPB83" s="248" t="str">
        <f t="shared" si="191"/>
        <v/>
      </c>
      <c r="QPC83" s="248" t="str">
        <f t="shared" si="191"/>
        <v/>
      </c>
      <c r="QPD83" s="248" t="str">
        <f t="shared" si="191"/>
        <v/>
      </c>
      <c r="QPE83" s="248" t="str">
        <f t="shared" si="191"/>
        <v/>
      </c>
      <c r="QPF83" s="248" t="str">
        <f t="shared" si="191"/>
        <v/>
      </c>
      <c r="QPG83" s="248" t="str">
        <f t="shared" si="191"/>
        <v/>
      </c>
      <c r="QPH83" s="248" t="str">
        <f t="shared" si="191"/>
        <v/>
      </c>
      <c r="QPI83" s="248" t="str">
        <f t="shared" si="191"/>
        <v/>
      </c>
      <c r="QPJ83" s="248" t="str">
        <f t="shared" si="191"/>
        <v/>
      </c>
      <c r="QPK83" s="248" t="str">
        <f t="shared" si="191"/>
        <v/>
      </c>
      <c r="QPL83" s="248" t="str">
        <f t="shared" si="191"/>
        <v/>
      </c>
      <c r="QPM83" s="248" t="str">
        <f t="shared" si="191"/>
        <v/>
      </c>
      <c r="QPN83" s="248" t="str">
        <f t="shared" si="191"/>
        <v/>
      </c>
      <c r="QPO83" s="248" t="str">
        <f t="shared" si="191"/>
        <v/>
      </c>
      <c r="QPP83" s="248" t="str">
        <f t="shared" si="191"/>
        <v/>
      </c>
      <c r="QPQ83" s="248" t="str">
        <f t="shared" si="191"/>
        <v/>
      </c>
      <c r="QPR83" s="248" t="str">
        <f t="shared" si="191"/>
        <v/>
      </c>
      <c r="QPS83" s="248" t="str">
        <f t="shared" si="191"/>
        <v/>
      </c>
      <c r="QPT83" s="248" t="str">
        <f t="shared" si="191"/>
        <v/>
      </c>
      <c r="QPU83" s="248" t="str">
        <f t="shared" si="191"/>
        <v/>
      </c>
      <c r="QPV83" s="248" t="str">
        <f t="shared" si="191"/>
        <v/>
      </c>
      <c r="QPW83" s="248" t="str">
        <f t="shared" si="191"/>
        <v/>
      </c>
      <c r="QPX83" s="248" t="str">
        <f t="shared" si="191"/>
        <v/>
      </c>
      <c r="QPY83" s="248" t="str">
        <f t="shared" si="191"/>
        <v/>
      </c>
      <c r="QPZ83" s="248" t="str">
        <f t="shared" si="191"/>
        <v/>
      </c>
      <c r="QQA83" s="248" t="str">
        <f t="shared" ref="QQA83:QSL83" si="192">UPPER(QPY83)</f>
        <v/>
      </c>
      <c r="QQB83" s="248" t="str">
        <f t="shared" si="192"/>
        <v/>
      </c>
      <c r="QQC83" s="248" t="str">
        <f t="shared" si="192"/>
        <v/>
      </c>
      <c r="QQD83" s="248" t="str">
        <f t="shared" si="192"/>
        <v/>
      </c>
      <c r="QQE83" s="248" t="str">
        <f t="shared" si="192"/>
        <v/>
      </c>
      <c r="QQF83" s="248" t="str">
        <f t="shared" si="192"/>
        <v/>
      </c>
      <c r="QQG83" s="248" t="str">
        <f t="shared" si="192"/>
        <v/>
      </c>
      <c r="QQH83" s="248" t="str">
        <f t="shared" si="192"/>
        <v/>
      </c>
      <c r="QQI83" s="248" t="str">
        <f t="shared" si="192"/>
        <v/>
      </c>
      <c r="QQJ83" s="248" t="str">
        <f t="shared" si="192"/>
        <v/>
      </c>
      <c r="QQK83" s="248" t="str">
        <f t="shared" si="192"/>
        <v/>
      </c>
      <c r="QQL83" s="248" t="str">
        <f t="shared" si="192"/>
        <v/>
      </c>
      <c r="QQM83" s="248" t="str">
        <f t="shared" si="192"/>
        <v/>
      </c>
      <c r="QQN83" s="248" t="str">
        <f t="shared" si="192"/>
        <v/>
      </c>
      <c r="QQO83" s="248" t="str">
        <f t="shared" si="192"/>
        <v/>
      </c>
      <c r="QQP83" s="248" t="str">
        <f t="shared" si="192"/>
        <v/>
      </c>
      <c r="QQQ83" s="248" t="str">
        <f t="shared" si="192"/>
        <v/>
      </c>
      <c r="QQR83" s="248" t="str">
        <f t="shared" si="192"/>
        <v/>
      </c>
      <c r="QQS83" s="248" t="str">
        <f t="shared" si="192"/>
        <v/>
      </c>
      <c r="QQT83" s="248" t="str">
        <f t="shared" si="192"/>
        <v/>
      </c>
      <c r="QQU83" s="248" t="str">
        <f t="shared" si="192"/>
        <v/>
      </c>
      <c r="QQV83" s="248" t="str">
        <f t="shared" si="192"/>
        <v/>
      </c>
      <c r="QQW83" s="248" t="str">
        <f t="shared" si="192"/>
        <v/>
      </c>
      <c r="QQX83" s="248" t="str">
        <f t="shared" si="192"/>
        <v/>
      </c>
      <c r="QQY83" s="248" t="str">
        <f t="shared" si="192"/>
        <v/>
      </c>
      <c r="QQZ83" s="248" t="str">
        <f t="shared" si="192"/>
        <v/>
      </c>
      <c r="QRA83" s="248" t="str">
        <f t="shared" si="192"/>
        <v/>
      </c>
      <c r="QRB83" s="248" t="str">
        <f t="shared" si="192"/>
        <v/>
      </c>
      <c r="QRC83" s="248" t="str">
        <f t="shared" si="192"/>
        <v/>
      </c>
      <c r="QRD83" s="248" t="str">
        <f t="shared" si="192"/>
        <v/>
      </c>
      <c r="QRE83" s="248" t="str">
        <f t="shared" si="192"/>
        <v/>
      </c>
      <c r="QRF83" s="248" t="str">
        <f t="shared" si="192"/>
        <v/>
      </c>
      <c r="QRG83" s="248" t="str">
        <f t="shared" si="192"/>
        <v/>
      </c>
      <c r="QRH83" s="248" t="str">
        <f t="shared" si="192"/>
        <v/>
      </c>
      <c r="QRI83" s="248" t="str">
        <f t="shared" si="192"/>
        <v/>
      </c>
      <c r="QRJ83" s="248" t="str">
        <f t="shared" si="192"/>
        <v/>
      </c>
      <c r="QRK83" s="248" t="str">
        <f t="shared" si="192"/>
        <v/>
      </c>
      <c r="QRL83" s="248" t="str">
        <f t="shared" si="192"/>
        <v/>
      </c>
      <c r="QRM83" s="248" t="str">
        <f t="shared" si="192"/>
        <v/>
      </c>
      <c r="QRN83" s="248" t="str">
        <f t="shared" si="192"/>
        <v/>
      </c>
      <c r="QRO83" s="248" t="str">
        <f t="shared" si="192"/>
        <v/>
      </c>
      <c r="QRP83" s="248" t="str">
        <f t="shared" si="192"/>
        <v/>
      </c>
      <c r="QRQ83" s="248" t="str">
        <f t="shared" si="192"/>
        <v/>
      </c>
      <c r="QRR83" s="248" t="str">
        <f t="shared" si="192"/>
        <v/>
      </c>
      <c r="QRS83" s="248" t="str">
        <f t="shared" si="192"/>
        <v/>
      </c>
      <c r="QRT83" s="248" t="str">
        <f t="shared" si="192"/>
        <v/>
      </c>
      <c r="QRU83" s="248" t="str">
        <f t="shared" si="192"/>
        <v/>
      </c>
      <c r="QRV83" s="248" t="str">
        <f t="shared" si="192"/>
        <v/>
      </c>
      <c r="QRW83" s="248" t="str">
        <f t="shared" si="192"/>
        <v/>
      </c>
      <c r="QRX83" s="248" t="str">
        <f t="shared" si="192"/>
        <v/>
      </c>
      <c r="QRY83" s="248" t="str">
        <f t="shared" si="192"/>
        <v/>
      </c>
      <c r="QRZ83" s="248" t="str">
        <f t="shared" si="192"/>
        <v/>
      </c>
      <c r="QSA83" s="248" t="str">
        <f t="shared" si="192"/>
        <v/>
      </c>
      <c r="QSB83" s="248" t="str">
        <f t="shared" si="192"/>
        <v/>
      </c>
      <c r="QSC83" s="248" t="str">
        <f t="shared" si="192"/>
        <v/>
      </c>
      <c r="QSD83" s="248" t="str">
        <f t="shared" si="192"/>
        <v/>
      </c>
      <c r="QSE83" s="248" t="str">
        <f t="shared" si="192"/>
        <v/>
      </c>
      <c r="QSF83" s="248" t="str">
        <f t="shared" si="192"/>
        <v/>
      </c>
      <c r="QSG83" s="248" t="str">
        <f t="shared" si="192"/>
        <v/>
      </c>
      <c r="QSH83" s="248" t="str">
        <f t="shared" si="192"/>
        <v/>
      </c>
      <c r="QSI83" s="248" t="str">
        <f t="shared" si="192"/>
        <v/>
      </c>
      <c r="QSJ83" s="248" t="str">
        <f t="shared" si="192"/>
        <v/>
      </c>
      <c r="QSK83" s="248" t="str">
        <f t="shared" si="192"/>
        <v/>
      </c>
      <c r="QSL83" s="248" t="str">
        <f t="shared" si="192"/>
        <v/>
      </c>
      <c r="QSM83" s="248" t="str">
        <f t="shared" ref="QSM83:QUX83" si="193">UPPER(QSK83)</f>
        <v/>
      </c>
      <c r="QSN83" s="248" t="str">
        <f t="shared" si="193"/>
        <v/>
      </c>
      <c r="QSO83" s="248" t="str">
        <f t="shared" si="193"/>
        <v/>
      </c>
      <c r="QSP83" s="248" t="str">
        <f t="shared" si="193"/>
        <v/>
      </c>
      <c r="QSQ83" s="248" t="str">
        <f t="shared" si="193"/>
        <v/>
      </c>
      <c r="QSR83" s="248" t="str">
        <f t="shared" si="193"/>
        <v/>
      </c>
      <c r="QSS83" s="248" t="str">
        <f t="shared" si="193"/>
        <v/>
      </c>
      <c r="QST83" s="248" t="str">
        <f t="shared" si="193"/>
        <v/>
      </c>
      <c r="QSU83" s="248" t="str">
        <f t="shared" si="193"/>
        <v/>
      </c>
      <c r="QSV83" s="248" t="str">
        <f t="shared" si="193"/>
        <v/>
      </c>
      <c r="QSW83" s="248" t="str">
        <f t="shared" si="193"/>
        <v/>
      </c>
      <c r="QSX83" s="248" t="str">
        <f t="shared" si="193"/>
        <v/>
      </c>
      <c r="QSY83" s="248" t="str">
        <f t="shared" si="193"/>
        <v/>
      </c>
      <c r="QSZ83" s="248" t="str">
        <f t="shared" si="193"/>
        <v/>
      </c>
      <c r="QTA83" s="248" t="str">
        <f t="shared" si="193"/>
        <v/>
      </c>
      <c r="QTB83" s="248" t="str">
        <f t="shared" si="193"/>
        <v/>
      </c>
      <c r="QTC83" s="248" t="str">
        <f t="shared" si="193"/>
        <v/>
      </c>
      <c r="QTD83" s="248" t="str">
        <f t="shared" si="193"/>
        <v/>
      </c>
      <c r="QTE83" s="248" t="str">
        <f t="shared" si="193"/>
        <v/>
      </c>
      <c r="QTF83" s="248" t="str">
        <f t="shared" si="193"/>
        <v/>
      </c>
      <c r="QTG83" s="248" t="str">
        <f t="shared" si="193"/>
        <v/>
      </c>
      <c r="QTH83" s="248" t="str">
        <f t="shared" si="193"/>
        <v/>
      </c>
      <c r="QTI83" s="248" t="str">
        <f t="shared" si="193"/>
        <v/>
      </c>
      <c r="QTJ83" s="248" t="str">
        <f t="shared" si="193"/>
        <v/>
      </c>
      <c r="QTK83" s="248" t="str">
        <f t="shared" si="193"/>
        <v/>
      </c>
      <c r="QTL83" s="248" t="str">
        <f t="shared" si="193"/>
        <v/>
      </c>
      <c r="QTM83" s="248" t="str">
        <f t="shared" si="193"/>
        <v/>
      </c>
      <c r="QTN83" s="248" t="str">
        <f t="shared" si="193"/>
        <v/>
      </c>
      <c r="QTO83" s="248" t="str">
        <f t="shared" si="193"/>
        <v/>
      </c>
      <c r="QTP83" s="248" t="str">
        <f t="shared" si="193"/>
        <v/>
      </c>
      <c r="QTQ83" s="248" t="str">
        <f t="shared" si="193"/>
        <v/>
      </c>
      <c r="QTR83" s="248" t="str">
        <f t="shared" si="193"/>
        <v/>
      </c>
      <c r="QTS83" s="248" t="str">
        <f t="shared" si="193"/>
        <v/>
      </c>
      <c r="QTT83" s="248" t="str">
        <f t="shared" si="193"/>
        <v/>
      </c>
      <c r="QTU83" s="248" t="str">
        <f t="shared" si="193"/>
        <v/>
      </c>
      <c r="QTV83" s="248" t="str">
        <f t="shared" si="193"/>
        <v/>
      </c>
      <c r="QTW83" s="248" t="str">
        <f t="shared" si="193"/>
        <v/>
      </c>
      <c r="QTX83" s="248" t="str">
        <f t="shared" si="193"/>
        <v/>
      </c>
      <c r="QTY83" s="248" t="str">
        <f t="shared" si="193"/>
        <v/>
      </c>
      <c r="QTZ83" s="248" t="str">
        <f t="shared" si="193"/>
        <v/>
      </c>
      <c r="QUA83" s="248" t="str">
        <f t="shared" si="193"/>
        <v/>
      </c>
      <c r="QUB83" s="248" t="str">
        <f t="shared" si="193"/>
        <v/>
      </c>
      <c r="QUC83" s="248" t="str">
        <f t="shared" si="193"/>
        <v/>
      </c>
      <c r="QUD83" s="248" t="str">
        <f t="shared" si="193"/>
        <v/>
      </c>
      <c r="QUE83" s="248" t="str">
        <f t="shared" si="193"/>
        <v/>
      </c>
      <c r="QUF83" s="248" t="str">
        <f t="shared" si="193"/>
        <v/>
      </c>
      <c r="QUG83" s="248" t="str">
        <f t="shared" si="193"/>
        <v/>
      </c>
      <c r="QUH83" s="248" t="str">
        <f t="shared" si="193"/>
        <v/>
      </c>
      <c r="QUI83" s="248" t="str">
        <f t="shared" si="193"/>
        <v/>
      </c>
      <c r="QUJ83" s="248" t="str">
        <f t="shared" si="193"/>
        <v/>
      </c>
      <c r="QUK83" s="248" t="str">
        <f t="shared" si="193"/>
        <v/>
      </c>
      <c r="QUL83" s="248" t="str">
        <f t="shared" si="193"/>
        <v/>
      </c>
      <c r="QUM83" s="248" t="str">
        <f t="shared" si="193"/>
        <v/>
      </c>
      <c r="QUN83" s="248" t="str">
        <f t="shared" si="193"/>
        <v/>
      </c>
      <c r="QUO83" s="248" t="str">
        <f t="shared" si="193"/>
        <v/>
      </c>
      <c r="QUP83" s="248" t="str">
        <f t="shared" si="193"/>
        <v/>
      </c>
      <c r="QUQ83" s="248" t="str">
        <f t="shared" si="193"/>
        <v/>
      </c>
      <c r="QUR83" s="248" t="str">
        <f t="shared" si="193"/>
        <v/>
      </c>
      <c r="QUS83" s="248" t="str">
        <f t="shared" si="193"/>
        <v/>
      </c>
      <c r="QUT83" s="248" t="str">
        <f t="shared" si="193"/>
        <v/>
      </c>
      <c r="QUU83" s="248" t="str">
        <f t="shared" si="193"/>
        <v/>
      </c>
      <c r="QUV83" s="248" t="str">
        <f t="shared" si="193"/>
        <v/>
      </c>
      <c r="QUW83" s="248" t="str">
        <f t="shared" si="193"/>
        <v/>
      </c>
      <c r="QUX83" s="248" t="str">
        <f t="shared" si="193"/>
        <v/>
      </c>
      <c r="QUY83" s="248" t="str">
        <f t="shared" ref="QUY83:QXJ83" si="194">UPPER(QUW83)</f>
        <v/>
      </c>
      <c r="QUZ83" s="248" t="str">
        <f t="shared" si="194"/>
        <v/>
      </c>
      <c r="QVA83" s="248" t="str">
        <f t="shared" si="194"/>
        <v/>
      </c>
      <c r="QVB83" s="248" t="str">
        <f t="shared" si="194"/>
        <v/>
      </c>
      <c r="QVC83" s="248" t="str">
        <f t="shared" si="194"/>
        <v/>
      </c>
      <c r="QVD83" s="248" t="str">
        <f t="shared" si="194"/>
        <v/>
      </c>
      <c r="QVE83" s="248" t="str">
        <f t="shared" si="194"/>
        <v/>
      </c>
      <c r="QVF83" s="248" t="str">
        <f t="shared" si="194"/>
        <v/>
      </c>
      <c r="QVG83" s="248" t="str">
        <f t="shared" si="194"/>
        <v/>
      </c>
      <c r="QVH83" s="248" t="str">
        <f t="shared" si="194"/>
        <v/>
      </c>
      <c r="QVI83" s="248" t="str">
        <f t="shared" si="194"/>
        <v/>
      </c>
      <c r="QVJ83" s="248" t="str">
        <f t="shared" si="194"/>
        <v/>
      </c>
      <c r="QVK83" s="248" t="str">
        <f t="shared" si="194"/>
        <v/>
      </c>
      <c r="QVL83" s="248" t="str">
        <f t="shared" si="194"/>
        <v/>
      </c>
      <c r="QVM83" s="248" t="str">
        <f t="shared" si="194"/>
        <v/>
      </c>
      <c r="QVN83" s="248" t="str">
        <f t="shared" si="194"/>
        <v/>
      </c>
      <c r="QVO83" s="248" t="str">
        <f t="shared" si="194"/>
        <v/>
      </c>
      <c r="QVP83" s="248" t="str">
        <f t="shared" si="194"/>
        <v/>
      </c>
      <c r="QVQ83" s="248" t="str">
        <f t="shared" si="194"/>
        <v/>
      </c>
      <c r="QVR83" s="248" t="str">
        <f t="shared" si="194"/>
        <v/>
      </c>
      <c r="QVS83" s="248" t="str">
        <f t="shared" si="194"/>
        <v/>
      </c>
      <c r="QVT83" s="248" t="str">
        <f t="shared" si="194"/>
        <v/>
      </c>
      <c r="QVU83" s="248" t="str">
        <f t="shared" si="194"/>
        <v/>
      </c>
      <c r="QVV83" s="248" t="str">
        <f t="shared" si="194"/>
        <v/>
      </c>
      <c r="QVW83" s="248" t="str">
        <f t="shared" si="194"/>
        <v/>
      </c>
      <c r="QVX83" s="248" t="str">
        <f t="shared" si="194"/>
        <v/>
      </c>
      <c r="QVY83" s="248" t="str">
        <f t="shared" si="194"/>
        <v/>
      </c>
      <c r="QVZ83" s="248" t="str">
        <f t="shared" si="194"/>
        <v/>
      </c>
      <c r="QWA83" s="248" t="str">
        <f t="shared" si="194"/>
        <v/>
      </c>
      <c r="QWB83" s="248" t="str">
        <f t="shared" si="194"/>
        <v/>
      </c>
      <c r="QWC83" s="248" t="str">
        <f t="shared" si="194"/>
        <v/>
      </c>
      <c r="QWD83" s="248" t="str">
        <f t="shared" si="194"/>
        <v/>
      </c>
      <c r="QWE83" s="248" t="str">
        <f t="shared" si="194"/>
        <v/>
      </c>
      <c r="QWF83" s="248" t="str">
        <f t="shared" si="194"/>
        <v/>
      </c>
      <c r="QWG83" s="248" t="str">
        <f t="shared" si="194"/>
        <v/>
      </c>
      <c r="QWH83" s="248" t="str">
        <f t="shared" si="194"/>
        <v/>
      </c>
      <c r="QWI83" s="248" t="str">
        <f t="shared" si="194"/>
        <v/>
      </c>
      <c r="QWJ83" s="248" t="str">
        <f t="shared" si="194"/>
        <v/>
      </c>
      <c r="QWK83" s="248" t="str">
        <f t="shared" si="194"/>
        <v/>
      </c>
      <c r="QWL83" s="248" t="str">
        <f t="shared" si="194"/>
        <v/>
      </c>
      <c r="QWM83" s="248" t="str">
        <f t="shared" si="194"/>
        <v/>
      </c>
      <c r="QWN83" s="248" t="str">
        <f t="shared" si="194"/>
        <v/>
      </c>
      <c r="QWO83" s="248" t="str">
        <f t="shared" si="194"/>
        <v/>
      </c>
      <c r="QWP83" s="248" t="str">
        <f t="shared" si="194"/>
        <v/>
      </c>
      <c r="QWQ83" s="248" t="str">
        <f t="shared" si="194"/>
        <v/>
      </c>
      <c r="QWR83" s="248" t="str">
        <f t="shared" si="194"/>
        <v/>
      </c>
      <c r="QWS83" s="248" t="str">
        <f t="shared" si="194"/>
        <v/>
      </c>
      <c r="QWT83" s="248" t="str">
        <f t="shared" si="194"/>
        <v/>
      </c>
      <c r="QWU83" s="248" t="str">
        <f t="shared" si="194"/>
        <v/>
      </c>
      <c r="QWV83" s="248" t="str">
        <f t="shared" si="194"/>
        <v/>
      </c>
      <c r="QWW83" s="248" t="str">
        <f t="shared" si="194"/>
        <v/>
      </c>
      <c r="QWX83" s="248" t="str">
        <f t="shared" si="194"/>
        <v/>
      </c>
      <c r="QWY83" s="248" t="str">
        <f t="shared" si="194"/>
        <v/>
      </c>
      <c r="QWZ83" s="248" t="str">
        <f t="shared" si="194"/>
        <v/>
      </c>
      <c r="QXA83" s="248" t="str">
        <f t="shared" si="194"/>
        <v/>
      </c>
      <c r="QXB83" s="248" t="str">
        <f t="shared" si="194"/>
        <v/>
      </c>
      <c r="QXC83" s="248" t="str">
        <f t="shared" si="194"/>
        <v/>
      </c>
      <c r="QXD83" s="248" t="str">
        <f t="shared" si="194"/>
        <v/>
      </c>
      <c r="QXE83" s="248" t="str">
        <f t="shared" si="194"/>
        <v/>
      </c>
      <c r="QXF83" s="248" t="str">
        <f t="shared" si="194"/>
        <v/>
      </c>
      <c r="QXG83" s="248" t="str">
        <f t="shared" si="194"/>
        <v/>
      </c>
      <c r="QXH83" s="248" t="str">
        <f t="shared" si="194"/>
        <v/>
      </c>
      <c r="QXI83" s="248" t="str">
        <f t="shared" si="194"/>
        <v/>
      </c>
      <c r="QXJ83" s="248" t="str">
        <f t="shared" si="194"/>
        <v/>
      </c>
      <c r="QXK83" s="248" t="str">
        <f t="shared" ref="QXK83:QZV83" si="195">UPPER(QXI83)</f>
        <v/>
      </c>
      <c r="QXL83" s="248" t="str">
        <f t="shared" si="195"/>
        <v/>
      </c>
      <c r="QXM83" s="248" t="str">
        <f t="shared" si="195"/>
        <v/>
      </c>
      <c r="QXN83" s="248" t="str">
        <f t="shared" si="195"/>
        <v/>
      </c>
      <c r="QXO83" s="248" t="str">
        <f t="shared" si="195"/>
        <v/>
      </c>
      <c r="QXP83" s="248" t="str">
        <f t="shared" si="195"/>
        <v/>
      </c>
      <c r="QXQ83" s="248" t="str">
        <f t="shared" si="195"/>
        <v/>
      </c>
      <c r="QXR83" s="248" t="str">
        <f t="shared" si="195"/>
        <v/>
      </c>
      <c r="QXS83" s="248" t="str">
        <f t="shared" si="195"/>
        <v/>
      </c>
      <c r="QXT83" s="248" t="str">
        <f t="shared" si="195"/>
        <v/>
      </c>
      <c r="QXU83" s="248" t="str">
        <f t="shared" si="195"/>
        <v/>
      </c>
      <c r="QXV83" s="248" t="str">
        <f t="shared" si="195"/>
        <v/>
      </c>
      <c r="QXW83" s="248" t="str">
        <f t="shared" si="195"/>
        <v/>
      </c>
      <c r="QXX83" s="248" t="str">
        <f t="shared" si="195"/>
        <v/>
      </c>
      <c r="QXY83" s="248" t="str">
        <f t="shared" si="195"/>
        <v/>
      </c>
      <c r="QXZ83" s="248" t="str">
        <f t="shared" si="195"/>
        <v/>
      </c>
      <c r="QYA83" s="248" t="str">
        <f t="shared" si="195"/>
        <v/>
      </c>
      <c r="QYB83" s="248" t="str">
        <f t="shared" si="195"/>
        <v/>
      </c>
      <c r="QYC83" s="248" t="str">
        <f t="shared" si="195"/>
        <v/>
      </c>
      <c r="QYD83" s="248" t="str">
        <f t="shared" si="195"/>
        <v/>
      </c>
      <c r="QYE83" s="248" t="str">
        <f t="shared" si="195"/>
        <v/>
      </c>
      <c r="QYF83" s="248" t="str">
        <f t="shared" si="195"/>
        <v/>
      </c>
      <c r="QYG83" s="248" t="str">
        <f t="shared" si="195"/>
        <v/>
      </c>
      <c r="QYH83" s="248" t="str">
        <f t="shared" si="195"/>
        <v/>
      </c>
      <c r="QYI83" s="248" t="str">
        <f t="shared" si="195"/>
        <v/>
      </c>
      <c r="QYJ83" s="248" t="str">
        <f t="shared" si="195"/>
        <v/>
      </c>
      <c r="QYK83" s="248" t="str">
        <f t="shared" si="195"/>
        <v/>
      </c>
      <c r="QYL83" s="248" t="str">
        <f t="shared" si="195"/>
        <v/>
      </c>
      <c r="QYM83" s="248" t="str">
        <f t="shared" si="195"/>
        <v/>
      </c>
      <c r="QYN83" s="248" t="str">
        <f t="shared" si="195"/>
        <v/>
      </c>
      <c r="QYO83" s="248" t="str">
        <f t="shared" si="195"/>
        <v/>
      </c>
      <c r="QYP83" s="248" t="str">
        <f t="shared" si="195"/>
        <v/>
      </c>
      <c r="QYQ83" s="248" t="str">
        <f t="shared" si="195"/>
        <v/>
      </c>
      <c r="QYR83" s="248" t="str">
        <f t="shared" si="195"/>
        <v/>
      </c>
      <c r="QYS83" s="248" t="str">
        <f t="shared" si="195"/>
        <v/>
      </c>
      <c r="QYT83" s="248" t="str">
        <f t="shared" si="195"/>
        <v/>
      </c>
      <c r="QYU83" s="248" t="str">
        <f t="shared" si="195"/>
        <v/>
      </c>
      <c r="QYV83" s="248" t="str">
        <f t="shared" si="195"/>
        <v/>
      </c>
      <c r="QYW83" s="248" t="str">
        <f t="shared" si="195"/>
        <v/>
      </c>
      <c r="QYX83" s="248" t="str">
        <f t="shared" si="195"/>
        <v/>
      </c>
      <c r="QYY83" s="248" t="str">
        <f t="shared" si="195"/>
        <v/>
      </c>
      <c r="QYZ83" s="248" t="str">
        <f t="shared" si="195"/>
        <v/>
      </c>
      <c r="QZA83" s="248" t="str">
        <f t="shared" si="195"/>
        <v/>
      </c>
      <c r="QZB83" s="248" t="str">
        <f t="shared" si="195"/>
        <v/>
      </c>
      <c r="QZC83" s="248" t="str">
        <f t="shared" si="195"/>
        <v/>
      </c>
      <c r="QZD83" s="248" t="str">
        <f t="shared" si="195"/>
        <v/>
      </c>
      <c r="QZE83" s="248" t="str">
        <f t="shared" si="195"/>
        <v/>
      </c>
      <c r="QZF83" s="248" t="str">
        <f t="shared" si="195"/>
        <v/>
      </c>
      <c r="QZG83" s="248" t="str">
        <f t="shared" si="195"/>
        <v/>
      </c>
      <c r="QZH83" s="248" t="str">
        <f t="shared" si="195"/>
        <v/>
      </c>
      <c r="QZI83" s="248" t="str">
        <f t="shared" si="195"/>
        <v/>
      </c>
      <c r="QZJ83" s="248" t="str">
        <f t="shared" si="195"/>
        <v/>
      </c>
      <c r="QZK83" s="248" t="str">
        <f t="shared" si="195"/>
        <v/>
      </c>
      <c r="QZL83" s="248" t="str">
        <f t="shared" si="195"/>
        <v/>
      </c>
      <c r="QZM83" s="248" t="str">
        <f t="shared" si="195"/>
        <v/>
      </c>
      <c r="QZN83" s="248" t="str">
        <f t="shared" si="195"/>
        <v/>
      </c>
      <c r="QZO83" s="248" t="str">
        <f t="shared" si="195"/>
        <v/>
      </c>
      <c r="QZP83" s="248" t="str">
        <f t="shared" si="195"/>
        <v/>
      </c>
      <c r="QZQ83" s="248" t="str">
        <f t="shared" si="195"/>
        <v/>
      </c>
      <c r="QZR83" s="248" t="str">
        <f t="shared" si="195"/>
        <v/>
      </c>
      <c r="QZS83" s="248" t="str">
        <f t="shared" si="195"/>
        <v/>
      </c>
      <c r="QZT83" s="248" t="str">
        <f t="shared" si="195"/>
        <v/>
      </c>
      <c r="QZU83" s="248" t="str">
        <f t="shared" si="195"/>
        <v/>
      </c>
      <c r="QZV83" s="248" t="str">
        <f t="shared" si="195"/>
        <v/>
      </c>
      <c r="QZW83" s="248" t="str">
        <f t="shared" ref="QZW83:RCH83" si="196">UPPER(QZU83)</f>
        <v/>
      </c>
      <c r="QZX83" s="248" t="str">
        <f t="shared" si="196"/>
        <v/>
      </c>
      <c r="QZY83" s="248" t="str">
        <f t="shared" si="196"/>
        <v/>
      </c>
      <c r="QZZ83" s="248" t="str">
        <f t="shared" si="196"/>
        <v/>
      </c>
      <c r="RAA83" s="248" t="str">
        <f t="shared" si="196"/>
        <v/>
      </c>
      <c r="RAB83" s="248" t="str">
        <f t="shared" si="196"/>
        <v/>
      </c>
      <c r="RAC83" s="248" t="str">
        <f t="shared" si="196"/>
        <v/>
      </c>
      <c r="RAD83" s="248" t="str">
        <f t="shared" si="196"/>
        <v/>
      </c>
      <c r="RAE83" s="248" t="str">
        <f t="shared" si="196"/>
        <v/>
      </c>
      <c r="RAF83" s="248" t="str">
        <f t="shared" si="196"/>
        <v/>
      </c>
      <c r="RAG83" s="248" t="str">
        <f t="shared" si="196"/>
        <v/>
      </c>
      <c r="RAH83" s="248" t="str">
        <f t="shared" si="196"/>
        <v/>
      </c>
      <c r="RAI83" s="248" t="str">
        <f t="shared" si="196"/>
        <v/>
      </c>
      <c r="RAJ83" s="248" t="str">
        <f t="shared" si="196"/>
        <v/>
      </c>
      <c r="RAK83" s="248" t="str">
        <f t="shared" si="196"/>
        <v/>
      </c>
      <c r="RAL83" s="248" t="str">
        <f t="shared" si="196"/>
        <v/>
      </c>
      <c r="RAM83" s="248" t="str">
        <f t="shared" si="196"/>
        <v/>
      </c>
      <c r="RAN83" s="248" t="str">
        <f t="shared" si="196"/>
        <v/>
      </c>
      <c r="RAO83" s="248" t="str">
        <f t="shared" si="196"/>
        <v/>
      </c>
      <c r="RAP83" s="248" t="str">
        <f t="shared" si="196"/>
        <v/>
      </c>
      <c r="RAQ83" s="248" t="str">
        <f t="shared" si="196"/>
        <v/>
      </c>
      <c r="RAR83" s="248" t="str">
        <f t="shared" si="196"/>
        <v/>
      </c>
      <c r="RAS83" s="248" t="str">
        <f t="shared" si="196"/>
        <v/>
      </c>
      <c r="RAT83" s="248" t="str">
        <f t="shared" si="196"/>
        <v/>
      </c>
      <c r="RAU83" s="248" t="str">
        <f t="shared" si="196"/>
        <v/>
      </c>
      <c r="RAV83" s="248" t="str">
        <f t="shared" si="196"/>
        <v/>
      </c>
      <c r="RAW83" s="248" t="str">
        <f t="shared" si="196"/>
        <v/>
      </c>
      <c r="RAX83" s="248" t="str">
        <f t="shared" si="196"/>
        <v/>
      </c>
      <c r="RAY83" s="248" t="str">
        <f t="shared" si="196"/>
        <v/>
      </c>
      <c r="RAZ83" s="248" t="str">
        <f t="shared" si="196"/>
        <v/>
      </c>
      <c r="RBA83" s="248" t="str">
        <f t="shared" si="196"/>
        <v/>
      </c>
      <c r="RBB83" s="248" t="str">
        <f t="shared" si="196"/>
        <v/>
      </c>
      <c r="RBC83" s="248" t="str">
        <f t="shared" si="196"/>
        <v/>
      </c>
      <c r="RBD83" s="248" t="str">
        <f t="shared" si="196"/>
        <v/>
      </c>
      <c r="RBE83" s="248" t="str">
        <f t="shared" si="196"/>
        <v/>
      </c>
      <c r="RBF83" s="248" t="str">
        <f t="shared" si="196"/>
        <v/>
      </c>
      <c r="RBG83" s="248" t="str">
        <f t="shared" si="196"/>
        <v/>
      </c>
      <c r="RBH83" s="248" t="str">
        <f t="shared" si="196"/>
        <v/>
      </c>
      <c r="RBI83" s="248" t="str">
        <f t="shared" si="196"/>
        <v/>
      </c>
      <c r="RBJ83" s="248" t="str">
        <f t="shared" si="196"/>
        <v/>
      </c>
      <c r="RBK83" s="248" t="str">
        <f t="shared" si="196"/>
        <v/>
      </c>
      <c r="RBL83" s="248" t="str">
        <f t="shared" si="196"/>
        <v/>
      </c>
      <c r="RBM83" s="248" t="str">
        <f t="shared" si="196"/>
        <v/>
      </c>
      <c r="RBN83" s="248" t="str">
        <f t="shared" si="196"/>
        <v/>
      </c>
      <c r="RBO83" s="248" t="str">
        <f t="shared" si="196"/>
        <v/>
      </c>
      <c r="RBP83" s="248" t="str">
        <f t="shared" si="196"/>
        <v/>
      </c>
      <c r="RBQ83" s="248" t="str">
        <f t="shared" si="196"/>
        <v/>
      </c>
      <c r="RBR83" s="248" t="str">
        <f t="shared" si="196"/>
        <v/>
      </c>
      <c r="RBS83" s="248" t="str">
        <f t="shared" si="196"/>
        <v/>
      </c>
      <c r="RBT83" s="248" t="str">
        <f t="shared" si="196"/>
        <v/>
      </c>
      <c r="RBU83" s="248" t="str">
        <f t="shared" si="196"/>
        <v/>
      </c>
      <c r="RBV83" s="248" t="str">
        <f t="shared" si="196"/>
        <v/>
      </c>
      <c r="RBW83" s="248" t="str">
        <f t="shared" si="196"/>
        <v/>
      </c>
      <c r="RBX83" s="248" t="str">
        <f t="shared" si="196"/>
        <v/>
      </c>
      <c r="RBY83" s="248" t="str">
        <f t="shared" si="196"/>
        <v/>
      </c>
      <c r="RBZ83" s="248" t="str">
        <f t="shared" si="196"/>
        <v/>
      </c>
      <c r="RCA83" s="248" t="str">
        <f t="shared" si="196"/>
        <v/>
      </c>
      <c r="RCB83" s="248" t="str">
        <f t="shared" si="196"/>
        <v/>
      </c>
      <c r="RCC83" s="248" t="str">
        <f t="shared" si="196"/>
        <v/>
      </c>
      <c r="RCD83" s="248" t="str">
        <f t="shared" si="196"/>
        <v/>
      </c>
      <c r="RCE83" s="248" t="str">
        <f t="shared" si="196"/>
        <v/>
      </c>
      <c r="RCF83" s="248" t="str">
        <f t="shared" si="196"/>
        <v/>
      </c>
      <c r="RCG83" s="248" t="str">
        <f t="shared" si="196"/>
        <v/>
      </c>
      <c r="RCH83" s="248" t="str">
        <f t="shared" si="196"/>
        <v/>
      </c>
      <c r="RCI83" s="248" t="str">
        <f t="shared" ref="RCI83:RET83" si="197">UPPER(RCG83)</f>
        <v/>
      </c>
      <c r="RCJ83" s="248" t="str">
        <f t="shared" si="197"/>
        <v/>
      </c>
      <c r="RCK83" s="248" t="str">
        <f t="shared" si="197"/>
        <v/>
      </c>
      <c r="RCL83" s="248" t="str">
        <f t="shared" si="197"/>
        <v/>
      </c>
      <c r="RCM83" s="248" t="str">
        <f t="shared" si="197"/>
        <v/>
      </c>
      <c r="RCN83" s="248" t="str">
        <f t="shared" si="197"/>
        <v/>
      </c>
      <c r="RCO83" s="248" t="str">
        <f t="shared" si="197"/>
        <v/>
      </c>
      <c r="RCP83" s="248" t="str">
        <f t="shared" si="197"/>
        <v/>
      </c>
      <c r="RCQ83" s="248" t="str">
        <f t="shared" si="197"/>
        <v/>
      </c>
      <c r="RCR83" s="248" t="str">
        <f t="shared" si="197"/>
        <v/>
      </c>
      <c r="RCS83" s="248" t="str">
        <f t="shared" si="197"/>
        <v/>
      </c>
      <c r="RCT83" s="248" t="str">
        <f t="shared" si="197"/>
        <v/>
      </c>
      <c r="RCU83" s="248" t="str">
        <f t="shared" si="197"/>
        <v/>
      </c>
      <c r="RCV83" s="248" t="str">
        <f t="shared" si="197"/>
        <v/>
      </c>
      <c r="RCW83" s="248" t="str">
        <f t="shared" si="197"/>
        <v/>
      </c>
      <c r="RCX83" s="248" t="str">
        <f t="shared" si="197"/>
        <v/>
      </c>
      <c r="RCY83" s="248" t="str">
        <f t="shared" si="197"/>
        <v/>
      </c>
      <c r="RCZ83" s="248" t="str">
        <f t="shared" si="197"/>
        <v/>
      </c>
      <c r="RDA83" s="248" t="str">
        <f t="shared" si="197"/>
        <v/>
      </c>
      <c r="RDB83" s="248" t="str">
        <f t="shared" si="197"/>
        <v/>
      </c>
      <c r="RDC83" s="248" t="str">
        <f t="shared" si="197"/>
        <v/>
      </c>
      <c r="RDD83" s="248" t="str">
        <f t="shared" si="197"/>
        <v/>
      </c>
      <c r="RDE83" s="248" t="str">
        <f t="shared" si="197"/>
        <v/>
      </c>
      <c r="RDF83" s="248" t="str">
        <f t="shared" si="197"/>
        <v/>
      </c>
      <c r="RDG83" s="248" t="str">
        <f t="shared" si="197"/>
        <v/>
      </c>
      <c r="RDH83" s="248" t="str">
        <f t="shared" si="197"/>
        <v/>
      </c>
      <c r="RDI83" s="248" t="str">
        <f t="shared" si="197"/>
        <v/>
      </c>
      <c r="RDJ83" s="248" t="str">
        <f t="shared" si="197"/>
        <v/>
      </c>
      <c r="RDK83" s="248" t="str">
        <f t="shared" si="197"/>
        <v/>
      </c>
      <c r="RDL83" s="248" t="str">
        <f t="shared" si="197"/>
        <v/>
      </c>
      <c r="RDM83" s="248" t="str">
        <f t="shared" si="197"/>
        <v/>
      </c>
      <c r="RDN83" s="248" t="str">
        <f t="shared" si="197"/>
        <v/>
      </c>
      <c r="RDO83" s="248" t="str">
        <f t="shared" si="197"/>
        <v/>
      </c>
      <c r="RDP83" s="248" t="str">
        <f t="shared" si="197"/>
        <v/>
      </c>
      <c r="RDQ83" s="248" t="str">
        <f t="shared" si="197"/>
        <v/>
      </c>
      <c r="RDR83" s="248" t="str">
        <f t="shared" si="197"/>
        <v/>
      </c>
      <c r="RDS83" s="248" t="str">
        <f t="shared" si="197"/>
        <v/>
      </c>
      <c r="RDT83" s="248" t="str">
        <f t="shared" si="197"/>
        <v/>
      </c>
      <c r="RDU83" s="248" t="str">
        <f t="shared" si="197"/>
        <v/>
      </c>
      <c r="RDV83" s="248" t="str">
        <f t="shared" si="197"/>
        <v/>
      </c>
      <c r="RDW83" s="248" t="str">
        <f t="shared" si="197"/>
        <v/>
      </c>
      <c r="RDX83" s="248" t="str">
        <f t="shared" si="197"/>
        <v/>
      </c>
      <c r="RDY83" s="248" t="str">
        <f t="shared" si="197"/>
        <v/>
      </c>
      <c r="RDZ83" s="248" t="str">
        <f t="shared" si="197"/>
        <v/>
      </c>
      <c r="REA83" s="248" t="str">
        <f t="shared" si="197"/>
        <v/>
      </c>
      <c r="REB83" s="248" t="str">
        <f t="shared" si="197"/>
        <v/>
      </c>
      <c r="REC83" s="248" t="str">
        <f t="shared" si="197"/>
        <v/>
      </c>
      <c r="RED83" s="248" t="str">
        <f t="shared" si="197"/>
        <v/>
      </c>
      <c r="REE83" s="248" t="str">
        <f t="shared" si="197"/>
        <v/>
      </c>
      <c r="REF83" s="248" t="str">
        <f t="shared" si="197"/>
        <v/>
      </c>
      <c r="REG83" s="248" t="str">
        <f t="shared" si="197"/>
        <v/>
      </c>
      <c r="REH83" s="248" t="str">
        <f t="shared" si="197"/>
        <v/>
      </c>
      <c r="REI83" s="248" t="str">
        <f t="shared" si="197"/>
        <v/>
      </c>
      <c r="REJ83" s="248" t="str">
        <f t="shared" si="197"/>
        <v/>
      </c>
      <c r="REK83" s="248" t="str">
        <f t="shared" si="197"/>
        <v/>
      </c>
      <c r="REL83" s="248" t="str">
        <f t="shared" si="197"/>
        <v/>
      </c>
      <c r="REM83" s="248" t="str">
        <f t="shared" si="197"/>
        <v/>
      </c>
      <c r="REN83" s="248" t="str">
        <f t="shared" si="197"/>
        <v/>
      </c>
      <c r="REO83" s="248" t="str">
        <f t="shared" si="197"/>
        <v/>
      </c>
      <c r="REP83" s="248" t="str">
        <f t="shared" si="197"/>
        <v/>
      </c>
      <c r="REQ83" s="248" t="str">
        <f t="shared" si="197"/>
        <v/>
      </c>
      <c r="RER83" s="248" t="str">
        <f t="shared" si="197"/>
        <v/>
      </c>
      <c r="RES83" s="248" t="str">
        <f t="shared" si="197"/>
        <v/>
      </c>
      <c r="RET83" s="248" t="str">
        <f t="shared" si="197"/>
        <v/>
      </c>
      <c r="REU83" s="248" t="str">
        <f t="shared" ref="REU83:RHF83" si="198">UPPER(RES83)</f>
        <v/>
      </c>
      <c r="REV83" s="248" t="str">
        <f t="shared" si="198"/>
        <v/>
      </c>
      <c r="REW83" s="248" t="str">
        <f t="shared" si="198"/>
        <v/>
      </c>
      <c r="REX83" s="248" t="str">
        <f t="shared" si="198"/>
        <v/>
      </c>
      <c r="REY83" s="248" t="str">
        <f t="shared" si="198"/>
        <v/>
      </c>
      <c r="REZ83" s="248" t="str">
        <f t="shared" si="198"/>
        <v/>
      </c>
      <c r="RFA83" s="248" t="str">
        <f t="shared" si="198"/>
        <v/>
      </c>
      <c r="RFB83" s="248" t="str">
        <f t="shared" si="198"/>
        <v/>
      </c>
      <c r="RFC83" s="248" t="str">
        <f t="shared" si="198"/>
        <v/>
      </c>
      <c r="RFD83" s="248" t="str">
        <f t="shared" si="198"/>
        <v/>
      </c>
      <c r="RFE83" s="248" t="str">
        <f t="shared" si="198"/>
        <v/>
      </c>
      <c r="RFF83" s="248" t="str">
        <f t="shared" si="198"/>
        <v/>
      </c>
      <c r="RFG83" s="248" t="str">
        <f t="shared" si="198"/>
        <v/>
      </c>
      <c r="RFH83" s="248" t="str">
        <f t="shared" si="198"/>
        <v/>
      </c>
      <c r="RFI83" s="248" t="str">
        <f t="shared" si="198"/>
        <v/>
      </c>
      <c r="RFJ83" s="248" t="str">
        <f t="shared" si="198"/>
        <v/>
      </c>
      <c r="RFK83" s="248" t="str">
        <f t="shared" si="198"/>
        <v/>
      </c>
      <c r="RFL83" s="248" t="str">
        <f t="shared" si="198"/>
        <v/>
      </c>
      <c r="RFM83" s="248" t="str">
        <f t="shared" si="198"/>
        <v/>
      </c>
      <c r="RFN83" s="248" t="str">
        <f t="shared" si="198"/>
        <v/>
      </c>
      <c r="RFO83" s="248" t="str">
        <f t="shared" si="198"/>
        <v/>
      </c>
      <c r="RFP83" s="248" t="str">
        <f t="shared" si="198"/>
        <v/>
      </c>
      <c r="RFQ83" s="248" t="str">
        <f t="shared" si="198"/>
        <v/>
      </c>
      <c r="RFR83" s="248" t="str">
        <f t="shared" si="198"/>
        <v/>
      </c>
      <c r="RFS83" s="248" t="str">
        <f t="shared" si="198"/>
        <v/>
      </c>
      <c r="RFT83" s="248" t="str">
        <f t="shared" si="198"/>
        <v/>
      </c>
      <c r="RFU83" s="248" t="str">
        <f t="shared" si="198"/>
        <v/>
      </c>
      <c r="RFV83" s="248" t="str">
        <f t="shared" si="198"/>
        <v/>
      </c>
      <c r="RFW83" s="248" t="str">
        <f t="shared" si="198"/>
        <v/>
      </c>
      <c r="RFX83" s="248" t="str">
        <f t="shared" si="198"/>
        <v/>
      </c>
      <c r="RFY83" s="248" t="str">
        <f t="shared" si="198"/>
        <v/>
      </c>
      <c r="RFZ83" s="248" t="str">
        <f t="shared" si="198"/>
        <v/>
      </c>
      <c r="RGA83" s="248" t="str">
        <f t="shared" si="198"/>
        <v/>
      </c>
      <c r="RGB83" s="248" t="str">
        <f t="shared" si="198"/>
        <v/>
      </c>
      <c r="RGC83" s="248" t="str">
        <f t="shared" si="198"/>
        <v/>
      </c>
      <c r="RGD83" s="248" t="str">
        <f t="shared" si="198"/>
        <v/>
      </c>
      <c r="RGE83" s="248" t="str">
        <f t="shared" si="198"/>
        <v/>
      </c>
      <c r="RGF83" s="248" t="str">
        <f t="shared" si="198"/>
        <v/>
      </c>
      <c r="RGG83" s="248" t="str">
        <f t="shared" si="198"/>
        <v/>
      </c>
      <c r="RGH83" s="248" t="str">
        <f t="shared" si="198"/>
        <v/>
      </c>
      <c r="RGI83" s="248" t="str">
        <f t="shared" si="198"/>
        <v/>
      </c>
      <c r="RGJ83" s="248" t="str">
        <f t="shared" si="198"/>
        <v/>
      </c>
      <c r="RGK83" s="248" t="str">
        <f t="shared" si="198"/>
        <v/>
      </c>
      <c r="RGL83" s="248" t="str">
        <f t="shared" si="198"/>
        <v/>
      </c>
      <c r="RGM83" s="248" t="str">
        <f t="shared" si="198"/>
        <v/>
      </c>
      <c r="RGN83" s="248" t="str">
        <f t="shared" si="198"/>
        <v/>
      </c>
      <c r="RGO83" s="248" t="str">
        <f t="shared" si="198"/>
        <v/>
      </c>
      <c r="RGP83" s="248" t="str">
        <f t="shared" si="198"/>
        <v/>
      </c>
      <c r="RGQ83" s="248" t="str">
        <f t="shared" si="198"/>
        <v/>
      </c>
      <c r="RGR83" s="248" t="str">
        <f t="shared" si="198"/>
        <v/>
      </c>
      <c r="RGS83" s="248" t="str">
        <f t="shared" si="198"/>
        <v/>
      </c>
      <c r="RGT83" s="248" t="str">
        <f t="shared" si="198"/>
        <v/>
      </c>
      <c r="RGU83" s="248" t="str">
        <f t="shared" si="198"/>
        <v/>
      </c>
      <c r="RGV83" s="248" t="str">
        <f t="shared" si="198"/>
        <v/>
      </c>
      <c r="RGW83" s="248" t="str">
        <f t="shared" si="198"/>
        <v/>
      </c>
      <c r="RGX83" s="248" t="str">
        <f t="shared" si="198"/>
        <v/>
      </c>
      <c r="RGY83" s="248" t="str">
        <f t="shared" si="198"/>
        <v/>
      </c>
      <c r="RGZ83" s="248" t="str">
        <f t="shared" si="198"/>
        <v/>
      </c>
      <c r="RHA83" s="248" t="str">
        <f t="shared" si="198"/>
        <v/>
      </c>
      <c r="RHB83" s="248" t="str">
        <f t="shared" si="198"/>
        <v/>
      </c>
      <c r="RHC83" s="248" t="str">
        <f t="shared" si="198"/>
        <v/>
      </c>
      <c r="RHD83" s="248" t="str">
        <f t="shared" si="198"/>
        <v/>
      </c>
      <c r="RHE83" s="248" t="str">
        <f t="shared" si="198"/>
        <v/>
      </c>
      <c r="RHF83" s="248" t="str">
        <f t="shared" si="198"/>
        <v/>
      </c>
      <c r="RHG83" s="248" t="str">
        <f t="shared" ref="RHG83:RJR83" si="199">UPPER(RHE83)</f>
        <v/>
      </c>
      <c r="RHH83" s="248" t="str">
        <f t="shared" si="199"/>
        <v/>
      </c>
      <c r="RHI83" s="248" t="str">
        <f t="shared" si="199"/>
        <v/>
      </c>
      <c r="RHJ83" s="248" t="str">
        <f t="shared" si="199"/>
        <v/>
      </c>
      <c r="RHK83" s="248" t="str">
        <f t="shared" si="199"/>
        <v/>
      </c>
      <c r="RHL83" s="248" t="str">
        <f t="shared" si="199"/>
        <v/>
      </c>
      <c r="RHM83" s="248" t="str">
        <f t="shared" si="199"/>
        <v/>
      </c>
      <c r="RHN83" s="248" t="str">
        <f t="shared" si="199"/>
        <v/>
      </c>
      <c r="RHO83" s="248" t="str">
        <f t="shared" si="199"/>
        <v/>
      </c>
      <c r="RHP83" s="248" t="str">
        <f t="shared" si="199"/>
        <v/>
      </c>
      <c r="RHQ83" s="248" t="str">
        <f t="shared" si="199"/>
        <v/>
      </c>
      <c r="RHR83" s="248" t="str">
        <f t="shared" si="199"/>
        <v/>
      </c>
      <c r="RHS83" s="248" t="str">
        <f t="shared" si="199"/>
        <v/>
      </c>
      <c r="RHT83" s="248" t="str">
        <f t="shared" si="199"/>
        <v/>
      </c>
      <c r="RHU83" s="248" t="str">
        <f t="shared" si="199"/>
        <v/>
      </c>
      <c r="RHV83" s="248" t="str">
        <f t="shared" si="199"/>
        <v/>
      </c>
      <c r="RHW83" s="248" t="str">
        <f t="shared" si="199"/>
        <v/>
      </c>
      <c r="RHX83" s="248" t="str">
        <f t="shared" si="199"/>
        <v/>
      </c>
      <c r="RHY83" s="248" t="str">
        <f t="shared" si="199"/>
        <v/>
      </c>
      <c r="RHZ83" s="248" t="str">
        <f t="shared" si="199"/>
        <v/>
      </c>
      <c r="RIA83" s="248" t="str">
        <f t="shared" si="199"/>
        <v/>
      </c>
      <c r="RIB83" s="248" t="str">
        <f t="shared" si="199"/>
        <v/>
      </c>
      <c r="RIC83" s="248" t="str">
        <f t="shared" si="199"/>
        <v/>
      </c>
      <c r="RID83" s="248" t="str">
        <f t="shared" si="199"/>
        <v/>
      </c>
      <c r="RIE83" s="248" t="str">
        <f t="shared" si="199"/>
        <v/>
      </c>
      <c r="RIF83" s="248" t="str">
        <f t="shared" si="199"/>
        <v/>
      </c>
      <c r="RIG83" s="248" t="str">
        <f t="shared" si="199"/>
        <v/>
      </c>
      <c r="RIH83" s="248" t="str">
        <f t="shared" si="199"/>
        <v/>
      </c>
      <c r="RII83" s="248" t="str">
        <f t="shared" si="199"/>
        <v/>
      </c>
      <c r="RIJ83" s="248" t="str">
        <f t="shared" si="199"/>
        <v/>
      </c>
      <c r="RIK83" s="248" t="str">
        <f t="shared" si="199"/>
        <v/>
      </c>
      <c r="RIL83" s="248" t="str">
        <f t="shared" si="199"/>
        <v/>
      </c>
      <c r="RIM83" s="248" t="str">
        <f t="shared" si="199"/>
        <v/>
      </c>
      <c r="RIN83" s="248" t="str">
        <f t="shared" si="199"/>
        <v/>
      </c>
      <c r="RIO83" s="248" t="str">
        <f t="shared" si="199"/>
        <v/>
      </c>
      <c r="RIP83" s="248" t="str">
        <f t="shared" si="199"/>
        <v/>
      </c>
      <c r="RIQ83" s="248" t="str">
        <f t="shared" si="199"/>
        <v/>
      </c>
      <c r="RIR83" s="248" t="str">
        <f t="shared" si="199"/>
        <v/>
      </c>
      <c r="RIS83" s="248" t="str">
        <f t="shared" si="199"/>
        <v/>
      </c>
      <c r="RIT83" s="248" t="str">
        <f t="shared" si="199"/>
        <v/>
      </c>
      <c r="RIU83" s="248" t="str">
        <f t="shared" si="199"/>
        <v/>
      </c>
      <c r="RIV83" s="248" t="str">
        <f t="shared" si="199"/>
        <v/>
      </c>
      <c r="RIW83" s="248" t="str">
        <f t="shared" si="199"/>
        <v/>
      </c>
      <c r="RIX83" s="248" t="str">
        <f t="shared" si="199"/>
        <v/>
      </c>
      <c r="RIY83" s="248" t="str">
        <f t="shared" si="199"/>
        <v/>
      </c>
      <c r="RIZ83" s="248" t="str">
        <f t="shared" si="199"/>
        <v/>
      </c>
      <c r="RJA83" s="248" t="str">
        <f t="shared" si="199"/>
        <v/>
      </c>
      <c r="RJB83" s="248" t="str">
        <f t="shared" si="199"/>
        <v/>
      </c>
      <c r="RJC83" s="248" t="str">
        <f t="shared" si="199"/>
        <v/>
      </c>
      <c r="RJD83" s="248" t="str">
        <f t="shared" si="199"/>
        <v/>
      </c>
      <c r="RJE83" s="248" t="str">
        <f t="shared" si="199"/>
        <v/>
      </c>
      <c r="RJF83" s="248" t="str">
        <f t="shared" si="199"/>
        <v/>
      </c>
      <c r="RJG83" s="248" t="str">
        <f t="shared" si="199"/>
        <v/>
      </c>
      <c r="RJH83" s="248" t="str">
        <f t="shared" si="199"/>
        <v/>
      </c>
      <c r="RJI83" s="248" t="str">
        <f t="shared" si="199"/>
        <v/>
      </c>
      <c r="RJJ83" s="248" t="str">
        <f t="shared" si="199"/>
        <v/>
      </c>
      <c r="RJK83" s="248" t="str">
        <f t="shared" si="199"/>
        <v/>
      </c>
      <c r="RJL83" s="248" t="str">
        <f t="shared" si="199"/>
        <v/>
      </c>
      <c r="RJM83" s="248" t="str">
        <f t="shared" si="199"/>
        <v/>
      </c>
      <c r="RJN83" s="248" t="str">
        <f t="shared" si="199"/>
        <v/>
      </c>
      <c r="RJO83" s="248" t="str">
        <f t="shared" si="199"/>
        <v/>
      </c>
      <c r="RJP83" s="248" t="str">
        <f t="shared" si="199"/>
        <v/>
      </c>
      <c r="RJQ83" s="248" t="str">
        <f t="shared" si="199"/>
        <v/>
      </c>
      <c r="RJR83" s="248" t="str">
        <f t="shared" si="199"/>
        <v/>
      </c>
      <c r="RJS83" s="248" t="str">
        <f t="shared" ref="RJS83:RMD83" si="200">UPPER(RJQ83)</f>
        <v/>
      </c>
      <c r="RJT83" s="248" t="str">
        <f t="shared" si="200"/>
        <v/>
      </c>
      <c r="RJU83" s="248" t="str">
        <f t="shared" si="200"/>
        <v/>
      </c>
      <c r="RJV83" s="248" t="str">
        <f t="shared" si="200"/>
        <v/>
      </c>
      <c r="RJW83" s="248" t="str">
        <f t="shared" si="200"/>
        <v/>
      </c>
      <c r="RJX83" s="248" t="str">
        <f t="shared" si="200"/>
        <v/>
      </c>
      <c r="RJY83" s="248" t="str">
        <f t="shared" si="200"/>
        <v/>
      </c>
      <c r="RJZ83" s="248" t="str">
        <f t="shared" si="200"/>
        <v/>
      </c>
      <c r="RKA83" s="248" t="str">
        <f t="shared" si="200"/>
        <v/>
      </c>
      <c r="RKB83" s="248" t="str">
        <f t="shared" si="200"/>
        <v/>
      </c>
      <c r="RKC83" s="248" t="str">
        <f t="shared" si="200"/>
        <v/>
      </c>
      <c r="RKD83" s="248" t="str">
        <f t="shared" si="200"/>
        <v/>
      </c>
      <c r="RKE83" s="248" t="str">
        <f t="shared" si="200"/>
        <v/>
      </c>
      <c r="RKF83" s="248" t="str">
        <f t="shared" si="200"/>
        <v/>
      </c>
      <c r="RKG83" s="248" t="str">
        <f t="shared" si="200"/>
        <v/>
      </c>
      <c r="RKH83" s="248" t="str">
        <f t="shared" si="200"/>
        <v/>
      </c>
      <c r="RKI83" s="248" t="str">
        <f t="shared" si="200"/>
        <v/>
      </c>
      <c r="RKJ83" s="248" t="str">
        <f t="shared" si="200"/>
        <v/>
      </c>
      <c r="RKK83" s="248" t="str">
        <f t="shared" si="200"/>
        <v/>
      </c>
      <c r="RKL83" s="248" t="str">
        <f t="shared" si="200"/>
        <v/>
      </c>
      <c r="RKM83" s="248" t="str">
        <f t="shared" si="200"/>
        <v/>
      </c>
      <c r="RKN83" s="248" t="str">
        <f t="shared" si="200"/>
        <v/>
      </c>
      <c r="RKO83" s="248" t="str">
        <f t="shared" si="200"/>
        <v/>
      </c>
      <c r="RKP83" s="248" t="str">
        <f t="shared" si="200"/>
        <v/>
      </c>
      <c r="RKQ83" s="248" t="str">
        <f t="shared" si="200"/>
        <v/>
      </c>
      <c r="RKR83" s="248" t="str">
        <f t="shared" si="200"/>
        <v/>
      </c>
      <c r="RKS83" s="248" t="str">
        <f t="shared" si="200"/>
        <v/>
      </c>
      <c r="RKT83" s="248" t="str">
        <f t="shared" si="200"/>
        <v/>
      </c>
      <c r="RKU83" s="248" t="str">
        <f t="shared" si="200"/>
        <v/>
      </c>
      <c r="RKV83" s="248" t="str">
        <f t="shared" si="200"/>
        <v/>
      </c>
      <c r="RKW83" s="248" t="str">
        <f t="shared" si="200"/>
        <v/>
      </c>
      <c r="RKX83" s="248" t="str">
        <f t="shared" si="200"/>
        <v/>
      </c>
      <c r="RKY83" s="248" t="str">
        <f t="shared" si="200"/>
        <v/>
      </c>
      <c r="RKZ83" s="248" t="str">
        <f t="shared" si="200"/>
        <v/>
      </c>
      <c r="RLA83" s="248" t="str">
        <f t="shared" si="200"/>
        <v/>
      </c>
      <c r="RLB83" s="248" t="str">
        <f t="shared" si="200"/>
        <v/>
      </c>
      <c r="RLC83" s="248" t="str">
        <f t="shared" si="200"/>
        <v/>
      </c>
      <c r="RLD83" s="248" t="str">
        <f t="shared" si="200"/>
        <v/>
      </c>
      <c r="RLE83" s="248" t="str">
        <f t="shared" si="200"/>
        <v/>
      </c>
      <c r="RLF83" s="248" t="str">
        <f t="shared" si="200"/>
        <v/>
      </c>
      <c r="RLG83" s="248" t="str">
        <f t="shared" si="200"/>
        <v/>
      </c>
      <c r="RLH83" s="248" t="str">
        <f t="shared" si="200"/>
        <v/>
      </c>
      <c r="RLI83" s="248" t="str">
        <f t="shared" si="200"/>
        <v/>
      </c>
      <c r="RLJ83" s="248" t="str">
        <f t="shared" si="200"/>
        <v/>
      </c>
      <c r="RLK83" s="248" t="str">
        <f t="shared" si="200"/>
        <v/>
      </c>
      <c r="RLL83" s="248" t="str">
        <f t="shared" si="200"/>
        <v/>
      </c>
      <c r="RLM83" s="248" t="str">
        <f t="shared" si="200"/>
        <v/>
      </c>
      <c r="RLN83" s="248" t="str">
        <f t="shared" si="200"/>
        <v/>
      </c>
      <c r="RLO83" s="248" t="str">
        <f t="shared" si="200"/>
        <v/>
      </c>
      <c r="RLP83" s="248" t="str">
        <f t="shared" si="200"/>
        <v/>
      </c>
      <c r="RLQ83" s="248" t="str">
        <f t="shared" si="200"/>
        <v/>
      </c>
      <c r="RLR83" s="248" t="str">
        <f t="shared" si="200"/>
        <v/>
      </c>
      <c r="RLS83" s="248" t="str">
        <f t="shared" si="200"/>
        <v/>
      </c>
      <c r="RLT83" s="248" t="str">
        <f t="shared" si="200"/>
        <v/>
      </c>
      <c r="RLU83" s="248" t="str">
        <f t="shared" si="200"/>
        <v/>
      </c>
      <c r="RLV83" s="248" t="str">
        <f t="shared" si="200"/>
        <v/>
      </c>
      <c r="RLW83" s="248" t="str">
        <f t="shared" si="200"/>
        <v/>
      </c>
      <c r="RLX83" s="248" t="str">
        <f t="shared" si="200"/>
        <v/>
      </c>
      <c r="RLY83" s="248" t="str">
        <f t="shared" si="200"/>
        <v/>
      </c>
      <c r="RLZ83" s="248" t="str">
        <f t="shared" si="200"/>
        <v/>
      </c>
      <c r="RMA83" s="248" t="str">
        <f t="shared" si="200"/>
        <v/>
      </c>
      <c r="RMB83" s="248" t="str">
        <f t="shared" si="200"/>
        <v/>
      </c>
      <c r="RMC83" s="248" t="str">
        <f t="shared" si="200"/>
        <v/>
      </c>
      <c r="RMD83" s="248" t="str">
        <f t="shared" si="200"/>
        <v/>
      </c>
      <c r="RME83" s="248" t="str">
        <f t="shared" ref="RME83:ROP83" si="201">UPPER(RMC83)</f>
        <v/>
      </c>
      <c r="RMF83" s="248" t="str">
        <f t="shared" si="201"/>
        <v/>
      </c>
      <c r="RMG83" s="248" t="str">
        <f t="shared" si="201"/>
        <v/>
      </c>
      <c r="RMH83" s="248" t="str">
        <f t="shared" si="201"/>
        <v/>
      </c>
      <c r="RMI83" s="248" t="str">
        <f t="shared" si="201"/>
        <v/>
      </c>
      <c r="RMJ83" s="248" t="str">
        <f t="shared" si="201"/>
        <v/>
      </c>
      <c r="RMK83" s="248" t="str">
        <f t="shared" si="201"/>
        <v/>
      </c>
      <c r="RML83" s="248" t="str">
        <f t="shared" si="201"/>
        <v/>
      </c>
      <c r="RMM83" s="248" t="str">
        <f t="shared" si="201"/>
        <v/>
      </c>
      <c r="RMN83" s="248" t="str">
        <f t="shared" si="201"/>
        <v/>
      </c>
      <c r="RMO83" s="248" t="str">
        <f t="shared" si="201"/>
        <v/>
      </c>
      <c r="RMP83" s="248" t="str">
        <f t="shared" si="201"/>
        <v/>
      </c>
      <c r="RMQ83" s="248" t="str">
        <f t="shared" si="201"/>
        <v/>
      </c>
      <c r="RMR83" s="248" t="str">
        <f t="shared" si="201"/>
        <v/>
      </c>
      <c r="RMS83" s="248" t="str">
        <f t="shared" si="201"/>
        <v/>
      </c>
      <c r="RMT83" s="248" t="str">
        <f t="shared" si="201"/>
        <v/>
      </c>
      <c r="RMU83" s="248" t="str">
        <f t="shared" si="201"/>
        <v/>
      </c>
      <c r="RMV83" s="248" t="str">
        <f t="shared" si="201"/>
        <v/>
      </c>
      <c r="RMW83" s="248" t="str">
        <f t="shared" si="201"/>
        <v/>
      </c>
      <c r="RMX83" s="248" t="str">
        <f t="shared" si="201"/>
        <v/>
      </c>
      <c r="RMY83" s="248" t="str">
        <f t="shared" si="201"/>
        <v/>
      </c>
      <c r="RMZ83" s="248" t="str">
        <f t="shared" si="201"/>
        <v/>
      </c>
      <c r="RNA83" s="248" t="str">
        <f t="shared" si="201"/>
        <v/>
      </c>
      <c r="RNB83" s="248" t="str">
        <f t="shared" si="201"/>
        <v/>
      </c>
      <c r="RNC83" s="248" t="str">
        <f t="shared" si="201"/>
        <v/>
      </c>
      <c r="RND83" s="248" t="str">
        <f t="shared" si="201"/>
        <v/>
      </c>
      <c r="RNE83" s="248" t="str">
        <f t="shared" si="201"/>
        <v/>
      </c>
      <c r="RNF83" s="248" t="str">
        <f t="shared" si="201"/>
        <v/>
      </c>
      <c r="RNG83" s="248" t="str">
        <f t="shared" si="201"/>
        <v/>
      </c>
      <c r="RNH83" s="248" t="str">
        <f t="shared" si="201"/>
        <v/>
      </c>
      <c r="RNI83" s="248" t="str">
        <f t="shared" si="201"/>
        <v/>
      </c>
      <c r="RNJ83" s="248" t="str">
        <f t="shared" si="201"/>
        <v/>
      </c>
      <c r="RNK83" s="248" t="str">
        <f t="shared" si="201"/>
        <v/>
      </c>
      <c r="RNL83" s="248" t="str">
        <f t="shared" si="201"/>
        <v/>
      </c>
      <c r="RNM83" s="248" t="str">
        <f t="shared" si="201"/>
        <v/>
      </c>
      <c r="RNN83" s="248" t="str">
        <f t="shared" si="201"/>
        <v/>
      </c>
      <c r="RNO83" s="248" t="str">
        <f t="shared" si="201"/>
        <v/>
      </c>
      <c r="RNP83" s="248" t="str">
        <f t="shared" si="201"/>
        <v/>
      </c>
      <c r="RNQ83" s="248" t="str">
        <f t="shared" si="201"/>
        <v/>
      </c>
      <c r="RNR83" s="248" t="str">
        <f t="shared" si="201"/>
        <v/>
      </c>
      <c r="RNS83" s="248" t="str">
        <f t="shared" si="201"/>
        <v/>
      </c>
      <c r="RNT83" s="248" t="str">
        <f t="shared" si="201"/>
        <v/>
      </c>
      <c r="RNU83" s="248" t="str">
        <f t="shared" si="201"/>
        <v/>
      </c>
      <c r="RNV83" s="248" t="str">
        <f t="shared" si="201"/>
        <v/>
      </c>
      <c r="RNW83" s="248" t="str">
        <f t="shared" si="201"/>
        <v/>
      </c>
      <c r="RNX83" s="248" t="str">
        <f t="shared" si="201"/>
        <v/>
      </c>
      <c r="RNY83" s="248" t="str">
        <f t="shared" si="201"/>
        <v/>
      </c>
      <c r="RNZ83" s="248" t="str">
        <f t="shared" si="201"/>
        <v/>
      </c>
      <c r="ROA83" s="248" t="str">
        <f t="shared" si="201"/>
        <v/>
      </c>
      <c r="ROB83" s="248" t="str">
        <f t="shared" si="201"/>
        <v/>
      </c>
      <c r="ROC83" s="248" t="str">
        <f t="shared" si="201"/>
        <v/>
      </c>
      <c r="ROD83" s="248" t="str">
        <f t="shared" si="201"/>
        <v/>
      </c>
      <c r="ROE83" s="248" t="str">
        <f t="shared" si="201"/>
        <v/>
      </c>
      <c r="ROF83" s="248" t="str">
        <f t="shared" si="201"/>
        <v/>
      </c>
      <c r="ROG83" s="248" t="str">
        <f t="shared" si="201"/>
        <v/>
      </c>
      <c r="ROH83" s="248" t="str">
        <f t="shared" si="201"/>
        <v/>
      </c>
      <c r="ROI83" s="248" t="str">
        <f t="shared" si="201"/>
        <v/>
      </c>
      <c r="ROJ83" s="248" t="str">
        <f t="shared" si="201"/>
        <v/>
      </c>
      <c r="ROK83" s="248" t="str">
        <f t="shared" si="201"/>
        <v/>
      </c>
      <c r="ROL83" s="248" t="str">
        <f t="shared" si="201"/>
        <v/>
      </c>
      <c r="ROM83" s="248" t="str">
        <f t="shared" si="201"/>
        <v/>
      </c>
      <c r="RON83" s="248" t="str">
        <f t="shared" si="201"/>
        <v/>
      </c>
      <c r="ROO83" s="248" t="str">
        <f t="shared" si="201"/>
        <v/>
      </c>
      <c r="ROP83" s="248" t="str">
        <f t="shared" si="201"/>
        <v/>
      </c>
      <c r="ROQ83" s="248" t="str">
        <f t="shared" ref="ROQ83:RRB83" si="202">UPPER(ROO83)</f>
        <v/>
      </c>
      <c r="ROR83" s="248" t="str">
        <f t="shared" si="202"/>
        <v/>
      </c>
      <c r="ROS83" s="248" t="str">
        <f t="shared" si="202"/>
        <v/>
      </c>
      <c r="ROT83" s="248" t="str">
        <f t="shared" si="202"/>
        <v/>
      </c>
      <c r="ROU83" s="248" t="str">
        <f t="shared" si="202"/>
        <v/>
      </c>
      <c r="ROV83" s="248" t="str">
        <f t="shared" si="202"/>
        <v/>
      </c>
      <c r="ROW83" s="248" t="str">
        <f t="shared" si="202"/>
        <v/>
      </c>
      <c r="ROX83" s="248" t="str">
        <f t="shared" si="202"/>
        <v/>
      </c>
      <c r="ROY83" s="248" t="str">
        <f t="shared" si="202"/>
        <v/>
      </c>
      <c r="ROZ83" s="248" t="str">
        <f t="shared" si="202"/>
        <v/>
      </c>
      <c r="RPA83" s="248" t="str">
        <f t="shared" si="202"/>
        <v/>
      </c>
      <c r="RPB83" s="248" t="str">
        <f t="shared" si="202"/>
        <v/>
      </c>
      <c r="RPC83" s="248" t="str">
        <f t="shared" si="202"/>
        <v/>
      </c>
      <c r="RPD83" s="248" t="str">
        <f t="shared" si="202"/>
        <v/>
      </c>
      <c r="RPE83" s="248" t="str">
        <f t="shared" si="202"/>
        <v/>
      </c>
      <c r="RPF83" s="248" t="str">
        <f t="shared" si="202"/>
        <v/>
      </c>
      <c r="RPG83" s="248" t="str">
        <f t="shared" si="202"/>
        <v/>
      </c>
      <c r="RPH83" s="248" t="str">
        <f t="shared" si="202"/>
        <v/>
      </c>
      <c r="RPI83" s="248" t="str">
        <f t="shared" si="202"/>
        <v/>
      </c>
      <c r="RPJ83" s="248" t="str">
        <f t="shared" si="202"/>
        <v/>
      </c>
      <c r="RPK83" s="248" t="str">
        <f t="shared" si="202"/>
        <v/>
      </c>
      <c r="RPL83" s="248" t="str">
        <f t="shared" si="202"/>
        <v/>
      </c>
      <c r="RPM83" s="248" t="str">
        <f t="shared" si="202"/>
        <v/>
      </c>
      <c r="RPN83" s="248" t="str">
        <f t="shared" si="202"/>
        <v/>
      </c>
      <c r="RPO83" s="248" t="str">
        <f t="shared" si="202"/>
        <v/>
      </c>
      <c r="RPP83" s="248" t="str">
        <f t="shared" si="202"/>
        <v/>
      </c>
      <c r="RPQ83" s="248" t="str">
        <f t="shared" si="202"/>
        <v/>
      </c>
      <c r="RPR83" s="248" t="str">
        <f t="shared" si="202"/>
        <v/>
      </c>
      <c r="RPS83" s="248" t="str">
        <f t="shared" si="202"/>
        <v/>
      </c>
      <c r="RPT83" s="248" t="str">
        <f t="shared" si="202"/>
        <v/>
      </c>
      <c r="RPU83" s="248" t="str">
        <f t="shared" si="202"/>
        <v/>
      </c>
      <c r="RPV83" s="248" t="str">
        <f t="shared" si="202"/>
        <v/>
      </c>
      <c r="RPW83" s="248" t="str">
        <f t="shared" si="202"/>
        <v/>
      </c>
      <c r="RPX83" s="248" t="str">
        <f t="shared" si="202"/>
        <v/>
      </c>
      <c r="RPY83" s="248" t="str">
        <f t="shared" si="202"/>
        <v/>
      </c>
      <c r="RPZ83" s="248" t="str">
        <f t="shared" si="202"/>
        <v/>
      </c>
      <c r="RQA83" s="248" t="str">
        <f t="shared" si="202"/>
        <v/>
      </c>
      <c r="RQB83" s="248" t="str">
        <f t="shared" si="202"/>
        <v/>
      </c>
      <c r="RQC83" s="248" t="str">
        <f t="shared" si="202"/>
        <v/>
      </c>
      <c r="RQD83" s="248" t="str">
        <f t="shared" si="202"/>
        <v/>
      </c>
      <c r="RQE83" s="248" t="str">
        <f t="shared" si="202"/>
        <v/>
      </c>
      <c r="RQF83" s="248" t="str">
        <f t="shared" si="202"/>
        <v/>
      </c>
      <c r="RQG83" s="248" t="str">
        <f t="shared" si="202"/>
        <v/>
      </c>
      <c r="RQH83" s="248" t="str">
        <f t="shared" si="202"/>
        <v/>
      </c>
      <c r="RQI83" s="248" t="str">
        <f t="shared" si="202"/>
        <v/>
      </c>
      <c r="RQJ83" s="248" t="str">
        <f t="shared" si="202"/>
        <v/>
      </c>
      <c r="RQK83" s="248" t="str">
        <f t="shared" si="202"/>
        <v/>
      </c>
      <c r="RQL83" s="248" t="str">
        <f t="shared" si="202"/>
        <v/>
      </c>
      <c r="RQM83" s="248" t="str">
        <f t="shared" si="202"/>
        <v/>
      </c>
      <c r="RQN83" s="248" t="str">
        <f t="shared" si="202"/>
        <v/>
      </c>
      <c r="RQO83" s="248" t="str">
        <f t="shared" si="202"/>
        <v/>
      </c>
      <c r="RQP83" s="248" t="str">
        <f t="shared" si="202"/>
        <v/>
      </c>
      <c r="RQQ83" s="248" t="str">
        <f t="shared" si="202"/>
        <v/>
      </c>
      <c r="RQR83" s="248" t="str">
        <f t="shared" si="202"/>
        <v/>
      </c>
      <c r="RQS83" s="248" t="str">
        <f t="shared" si="202"/>
        <v/>
      </c>
      <c r="RQT83" s="248" t="str">
        <f t="shared" si="202"/>
        <v/>
      </c>
      <c r="RQU83" s="248" t="str">
        <f t="shared" si="202"/>
        <v/>
      </c>
      <c r="RQV83" s="248" t="str">
        <f t="shared" si="202"/>
        <v/>
      </c>
      <c r="RQW83" s="248" t="str">
        <f t="shared" si="202"/>
        <v/>
      </c>
      <c r="RQX83" s="248" t="str">
        <f t="shared" si="202"/>
        <v/>
      </c>
      <c r="RQY83" s="248" t="str">
        <f t="shared" si="202"/>
        <v/>
      </c>
      <c r="RQZ83" s="248" t="str">
        <f t="shared" si="202"/>
        <v/>
      </c>
      <c r="RRA83" s="248" t="str">
        <f t="shared" si="202"/>
        <v/>
      </c>
      <c r="RRB83" s="248" t="str">
        <f t="shared" si="202"/>
        <v/>
      </c>
      <c r="RRC83" s="248" t="str">
        <f t="shared" ref="RRC83:RTN83" si="203">UPPER(RRA83)</f>
        <v/>
      </c>
      <c r="RRD83" s="248" t="str">
        <f t="shared" si="203"/>
        <v/>
      </c>
      <c r="RRE83" s="248" t="str">
        <f t="shared" si="203"/>
        <v/>
      </c>
      <c r="RRF83" s="248" t="str">
        <f t="shared" si="203"/>
        <v/>
      </c>
      <c r="RRG83" s="248" t="str">
        <f t="shared" si="203"/>
        <v/>
      </c>
      <c r="RRH83" s="248" t="str">
        <f t="shared" si="203"/>
        <v/>
      </c>
      <c r="RRI83" s="248" t="str">
        <f t="shared" si="203"/>
        <v/>
      </c>
      <c r="RRJ83" s="248" t="str">
        <f t="shared" si="203"/>
        <v/>
      </c>
      <c r="RRK83" s="248" t="str">
        <f t="shared" si="203"/>
        <v/>
      </c>
      <c r="RRL83" s="248" t="str">
        <f t="shared" si="203"/>
        <v/>
      </c>
      <c r="RRM83" s="248" t="str">
        <f t="shared" si="203"/>
        <v/>
      </c>
      <c r="RRN83" s="248" t="str">
        <f t="shared" si="203"/>
        <v/>
      </c>
      <c r="RRO83" s="248" t="str">
        <f t="shared" si="203"/>
        <v/>
      </c>
      <c r="RRP83" s="248" t="str">
        <f t="shared" si="203"/>
        <v/>
      </c>
      <c r="RRQ83" s="248" t="str">
        <f t="shared" si="203"/>
        <v/>
      </c>
      <c r="RRR83" s="248" t="str">
        <f t="shared" si="203"/>
        <v/>
      </c>
      <c r="RRS83" s="248" t="str">
        <f t="shared" si="203"/>
        <v/>
      </c>
      <c r="RRT83" s="248" t="str">
        <f t="shared" si="203"/>
        <v/>
      </c>
      <c r="RRU83" s="248" t="str">
        <f t="shared" si="203"/>
        <v/>
      </c>
      <c r="RRV83" s="248" t="str">
        <f t="shared" si="203"/>
        <v/>
      </c>
      <c r="RRW83" s="248" t="str">
        <f t="shared" si="203"/>
        <v/>
      </c>
      <c r="RRX83" s="248" t="str">
        <f t="shared" si="203"/>
        <v/>
      </c>
      <c r="RRY83" s="248" t="str">
        <f t="shared" si="203"/>
        <v/>
      </c>
      <c r="RRZ83" s="248" t="str">
        <f t="shared" si="203"/>
        <v/>
      </c>
      <c r="RSA83" s="248" t="str">
        <f t="shared" si="203"/>
        <v/>
      </c>
      <c r="RSB83" s="248" t="str">
        <f t="shared" si="203"/>
        <v/>
      </c>
      <c r="RSC83" s="248" t="str">
        <f t="shared" si="203"/>
        <v/>
      </c>
      <c r="RSD83" s="248" t="str">
        <f t="shared" si="203"/>
        <v/>
      </c>
      <c r="RSE83" s="248" t="str">
        <f t="shared" si="203"/>
        <v/>
      </c>
      <c r="RSF83" s="248" t="str">
        <f t="shared" si="203"/>
        <v/>
      </c>
      <c r="RSG83" s="248" t="str">
        <f t="shared" si="203"/>
        <v/>
      </c>
      <c r="RSH83" s="248" t="str">
        <f t="shared" si="203"/>
        <v/>
      </c>
      <c r="RSI83" s="248" t="str">
        <f t="shared" si="203"/>
        <v/>
      </c>
      <c r="RSJ83" s="248" t="str">
        <f t="shared" si="203"/>
        <v/>
      </c>
      <c r="RSK83" s="248" t="str">
        <f t="shared" si="203"/>
        <v/>
      </c>
      <c r="RSL83" s="248" t="str">
        <f t="shared" si="203"/>
        <v/>
      </c>
      <c r="RSM83" s="248" t="str">
        <f t="shared" si="203"/>
        <v/>
      </c>
      <c r="RSN83" s="248" t="str">
        <f t="shared" si="203"/>
        <v/>
      </c>
      <c r="RSO83" s="248" t="str">
        <f t="shared" si="203"/>
        <v/>
      </c>
      <c r="RSP83" s="248" t="str">
        <f t="shared" si="203"/>
        <v/>
      </c>
      <c r="RSQ83" s="248" t="str">
        <f t="shared" si="203"/>
        <v/>
      </c>
      <c r="RSR83" s="248" t="str">
        <f t="shared" si="203"/>
        <v/>
      </c>
      <c r="RSS83" s="248" t="str">
        <f t="shared" si="203"/>
        <v/>
      </c>
      <c r="RST83" s="248" t="str">
        <f t="shared" si="203"/>
        <v/>
      </c>
      <c r="RSU83" s="248" t="str">
        <f t="shared" si="203"/>
        <v/>
      </c>
      <c r="RSV83" s="248" t="str">
        <f t="shared" si="203"/>
        <v/>
      </c>
      <c r="RSW83" s="248" t="str">
        <f t="shared" si="203"/>
        <v/>
      </c>
      <c r="RSX83" s="248" t="str">
        <f t="shared" si="203"/>
        <v/>
      </c>
      <c r="RSY83" s="248" t="str">
        <f t="shared" si="203"/>
        <v/>
      </c>
      <c r="RSZ83" s="248" t="str">
        <f t="shared" si="203"/>
        <v/>
      </c>
      <c r="RTA83" s="248" t="str">
        <f t="shared" si="203"/>
        <v/>
      </c>
      <c r="RTB83" s="248" t="str">
        <f t="shared" si="203"/>
        <v/>
      </c>
      <c r="RTC83" s="248" t="str">
        <f t="shared" si="203"/>
        <v/>
      </c>
      <c r="RTD83" s="248" t="str">
        <f t="shared" si="203"/>
        <v/>
      </c>
      <c r="RTE83" s="248" t="str">
        <f t="shared" si="203"/>
        <v/>
      </c>
      <c r="RTF83" s="248" t="str">
        <f t="shared" si="203"/>
        <v/>
      </c>
      <c r="RTG83" s="248" t="str">
        <f t="shared" si="203"/>
        <v/>
      </c>
      <c r="RTH83" s="248" t="str">
        <f t="shared" si="203"/>
        <v/>
      </c>
      <c r="RTI83" s="248" t="str">
        <f t="shared" si="203"/>
        <v/>
      </c>
      <c r="RTJ83" s="248" t="str">
        <f t="shared" si="203"/>
        <v/>
      </c>
      <c r="RTK83" s="248" t="str">
        <f t="shared" si="203"/>
        <v/>
      </c>
      <c r="RTL83" s="248" t="str">
        <f t="shared" si="203"/>
        <v/>
      </c>
      <c r="RTM83" s="248" t="str">
        <f t="shared" si="203"/>
        <v/>
      </c>
      <c r="RTN83" s="248" t="str">
        <f t="shared" si="203"/>
        <v/>
      </c>
      <c r="RTO83" s="248" t="str">
        <f t="shared" ref="RTO83:RVZ83" si="204">UPPER(RTM83)</f>
        <v/>
      </c>
      <c r="RTP83" s="248" t="str">
        <f t="shared" si="204"/>
        <v/>
      </c>
      <c r="RTQ83" s="248" t="str">
        <f t="shared" si="204"/>
        <v/>
      </c>
      <c r="RTR83" s="248" t="str">
        <f t="shared" si="204"/>
        <v/>
      </c>
      <c r="RTS83" s="248" t="str">
        <f t="shared" si="204"/>
        <v/>
      </c>
      <c r="RTT83" s="248" t="str">
        <f t="shared" si="204"/>
        <v/>
      </c>
      <c r="RTU83" s="248" t="str">
        <f t="shared" si="204"/>
        <v/>
      </c>
      <c r="RTV83" s="248" t="str">
        <f t="shared" si="204"/>
        <v/>
      </c>
      <c r="RTW83" s="248" t="str">
        <f t="shared" si="204"/>
        <v/>
      </c>
      <c r="RTX83" s="248" t="str">
        <f t="shared" si="204"/>
        <v/>
      </c>
      <c r="RTY83" s="248" t="str">
        <f t="shared" si="204"/>
        <v/>
      </c>
      <c r="RTZ83" s="248" t="str">
        <f t="shared" si="204"/>
        <v/>
      </c>
      <c r="RUA83" s="248" t="str">
        <f t="shared" si="204"/>
        <v/>
      </c>
      <c r="RUB83" s="248" t="str">
        <f t="shared" si="204"/>
        <v/>
      </c>
      <c r="RUC83" s="248" t="str">
        <f t="shared" si="204"/>
        <v/>
      </c>
      <c r="RUD83" s="248" t="str">
        <f t="shared" si="204"/>
        <v/>
      </c>
      <c r="RUE83" s="248" t="str">
        <f t="shared" si="204"/>
        <v/>
      </c>
      <c r="RUF83" s="248" t="str">
        <f t="shared" si="204"/>
        <v/>
      </c>
      <c r="RUG83" s="248" t="str">
        <f t="shared" si="204"/>
        <v/>
      </c>
      <c r="RUH83" s="248" t="str">
        <f t="shared" si="204"/>
        <v/>
      </c>
      <c r="RUI83" s="248" t="str">
        <f t="shared" si="204"/>
        <v/>
      </c>
      <c r="RUJ83" s="248" t="str">
        <f t="shared" si="204"/>
        <v/>
      </c>
      <c r="RUK83" s="248" t="str">
        <f t="shared" si="204"/>
        <v/>
      </c>
      <c r="RUL83" s="248" t="str">
        <f t="shared" si="204"/>
        <v/>
      </c>
      <c r="RUM83" s="248" t="str">
        <f t="shared" si="204"/>
        <v/>
      </c>
      <c r="RUN83" s="248" t="str">
        <f t="shared" si="204"/>
        <v/>
      </c>
      <c r="RUO83" s="248" t="str">
        <f t="shared" si="204"/>
        <v/>
      </c>
      <c r="RUP83" s="248" t="str">
        <f t="shared" si="204"/>
        <v/>
      </c>
      <c r="RUQ83" s="248" t="str">
        <f t="shared" si="204"/>
        <v/>
      </c>
      <c r="RUR83" s="248" t="str">
        <f t="shared" si="204"/>
        <v/>
      </c>
      <c r="RUS83" s="248" t="str">
        <f t="shared" si="204"/>
        <v/>
      </c>
      <c r="RUT83" s="248" t="str">
        <f t="shared" si="204"/>
        <v/>
      </c>
      <c r="RUU83" s="248" t="str">
        <f t="shared" si="204"/>
        <v/>
      </c>
      <c r="RUV83" s="248" t="str">
        <f t="shared" si="204"/>
        <v/>
      </c>
      <c r="RUW83" s="248" t="str">
        <f t="shared" si="204"/>
        <v/>
      </c>
      <c r="RUX83" s="248" t="str">
        <f t="shared" si="204"/>
        <v/>
      </c>
      <c r="RUY83" s="248" t="str">
        <f t="shared" si="204"/>
        <v/>
      </c>
      <c r="RUZ83" s="248" t="str">
        <f t="shared" si="204"/>
        <v/>
      </c>
      <c r="RVA83" s="248" t="str">
        <f t="shared" si="204"/>
        <v/>
      </c>
      <c r="RVB83" s="248" t="str">
        <f t="shared" si="204"/>
        <v/>
      </c>
      <c r="RVC83" s="248" t="str">
        <f t="shared" si="204"/>
        <v/>
      </c>
      <c r="RVD83" s="248" t="str">
        <f t="shared" si="204"/>
        <v/>
      </c>
      <c r="RVE83" s="248" t="str">
        <f t="shared" si="204"/>
        <v/>
      </c>
      <c r="RVF83" s="248" t="str">
        <f t="shared" si="204"/>
        <v/>
      </c>
      <c r="RVG83" s="248" t="str">
        <f t="shared" si="204"/>
        <v/>
      </c>
      <c r="RVH83" s="248" t="str">
        <f t="shared" si="204"/>
        <v/>
      </c>
      <c r="RVI83" s="248" t="str">
        <f t="shared" si="204"/>
        <v/>
      </c>
      <c r="RVJ83" s="248" t="str">
        <f t="shared" si="204"/>
        <v/>
      </c>
      <c r="RVK83" s="248" t="str">
        <f t="shared" si="204"/>
        <v/>
      </c>
      <c r="RVL83" s="248" t="str">
        <f t="shared" si="204"/>
        <v/>
      </c>
      <c r="RVM83" s="248" t="str">
        <f t="shared" si="204"/>
        <v/>
      </c>
      <c r="RVN83" s="248" t="str">
        <f t="shared" si="204"/>
        <v/>
      </c>
      <c r="RVO83" s="248" t="str">
        <f t="shared" si="204"/>
        <v/>
      </c>
      <c r="RVP83" s="248" t="str">
        <f t="shared" si="204"/>
        <v/>
      </c>
      <c r="RVQ83" s="248" t="str">
        <f t="shared" si="204"/>
        <v/>
      </c>
      <c r="RVR83" s="248" t="str">
        <f t="shared" si="204"/>
        <v/>
      </c>
      <c r="RVS83" s="248" t="str">
        <f t="shared" si="204"/>
        <v/>
      </c>
      <c r="RVT83" s="248" t="str">
        <f t="shared" si="204"/>
        <v/>
      </c>
      <c r="RVU83" s="248" t="str">
        <f t="shared" si="204"/>
        <v/>
      </c>
      <c r="RVV83" s="248" t="str">
        <f t="shared" si="204"/>
        <v/>
      </c>
      <c r="RVW83" s="248" t="str">
        <f t="shared" si="204"/>
        <v/>
      </c>
      <c r="RVX83" s="248" t="str">
        <f t="shared" si="204"/>
        <v/>
      </c>
      <c r="RVY83" s="248" t="str">
        <f t="shared" si="204"/>
        <v/>
      </c>
      <c r="RVZ83" s="248" t="str">
        <f t="shared" si="204"/>
        <v/>
      </c>
      <c r="RWA83" s="248" t="str">
        <f t="shared" ref="RWA83:RYL83" si="205">UPPER(RVY83)</f>
        <v/>
      </c>
      <c r="RWB83" s="248" t="str">
        <f t="shared" si="205"/>
        <v/>
      </c>
      <c r="RWC83" s="248" t="str">
        <f t="shared" si="205"/>
        <v/>
      </c>
      <c r="RWD83" s="248" t="str">
        <f t="shared" si="205"/>
        <v/>
      </c>
      <c r="RWE83" s="248" t="str">
        <f t="shared" si="205"/>
        <v/>
      </c>
      <c r="RWF83" s="248" t="str">
        <f t="shared" si="205"/>
        <v/>
      </c>
      <c r="RWG83" s="248" t="str">
        <f t="shared" si="205"/>
        <v/>
      </c>
      <c r="RWH83" s="248" t="str">
        <f t="shared" si="205"/>
        <v/>
      </c>
      <c r="RWI83" s="248" t="str">
        <f t="shared" si="205"/>
        <v/>
      </c>
      <c r="RWJ83" s="248" t="str">
        <f t="shared" si="205"/>
        <v/>
      </c>
      <c r="RWK83" s="248" t="str">
        <f t="shared" si="205"/>
        <v/>
      </c>
      <c r="RWL83" s="248" t="str">
        <f t="shared" si="205"/>
        <v/>
      </c>
      <c r="RWM83" s="248" t="str">
        <f t="shared" si="205"/>
        <v/>
      </c>
      <c r="RWN83" s="248" t="str">
        <f t="shared" si="205"/>
        <v/>
      </c>
      <c r="RWO83" s="248" t="str">
        <f t="shared" si="205"/>
        <v/>
      </c>
      <c r="RWP83" s="248" t="str">
        <f t="shared" si="205"/>
        <v/>
      </c>
      <c r="RWQ83" s="248" t="str">
        <f t="shared" si="205"/>
        <v/>
      </c>
      <c r="RWR83" s="248" t="str">
        <f t="shared" si="205"/>
        <v/>
      </c>
      <c r="RWS83" s="248" t="str">
        <f t="shared" si="205"/>
        <v/>
      </c>
      <c r="RWT83" s="248" t="str">
        <f t="shared" si="205"/>
        <v/>
      </c>
      <c r="RWU83" s="248" t="str">
        <f t="shared" si="205"/>
        <v/>
      </c>
      <c r="RWV83" s="248" t="str">
        <f t="shared" si="205"/>
        <v/>
      </c>
      <c r="RWW83" s="248" t="str">
        <f t="shared" si="205"/>
        <v/>
      </c>
      <c r="RWX83" s="248" t="str">
        <f t="shared" si="205"/>
        <v/>
      </c>
      <c r="RWY83" s="248" t="str">
        <f t="shared" si="205"/>
        <v/>
      </c>
      <c r="RWZ83" s="248" t="str">
        <f t="shared" si="205"/>
        <v/>
      </c>
      <c r="RXA83" s="248" t="str">
        <f t="shared" si="205"/>
        <v/>
      </c>
      <c r="RXB83" s="248" t="str">
        <f t="shared" si="205"/>
        <v/>
      </c>
      <c r="RXC83" s="248" t="str">
        <f t="shared" si="205"/>
        <v/>
      </c>
      <c r="RXD83" s="248" t="str">
        <f t="shared" si="205"/>
        <v/>
      </c>
      <c r="RXE83" s="248" t="str">
        <f t="shared" si="205"/>
        <v/>
      </c>
      <c r="RXF83" s="248" t="str">
        <f t="shared" si="205"/>
        <v/>
      </c>
      <c r="RXG83" s="248" t="str">
        <f t="shared" si="205"/>
        <v/>
      </c>
      <c r="RXH83" s="248" t="str">
        <f t="shared" si="205"/>
        <v/>
      </c>
      <c r="RXI83" s="248" t="str">
        <f t="shared" si="205"/>
        <v/>
      </c>
      <c r="RXJ83" s="248" t="str">
        <f t="shared" si="205"/>
        <v/>
      </c>
      <c r="RXK83" s="248" t="str">
        <f t="shared" si="205"/>
        <v/>
      </c>
      <c r="RXL83" s="248" t="str">
        <f t="shared" si="205"/>
        <v/>
      </c>
      <c r="RXM83" s="248" t="str">
        <f t="shared" si="205"/>
        <v/>
      </c>
      <c r="RXN83" s="248" t="str">
        <f t="shared" si="205"/>
        <v/>
      </c>
      <c r="RXO83" s="248" t="str">
        <f t="shared" si="205"/>
        <v/>
      </c>
      <c r="RXP83" s="248" t="str">
        <f t="shared" si="205"/>
        <v/>
      </c>
      <c r="RXQ83" s="248" t="str">
        <f t="shared" si="205"/>
        <v/>
      </c>
      <c r="RXR83" s="248" t="str">
        <f t="shared" si="205"/>
        <v/>
      </c>
      <c r="RXS83" s="248" t="str">
        <f t="shared" si="205"/>
        <v/>
      </c>
      <c r="RXT83" s="248" t="str">
        <f t="shared" si="205"/>
        <v/>
      </c>
      <c r="RXU83" s="248" t="str">
        <f t="shared" si="205"/>
        <v/>
      </c>
      <c r="RXV83" s="248" t="str">
        <f t="shared" si="205"/>
        <v/>
      </c>
      <c r="RXW83" s="248" t="str">
        <f t="shared" si="205"/>
        <v/>
      </c>
      <c r="RXX83" s="248" t="str">
        <f t="shared" si="205"/>
        <v/>
      </c>
      <c r="RXY83" s="248" t="str">
        <f t="shared" si="205"/>
        <v/>
      </c>
      <c r="RXZ83" s="248" t="str">
        <f t="shared" si="205"/>
        <v/>
      </c>
      <c r="RYA83" s="248" t="str">
        <f t="shared" si="205"/>
        <v/>
      </c>
      <c r="RYB83" s="248" t="str">
        <f t="shared" si="205"/>
        <v/>
      </c>
      <c r="RYC83" s="248" t="str">
        <f t="shared" si="205"/>
        <v/>
      </c>
      <c r="RYD83" s="248" t="str">
        <f t="shared" si="205"/>
        <v/>
      </c>
      <c r="RYE83" s="248" t="str">
        <f t="shared" si="205"/>
        <v/>
      </c>
      <c r="RYF83" s="248" t="str">
        <f t="shared" si="205"/>
        <v/>
      </c>
      <c r="RYG83" s="248" t="str">
        <f t="shared" si="205"/>
        <v/>
      </c>
      <c r="RYH83" s="248" t="str">
        <f t="shared" si="205"/>
        <v/>
      </c>
      <c r="RYI83" s="248" t="str">
        <f t="shared" si="205"/>
        <v/>
      </c>
      <c r="RYJ83" s="248" t="str">
        <f t="shared" si="205"/>
        <v/>
      </c>
      <c r="RYK83" s="248" t="str">
        <f t="shared" si="205"/>
        <v/>
      </c>
      <c r="RYL83" s="248" t="str">
        <f t="shared" si="205"/>
        <v/>
      </c>
      <c r="RYM83" s="248" t="str">
        <f t="shared" ref="RYM83:SAX83" si="206">UPPER(RYK83)</f>
        <v/>
      </c>
      <c r="RYN83" s="248" t="str">
        <f t="shared" si="206"/>
        <v/>
      </c>
      <c r="RYO83" s="248" t="str">
        <f t="shared" si="206"/>
        <v/>
      </c>
      <c r="RYP83" s="248" t="str">
        <f t="shared" si="206"/>
        <v/>
      </c>
      <c r="RYQ83" s="248" t="str">
        <f t="shared" si="206"/>
        <v/>
      </c>
      <c r="RYR83" s="248" t="str">
        <f t="shared" si="206"/>
        <v/>
      </c>
      <c r="RYS83" s="248" t="str">
        <f t="shared" si="206"/>
        <v/>
      </c>
      <c r="RYT83" s="248" t="str">
        <f t="shared" si="206"/>
        <v/>
      </c>
      <c r="RYU83" s="248" t="str">
        <f t="shared" si="206"/>
        <v/>
      </c>
      <c r="RYV83" s="248" t="str">
        <f t="shared" si="206"/>
        <v/>
      </c>
      <c r="RYW83" s="248" t="str">
        <f t="shared" si="206"/>
        <v/>
      </c>
      <c r="RYX83" s="248" t="str">
        <f t="shared" si="206"/>
        <v/>
      </c>
      <c r="RYY83" s="248" t="str">
        <f t="shared" si="206"/>
        <v/>
      </c>
      <c r="RYZ83" s="248" t="str">
        <f t="shared" si="206"/>
        <v/>
      </c>
      <c r="RZA83" s="248" t="str">
        <f t="shared" si="206"/>
        <v/>
      </c>
      <c r="RZB83" s="248" t="str">
        <f t="shared" si="206"/>
        <v/>
      </c>
      <c r="RZC83" s="248" t="str">
        <f t="shared" si="206"/>
        <v/>
      </c>
      <c r="RZD83" s="248" t="str">
        <f t="shared" si="206"/>
        <v/>
      </c>
      <c r="RZE83" s="248" t="str">
        <f t="shared" si="206"/>
        <v/>
      </c>
      <c r="RZF83" s="248" t="str">
        <f t="shared" si="206"/>
        <v/>
      </c>
      <c r="RZG83" s="248" t="str">
        <f t="shared" si="206"/>
        <v/>
      </c>
      <c r="RZH83" s="248" t="str">
        <f t="shared" si="206"/>
        <v/>
      </c>
      <c r="RZI83" s="248" t="str">
        <f t="shared" si="206"/>
        <v/>
      </c>
      <c r="RZJ83" s="248" t="str">
        <f t="shared" si="206"/>
        <v/>
      </c>
      <c r="RZK83" s="248" t="str">
        <f t="shared" si="206"/>
        <v/>
      </c>
      <c r="RZL83" s="248" t="str">
        <f t="shared" si="206"/>
        <v/>
      </c>
      <c r="RZM83" s="248" t="str">
        <f t="shared" si="206"/>
        <v/>
      </c>
      <c r="RZN83" s="248" t="str">
        <f t="shared" si="206"/>
        <v/>
      </c>
      <c r="RZO83" s="248" t="str">
        <f t="shared" si="206"/>
        <v/>
      </c>
      <c r="RZP83" s="248" t="str">
        <f t="shared" si="206"/>
        <v/>
      </c>
      <c r="RZQ83" s="248" t="str">
        <f t="shared" si="206"/>
        <v/>
      </c>
      <c r="RZR83" s="248" t="str">
        <f t="shared" si="206"/>
        <v/>
      </c>
      <c r="RZS83" s="248" t="str">
        <f t="shared" si="206"/>
        <v/>
      </c>
      <c r="RZT83" s="248" t="str">
        <f t="shared" si="206"/>
        <v/>
      </c>
      <c r="RZU83" s="248" t="str">
        <f t="shared" si="206"/>
        <v/>
      </c>
      <c r="RZV83" s="248" t="str">
        <f t="shared" si="206"/>
        <v/>
      </c>
      <c r="RZW83" s="248" t="str">
        <f t="shared" si="206"/>
        <v/>
      </c>
      <c r="RZX83" s="248" t="str">
        <f t="shared" si="206"/>
        <v/>
      </c>
      <c r="RZY83" s="248" t="str">
        <f t="shared" si="206"/>
        <v/>
      </c>
      <c r="RZZ83" s="248" t="str">
        <f t="shared" si="206"/>
        <v/>
      </c>
      <c r="SAA83" s="248" t="str">
        <f t="shared" si="206"/>
        <v/>
      </c>
      <c r="SAB83" s="248" t="str">
        <f t="shared" si="206"/>
        <v/>
      </c>
      <c r="SAC83" s="248" t="str">
        <f t="shared" si="206"/>
        <v/>
      </c>
      <c r="SAD83" s="248" t="str">
        <f t="shared" si="206"/>
        <v/>
      </c>
      <c r="SAE83" s="248" t="str">
        <f t="shared" si="206"/>
        <v/>
      </c>
      <c r="SAF83" s="248" t="str">
        <f t="shared" si="206"/>
        <v/>
      </c>
      <c r="SAG83" s="248" t="str">
        <f t="shared" si="206"/>
        <v/>
      </c>
      <c r="SAH83" s="248" t="str">
        <f t="shared" si="206"/>
        <v/>
      </c>
      <c r="SAI83" s="248" t="str">
        <f t="shared" si="206"/>
        <v/>
      </c>
      <c r="SAJ83" s="248" t="str">
        <f t="shared" si="206"/>
        <v/>
      </c>
      <c r="SAK83" s="248" t="str">
        <f t="shared" si="206"/>
        <v/>
      </c>
      <c r="SAL83" s="248" t="str">
        <f t="shared" si="206"/>
        <v/>
      </c>
      <c r="SAM83" s="248" t="str">
        <f t="shared" si="206"/>
        <v/>
      </c>
      <c r="SAN83" s="248" t="str">
        <f t="shared" si="206"/>
        <v/>
      </c>
      <c r="SAO83" s="248" t="str">
        <f t="shared" si="206"/>
        <v/>
      </c>
      <c r="SAP83" s="248" t="str">
        <f t="shared" si="206"/>
        <v/>
      </c>
      <c r="SAQ83" s="248" t="str">
        <f t="shared" si="206"/>
        <v/>
      </c>
      <c r="SAR83" s="248" t="str">
        <f t="shared" si="206"/>
        <v/>
      </c>
      <c r="SAS83" s="248" t="str">
        <f t="shared" si="206"/>
        <v/>
      </c>
      <c r="SAT83" s="248" t="str">
        <f t="shared" si="206"/>
        <v/>
      </c>
      <c r="SAU83" s="248" t="str">
        <f t="shared" si="206"/>
        <v/>
      </c>
      <c r="SAV83" s="248" t="str">
        <f t="shared" si="206"/>
        <v/>
      </c>
      <c r="SAW83" s="248" t="str">
        <f t="shared" si="206"/>
        <v/>
      </c>
      <c r="SAX83" s="248" t="str">
        <f t="shared" si="206"/>
        <v/>
      </c>
      <c r="SAY83" s="248" t="str">
        <f t="shared" ref="SAY83:SDJ83" si="207">UPPER(SAW83)</f>
        <v/>
      </c>
      <c r="SAZ83" s="248" t="str">
        <f t="shared" si="207"/>
        <v/>
      </c>
      <c r="SBA83" s="248" t="str">
        <f t="shared" si="207"/>
        <v/>
      </c>
      <c r="SBB83" s="248" t="str">
        <f t="shared" si="207"/>
        <v/>
      </c>
      <c r="SBC83" s="248" t="str">
        <f t="shared" si="207"/>
        <v/>
      </c>
      <c r="SBD83" s="248" t="str">
        <f t="shared" si="207"/>
        <v/>
      </c>
      <c r="SBE83" s="248" t="str">
        <f t="shared" si="207"/>
        <v/>
      </c>
      <c r="SBF83" s="248" t="str">
        <f t="shared" si="207"/>
        <v/>
      </c>
      <c r="SBG83" s="248" t="str">
        <f t="shared" si="207"/>
        <v/>
      </c>
      <c r="SBH83" s="248" t="str">
        <f t="shared" si="207"/>
        <v/>
      </c>
      <c r="SBI83" s="248" t="str">
        <f t="shared" si="207"/>
        <v/>
      </c>
      <c r="SBJ83" s="248" t="str">
        <f t="shared" si="207"/>
        <v/>
      </c>
      <c r="SBK83" s="248" t="str">
        <f t="shared" si="207"/>
        <v/>
      </c>
      <c r="SBL83" s="248" t="str">
        <f t="shared" si="207"/>
        <v/>
      </c>
      <c r="SBM83" s="248" t="str">
        <f t="shared" si="207"/>
        <v/>
      </c>
      <c r="SBN83" s="248" t="str">
        <f t="shared" si="207"/>
        <v/>
      </c>
      <c r="SBO83" s="248" t="str">
        <f t="shared" si="207"/>
        <v/>
      </c>
      <c r="SBP83" s="248" t="str">
        <f t="shared" si="207"/>
        <v/>
      </c>
      <c r="SBQ83" s="248" t="str">
        <f t="shared" si="207"/>
        <v/>
      </c>
      <c r="SBR83" s="248" t="str">
        <f t="shared" si="207"/>
        <v/>
      </c>
      <c r="SBS83" s="248" t="str">
        <f t="shared" si="207"/>
        <v/>
      </c>
      <c r="SBT83" s="248" t="str">
        <f t="shared" si="207"/>
        <v/>
      </c>
      <c r="SBU83" s="248" t="str">
        <f t="shared" si="207"/>
        <v/>
      </c>
      <c r="SBV83" s="248" t="str">
        <f t="shared" si="207"/>
        <v/>
      </c>
      <c r="SBW83" s="248" t="str">
        <f t="shared" si="207"/>
        <v/>
      </c>
      <c r="SBX83" s="248" t="str">
        <f t="shared" si="207"/>
        <v/>
      </c>
      <c r="SBY83" s="248" t="str">
        <f t="shared" si="207"/>
        <v/>
      </c>
      <c r="SBZ83" s="248" t="str">
        <f t="shared" si="207"/>
        <v/>
      </c>
      <c r="SCA83" s="248" t="str">
        <f t="shared" si="207"/>
        <v/>
      </c>
      <c r="SCB83" s="248" t="str">
        <f t="shared" si="207"/>
        <v/>
      </c>
      <c r="SCC83" s="248" t="str">
        <f t="shared" si="207"/>
        <v/>
      </c>
      <c r="SCD83" s="248" t="str">
        <f t="shared" si="207"/>
        <v/>
      </c>
      <c r="SCE83" s="248" t="str">
        <f t="shared" si="207"/>
        <v/>
      </c>
      <c r="SCF83" s="248" t="str">
        <f t="shared" si="207"/>
        <v/>
      </c>
      <c r="SCG83" s="248" t="str">
        <f t="shared" si="207"/>
        <v/>
      </c>
      <c r="SCH83" s="248" t="str">
        <f t="shared" si="207"/>
        <v/>
      </c>
      <c r="SCI83" s="248" t="str">
        <f t="shared" si="207"/>
        <v/>
      </c>
      <c r="SCJ83" s="248" t="str">
        <f t="shared" si="207"/>
        <v/>
      </c>
      <c r="SCK83" s="248" t="str">
        <f t="shared" si="207"/>
        <v/>
      </c>
      <c r="SCL83" s="248" t="str">
        <f t="shared" si="207"/>
        <v/>
      </c>
      <c r="SCM83" s="248" t="str">
        <f t="shared" si="207"/>
        <v/>
      </c>
      <c r="SCN83" s="248" t="str">
        <f t="shared" si="207"/>
        <v/>
      </c>
      <c r="SCO83" s="248" t="str">
        <f t="shared" si="207"/>
        <v/>
      </c>
      <c r="SCP83" s="248" t="str">
        <f t="shared" si="207"/>
        <v/>
      </c>
      <c r="SCQ83" s="248" t="str">
        <f t="shared" si="207"/>
        <v/>
      </c>
      <c r="SCR83" s="248" t="str">
        <f t="shared" si="207"/>
        <v/>
      </c>
      <c r="SCS83" s="248" t="str">
        <f t="shared" si="207"/>
        <v/>
      </c>
      <c r="SCT83" s="248" t="str">
        <f t="shared" si="207"/>
        <v/>
      </c>
      <c r="SCU83" s="248" t="str">
        <f t="shared" si="207"/>
        <v/>
      </c>
      <c r="SCV83" s="248" t="str">
        <f t="shared" si="207"/>
        <v/>
      </c>
      <c r="SCW83" s="248" t="str">
        <f t="shared" si="207"/>
        <v/>
      </c>
      <c r="SCX83" s="248" t="str">
        <f t="shared" si="207"/>
        <v/>
      </c>
      <c r="SCY83" s="248" t="str">
        <f t="shared" si="207"/>
        <v/>
      </c>
      <c r="SCZ83" s="248" t="str">
        <f t="shared" si="207"/>
        <v/>
      </c>
      <c r="SDA83" s="248" t="str">
        <f t="shared" si="207"/>
        <v/>
      </c>
      <c r="SDB83" s="248" t="str">
        <f t="shared" si="207"/>
        <v/>
      </c>
      <c r="SDC83" s="248" t="str">
        <f t="shared" si="207"/>
        <v/>
      </c>
      <c r="SDD83" s="248" t="str">
        <f t="shared" si="207"/>
        <v/>
      </c>
      <c r="SDE83" s="248" t="str">
        <f t="shared" si="207"/>
        <v/>
      </c>
      <c r="SDF83" s="248" t="str">
        <f t="shared" si="207"/>
        <v/>
      </c>
      <c r="SDG83" s="248" t="str">
        <f t="shared" si="207"/>
        <v/>
      </c>
      <c r="SDH83" s="248" t="str">
        <f t="shared" si="207"/>
        <v/>
      </c>
      <c r="SDI83" s="248" t="str">
        <f t="shared" si="207"/>
        <v/>
      </c>
      <c r="SDJ83" s="248" t="str">
        <f t="shared" si="207"/>
        <v/>
      </c>
      <c r="SDK83" s="248" t="str">
        <f t="shared" ref="SDK83:SFV83" si="208">UPPER(SDI83)</f>
        <v/>
      </c>
      <c r="SDL83" s="248" t="str">
        <f t="shared" si="208"/>
        <v/>
      </c>
      <c r="SDM83" s="248" t="str">
        <f t="shared" si="208"/>
        <v/>
      </c>
      <c r="SDN83" s="248" t="str">
        <f t="shared" si="208"/>
        <v/>
      </c>
      <c r="SDO83" s="248" t="str">
        <f t="shared" si="208"/>
        <v/>
      </c>
      <c r="SDP83" s="248" t="str">
        <f t="shared" si="208"/>
        <v/>
      </c>
      <c r="SDQ83" s="248" t="str">
        <f t="shared" si="208"/>
        <v/>
      </c>
      <c r="SDR83" s="248" t="str">
        <f t="shared" si="208"/>
        <v/>
      </c>
      <c r="SDS83" s="248" t="str">
        <f t="shared" si="208"/>
        <v/>
      </c>
      <c r="SDT83" s="248" t="str">
        <f t="shared" si="208"/>
        <v/>
      </c>
      <c r="SDU83" s="248" t="str">
        <f t="shared" si="208"/>
        <v/>
      </c>
      <c r="SDV83" s="248" t="str">
        <f t="shared" si="208"/>
        <v/>
      </c>
      <c r="SDW83" s="248" t="str">
        <f t="shared" si="208"/>
        <v/>
      </c>
      <c r="SDX83" s="248" t="str">
        <f t="shared" si="208"/>
        <v/>
      </c>
      <c r="SDY83" s="248" t="str">
        <f t="shared" si="208"/>
        <v/>
      </c>
      <c r="SDZ83" s="248" t="str">
        <f t="shared" si="208"/>
        <v/>
      </c>
      <c r="SEA83" s="248" t="str">
        <f t="shared" si="208"/>
        <v/>
      </c>
      <c r="SEB83" s="248" t="str">
        <f t="shared" si="208"/>
        <v/>
      </c>
      <c r="SEC83" s="248" t="str">
        <f t="shared" si="208"/>
        <v/>
      </c>
      <c r="SED83" s="248" t="str">
        <f t="shared" si="208"/>
        <v/>
      </c>
      <c r="SEE83" s="248" t="str">
        <f t="shared" si="208"/>
        <v/>
      </c>
      <c r="SEF83" s="248" t="str">
        <f t="shared" si="208"/>
        <v/>
      </c>
      <c r="SEG83" s="248" t="str">
        <f t="shared" si="208"/>
        <v/>
      </c>
      <c r="SEH83" s="248" t="str">
        <f t="shared" si="208"/>
        <v/>
      </c>
      <c r="SEI83" s="248" t="str">
        <f t="shared" si="208"/>
        <v/>
      </c>
      <c r="SEJ83" s="248" t="str">
        <f t="shared" si="208"/>
        <v/>
      </c>
      <c r="SEK83" s="248" t="str">
        <f t="shared" si="208"/>
        <v/>
      </c>
      <c r="SEL83" s="248" t="str">
        <f t="shared" si="208"/>
        <v/>
      </c>
      <c r="SEM83" s="248" t="str">
        <f t="shared" si="208"/>
        <v/>
      </c>
      <c r="SEN83" s="248" t="str">
        <f t="shared" si="208"/>
        <v/>
      </c>
      <c r="SEO83" s="248" t="str">
        <f t="shared" si="208"/>
        <v/>
      </c>
      <c r="SEP83" s="248" t="str">
        <f t="shared" si="208"/>
        <v/>
      </c>
      <c r="SEQ83" s="248" t="str">
        <f t="shared" si="208"/>
        <v/>
      </c>
      <c r="SER83" s="248" t="str">
        <f t="shared" si="208"/>
        <v/>
      </c>
      <c r="SES83" s="248" t="str">
        <f t="shared" si="208"/>
        <v/>
      </c>
      <c r="SET83" s="248" t="str">
        <f t="shared" si="208"/>
        <v/>
      </c>
      <c r="SEU83" s="248" t="str">
        <f t="shared" si="208"/>
        <v/>
      </c>
      <c r="SEV83" s="248" t="str">
        <f t="shared" si="208"/>
        <v/>
      </c>
      <c r="SEW83" s="248" t="str">
        <f t="shared" si="208"/>
        <v/>
      </c>
      <c r="SEX83" s="248" t="str">
        <f t="shared" si="208"/>
        <v/>
      </c>
      <c r="SEY83" s="248" t="str">
        <f t="shared" si="208"/>
        <v/>
      </c>
      <c r="SEZ83" s="248" t="str">
        <f t="shared" si="208"/>
        <v/>
      </c>
      <c r="SFA83" s="248" t="str">
        <f t="shared" si="208"/>
        <v/>
      </c>
      <c r="SFB83" s="248" t="str">
        <f t="shared" si="208"/>
        <v/>
      </c>
      <c r="SFC83" s="248" t="str">
        <f t="shared" si="208"/>
        <v/>
      </c>
      <c r="SFD83" s="248" t="str">
        <f t="shared" si="208"/>
        <v/>
      </c>
      <c r="SFE83" s="248" t="str">
        <f t="shared" si="208"/>
        <v/>
      </c>
      <c r="SFF83" s="248" t="str">
        <f t="shared" si="208"/>
        <v/>
      </c>
      <c r="SFG83" s="248" t="str">
        <f t="shared" si="208"/>
        <v/>
      </c>
      <c r="SFH83" s="248" t="str">
        <f t="shared" si="208"/>
        <v/>
      </c>
      <c r="SFI83" s="248" t="str">
        <f t="shared" si="208"/>
        <v/>
      </c>
      <c r="SFJ83" s="248" t="str">
        <f t="shared" si="208"/>
        <v/>
      </c>
      <c r="SFK83" s="248" t="str">
        <f t="shared" si="208"/>
        <v/>
      </c>
      <c r="SFL83" s="248" t="str">
        <f t="shared" si="208"/>
        <v/>
      </c>
      <c r="SFM83" s="248" t="str">
        <f t="shared" si="208"/>
        <v/>
      </c>
      <c r="SFN83" s="248" t="str">
        <f t="shared" si="208"/>
        <v/>
      </c>
      <c r="SFO83" s="248" t="str">
        <f t="shared" si="208"/>
        <v/>
      </c>
      <c r="SFP83" s="248" t="str">
        <f t="shared" si="208"/>
        <v/>
      </c>
      <c r="SFQ83" s="248" t="str">
        <f t="shared" si="208"/>
        <v/>
      </c>
      <c r="SFR83" s="248" t="str">
        <f t="shared" si="208"/>
        <v/>
      </c>
      <c r="SFS83" s="248" t="str">
        <f t="shared" si="208"/>
        <v/>
      </c>
      <c r="SFT83" s="248" t="str">
        <f t="shared" si="208"/>
        <v/>
      </c>
      <c r="SFU83" s="248" t="str">
        <f t="shared" si="208"/>
        <v/>
      </c>
      <c r="SFV83" s="248" t="str">
        <f t="shared" si="208"/>
        <v/>
      </c>
      <c r="SFW83" s="248" t="str">
        <f t="shared" ref="SFW83:SIH83" si="209">UPPER(SFU83)</f>
        <v/>
      </c>
      <c r="SFX83" s="248" t="str">
        <f t="shared" si="209"/>
        <v/>
      </c>
      <c r="SFY83" s="248" t="str">
        <f t="shared" si="209"/>
        <v/>
      </c>
      <c r="SFZ83" s="248" t="str">
        <f t="shared" si="209"/>
        <v/>
      </c>
      <c r="SGA83" s="248" t="str">
        <f t="shared" si="209"/>
        <v/>
      </c>
      <c r="SGB83" s="248" t="str">
        <f t="shared" si="209"/>
        <v/>
      </c>
      <c r="SGC83" s="248" t="str">
        <f t="shared" si="209"/>
        <v/>
      </c>
      <c r="SGD83" s="248" t="str">
        <f t="shared" si="209"/>
        <v/>
      </c>
      <c r="SGE83" s="248" t="str">
        <f t="shared" si="209"/>
        <v/>
      </c>
      <c r="SGF83" s="248" t="str">
        <f t="shared" si="209"/>
        <v/>
      </c>
      <c r="SGG83" s="248" t="str">
        <f t="shared" si="209"/>
        <v/>
      </c>
      <c r="SGH83" s="248" t="str">
        <f t="shared" si="209"/>
        <v/>
      </c>
      <c r="SGI83" s="248" t="str">
        <f t="shared" si="209"/>
        <v/>
      </c>
      <c r="SGJ83" s="248" t="str">
        <f t="shared" si="209"/>
        <v/>
      </c>
      <c r="SGK83" s="248" t="str">
        <f t="shared" si="209"/>
        <v/>
      </c>
      <c r="SGL83" s="248" t="str">
        <f t="shared" si="209"/>
        <v/>
      </c>
      <c r="SGM83" s="248" t="str">
        <f t="shared" si="209"/>
        <v/>
      </c>
      <c r="SGN83" s="248" t="str">
        <f t="shared" si="209"/>
        <v/>
      </c>
      <c r="SGO83" s="248" t="str">
        <f t="shared" si="209"/>
        <v/>
      </c>
      <c r="SGP83" s="248" t="str">
        <f t="shared" si="209"/>
        <v/>
      </c>
      <c r="SGQ83" s="248" t="str">
        <f t="shared" si="209"/>
        <v/>
      </c>
      <c r="SGR83" s="248" t="str">
        <f t="shared" si="209"/>
        <v/>
      </c>
      <c r="SGS83" s="248" t="str">
        <f t="shared" si="209"/>
        <v/>
      </c>
      <c r="SGT83" s="248" t="str">
        <f t="shared" si="209"/>
        <v/>
      </c>
      <c r="SGU83" s="248" t="str">
        <f t="shared" si="209"/>
        <v/>
      </c>
      <c r="SGV83" s="248" t="str">
        <f t="shared" si="209"/>
        <v/>
      </c>
      <c r="SGW83" s="248" t="str">
        <f t="shared" si="209"/>
        <v/>
      </c>
      <c r="SGX83" s="248" t="str">
        <f t="shared" si="209"/>
        <v/>
      </c>
      <c r="SGY83" s="248" t="str">
        <f t="shared" si="209"/>
        <v/>
      </c>
      <c r="SGZ83" s="248" t="str">
        <f t="shared" si="209"/>
        <v/>
      </c>
      <c r="SHA83" s="248" t="str">
        <f t="shared" si="209"/>
        <v/>
      </c>
      <c r="SHB83" s="248" t="str">
        <f t="shared" si="209"/>
        <v/>
      </c>
      <c r="SHC83" s="248" t="str">
        <f t="shared" si="209"/>
        <v/>
      </c>
      <c r="SHD83" s="248" t="str">
        <f t="shared" si="209"/>
        <v/>
      </c>
      <c r="SHE83" s="248" t="str">
        <f t="shared" si="209"/>
        <v/>
      </c>
      <c r="SHF83" s="248" t="str">
        <f t="shared" si="209"/>
        <v/>
      </c>
      <c r="SHG83" s="248" t="str">
        <f t="shared" si="209"/>
        <v/>
      </c>
      <c r="SHH83" s="248" t="str">
        <f t="shared" si="209"/>
        <v/>
      </c>
      <c r="SHI83" s="248" t="str">
        <f t="shared" si="209"/>
        <v/>
      </c>
      <c r="SHJ83" s="248" t="str">
        <f t="shared" si="209"/>
        <v/>
      </c>
      <c r="SHK83" s="248" t="str">
        <f t="shared" si="209"/>
        <v/>
      </c>
      <c r="SHL83" s="248" t="str">
        <f t="shared" si="209"/>
        <v/>
      </c>
      <c r="SHM83" s="248" t="str">
        <f t="shared" si="209"/>
        <v/>
      </c>
      <c r="SHN83" s="248" t="str">
        <f t="shared" si="209"/>
        <v/>
      </c>
      <c r="SHO83" s="248" t="str">
        <f t="shared" si="209"/>
        <v/>
      </c>
      <c r="SHP83" s="248" t="str">
        <f t="shared" si="209"/>
        <v/>
      </c>
      <c r="SHQ83" s="248" t="str">
        <f t="shared" si="209"/>
        <v/>
      </c>
      <c r="SHR83" s="248" t="str">
        <f t="shared" si="209"/>
        <v/>
      </c>
      <c r="SHS83" s="248" t="str">
        <f t="shared" si="209"/>
        <v/>
      </c>
      <c r="SHT83" s="248" t="str">
        <f t="shared" si="209"/>
        <v/>
      </c>
      <c r="SHU83" s="248" t="str">
        <f t="shared" si="209"/>
        <v/>
      </c>
      <c r="SHV83" s="248" t="str">
        <f t="shared" si="209"/>
        <v/>
      </c>
      <c r="SHW83" s="248" t="str">
        <f t="shared" si="209"/>
        <v/>
      </c>
      <c r="SHX83" s="248" t="str">
        <f t="shared" si="209"/>
        <v/>
      </c>
      <c r="SHY83" s="248" t="str">
        <f t="shared" si="209"/>
        <v/>
      </c>
      <c r="SHZ83" s="248" t="str">
        <f t="shared" si="209"/>
        <v/>
      </c>
      <c r="SIA83" s="248" t="str">
        <f t="shared" si="209"/>
        <v/>
      </c>
      <c r="SIB83" s="248" t="str">
        <f t="shared" si="209"/>
        <v/>
      </c>
      <c r="SIC83" s="248" t="str">
        <f t="shared" si="209"/>
        <v/>
      </c>
      <c r="SID83" s="248" t="str">
        <f t="shared" si="209"/>
        <v/>
      </c>
      <c r="SIE83" s="248" t="str">
        <f t="shared" si="209"/>
        <v/>
      </c>
      <c r="SIF83" s="248" t="str">
        <f t="shared" si="209"/>
        <v/>
      </c>
      <c r="SIG83" s="248" t="str">
        <f t="shared" si="209"/>
        <v/>
      </c>
      <c r="SIH83" s="248" t="str">
        <f t="shared" si="209"/>
        <v/>
      </c>
      <c r="SII83" s="248" t="str">
        <f t="shared" ref="SII83:SKT83" si="210">UPPER(SIG83)</f>
        <v/>
      </c>
      <c r="SIJ83" s="248" t="str">
        <f t="shared" si="210"/>
        <v/>
      </c>
      <c r="SIK83" s="248" t="str">
        <f t="shared" si="210"/>
        <v/>
      </c>
      <c r="SIL83" s="248" t="str">
        <f t="shared" si="210"/>
        <v/>
      </c>
      <c r="SIM83" s="248" t="str">
        <f t="shared" si="210"/>
        <v/>
      </c>
      <c r="SIN83" s="248" t="str">
        <f t="shared" si="210"/>
        <v/>
      </c>
      <c r="SIO83" s="248" t="str">
        <f t="shared" si="210"/>
        <v/>
      </c>
      <c r="SIP83" s="248" t="str">
        <f t="shared" si="210"/>
        <v/>
      </c>
      <c r="SIQ83" s="248" t="str">
        <f t="shared" si="210"/>
        <v/>
      </c>
      <c r="SIR83" s="248" t="str">
        <f t="shared" si="210"/>
        <v/>
      </c>
      <c r="SIS83" s="248" t="str">
        <f t="shared" si="210"/>
        <v/>
      </c>
      <c r="SIT83" s="248" t="str">
        <f t="shared" si="210"/>
        <v/>
      </c>
      <c r="SIU83" s="248" t="str">
        <f t="shared" si="210"/>
        <v/>
      </c>
      <c r="SIV83" s="248" t="str">
        <f t="shared" si="210"/>
        <v/>
      </c>
      <c r="SIW83" s="248" t="str">
        <f t="shared" si="210"/>
        <v/>
      </c>
      <c r="SIX83" s="248" t="str">
        <f t="shared" si="210"/>
        <v/>
      </c>
      <c r="SIY83" s="248" t="str">
        <f t="shared" si="210"/>
        <v/>
      </c>
      <c r="SIZ83" s="248" t="str">
        <f t="shared" si="210"/>
        <v/>
      </c>
      <c r="SJA83" s="248" t="str">
        <f t="shared" si="210"/>
        <v/>
      </c>
      <c r="SJB83" s="248" t="str">
        <f t="shared" si="210"/>
        <v/>
      </c>
      <c r="SJC83" s="248" t="str">
        <f t="shared" si="210"/>
        <v/>
      </c>
      <c r="SJD83" s="248" t="str">
        <f t="shared" si="210"/>
        <v/>
      </c>
      <c r="SJE83" s="248" t="str">
        <f t="shared" si="210"/>
        <v/>
      </c>
      <c r="SJF83" s="248" t="str">
        <f t="shared" si="210"/>
        <v/>
      </c>
      <c r="SJG83" s="248" t="str">
        <f t="shared" si="210"/>
        <v/>
      </c>
      <c r="SJH83" s="248" t="str">
        <f t="shared" si="210"/>
        <v/>
      </c>
      <c r="SJI83" s="248" t="str">
        <f t="shared" si="210"/>
        <v/>
      </c>
      <c r="SJJ83" s="248" t="str">
        <f t="shared" si="210"/>
        <v/>
      </c>
      <c r="SJK83" s="248" t="str">
        <f t="shared" si="210"/>
        <v/>
      </c>
      <c r="SJL83" s="248" t="str">
        <f t="shared" si="210"/>
        <v/>
      </c>
      <c r="SJM83" s="248" t="str">
        <f t="shared" si="210"/>
        <v/>
      </c>
      <c r="SJN83" s="248" t="str">
        <f t="shared" si="210"/>
        <v/>
      </c>
      <c r="SJO83" s="248" t="str">
        <f t="shared" si="210"/>
        <v/>
      </c>
      <c r="SJP83" s="248" t="str">
        <f t="shared" si="210"/>
        <v/>
      </c>
      <c r="SJQ83" s="248" t="str">
        <f t="shared" si="210"/>
        <v/>
      </c>
      <c r="SJR83" s="248" t="str">
        <f t="shared" si="210"/>
        <v/>
      </c>
      <c r="SJS83" s="248" t="str">
        <f t="shared" si="210"/>
        <v/>
      </c>
      <c r="SJT83" s="248" t="str">
        <f t="shared" si="210"/>
        <v/>
      </c>
      <c r="SJU83" s="248" t="str">
        <f t="shared" si="210"/>
        <v/>
      </c>
      <c r="SJV83" s="248" t="str">
        <f t="shared" si="210"/>
        <v/>
      </c>
      <c r="SJW83" s="248" t="str">
        <f t="shared" si="210"/>
        <v/>
      </c>
      <c r="SJX83" s="248" t="str">
        <f t="shared" si="210"/>
        <v/>
      </c>
      <c r="SJY83" s="248" t="str">
        <f t="shared" si="210"/>
        <v/>
      </c>
      <c r="SJZ83" s="248" t="str">
        <f t="shared" si="210"/>
        <v/>
      </c>
      <c r="SKA83" s="248" t="str">
        <f t="shared" si="210"/>
        <v/>
      </c>
      <c r="SKB83" s="248" t="str">
        <f t="shared" si="210"/>
        <v/>
      </c>
      <c r="SKC83" s="248" t="str">
        <f t="shared" si="210"/>
        <v/>
      </c>
      <c r="SKD83" s="248" t="str">
        <f t="shared" si="210"/>
        <v/>
      </c>
      <c r="SKE83" s="248" t="str">
        <f t="shared" si="210"/>
        <v/>
      </c>
      <c r="SKF83" s="248" t="str">
        <f t="shared" si="210"/>
        <v/>
      </c>
      <c r="SKG83" s="248" t="str">
        <f t="shared" si="210"/>
        <v/>
      </c>
      <c r="SKH83" s="248" t="str">
        <f t="shared" si="210"/>
        <v/>
      </c>
      <c r="SKI83" s="248" t="str">
        <f t="shared" si="210"/>
        <v/>
      </c>
      <c r="SKJ83" s="248" t="str">
        <f t="shared" si="210"/>
        <v/>
      </c>
      <c r="SKK83" s="248" t="str">
        <f t="shared" si="210"/>
        <v/>
      </c>
      <c r="SKL83" s="248" t="str">
        <f t="shared" si="210"/>
        <v/>
      </c>
      <c r="SKM83" s="248" t="str">
        <f t="shared" si="210"/>
        <v/>
      </c>
      <c r="SKN83" s="248" t="str">
        <f t="shared" si="210"/>
        <v/>
      </c>
      <c r="SKO83" s="248" t="str">
        <f t="shared" si="210"/>
        <v/>
      </c>
      <c r="SKP83" s="248" t="str">
        <f t="shared" si="210"/>
        <v/>
      </c>
      <c r="SKQ83" s="248" t="str">
        <f t="shared" si="210"/>
        <v/>
      </c>
      <c r="SKR83" s="248" t="str">
        <f t="shared" si="210"/>
        <v/>
      </c>
      <c r="SKS83" s="248" t="str">
        <f t="shared" si="210"/>
        <v/>
      </c>
      <c r="SKT83" s="248" t="str">
        <f t="shared" si="210"/>
        <v/>
      </c>
      <c r="SKU83" s="248" t="str">
        <f t="shared" ref="SKU83:SNF83" si="211">UPPER(SKS83)</f>
        <v/>
      </c>
      <c r="SKV83" s="248" t="str">
        <f t="shared" si="211"/>
        <v/>
      </c>
      <c r="SKW83" s="248" t="str">
        <f t="shared" si="211"/>
        <v/>
      </c>
      <c r="SKX83" s="248" t="str">
        <f t="shared" si="211"/>
        <v/>
      </c>
      <c r="SKY83" s="248" t="str">
        <f t="shared" si="211"/>
        <v/>
      </c>
      <c r="SKZ83" s="248" t="str">
        <f t="shared" si="211"/>
        <v/>
      </c>
      <c r="SLA83" s="248" t="str">
        <f t="shared" si="211"/>
        <v/>
      </c>
      <c r="SLB83" s="248" t="str">
        <f t="shared" si="211"/>
        <v/>
      </c>
      <c r="SLC83" s="248" t="str">
        <f t="shared" si="211"/>
        <v/>
      </c>
      <c r="SLD83" s="248" t="str">
        <f t="shared" si="211"/>
        <v/>
      </c>
      <c r="SLE83" s="248" t="str">
        <f t="shared" si="211"/>
        <v/>
      </c>
      <c r="SLF83" s="248" t="str">
        <f t="shared" si="211"/>
        <v/>
      </c>
      <c r="SLG83" s="248" t="str">
        <f t="shared" si="211"/>
        <v/>
      </c>
      <c r="SLH83" s="248" t="str">
        <f t="shared" si="211"/>
        <v/>
      </c>
      <c r="SLI83" s="248" t="str">
        <f t="shared" si="211"/>
        <v/>
      </c>
      <c r="SLJ83" s="248" t="str">
        <f t="shared" si="211"/>
        <v/>
      </c>
      <c r="SLK83" s="248" t="str">
        <f t="shared" si="211"/>
        <v/>
      </c>
      <c r="SLL83" s="248" t="str">
        <f t="shared" si="211"/>
        <v/>
      </c>
      <c r="SLM83" s="248" t="str">
        <f t="shared" si="211"/>
        <v/>
      </c>
      <c r="SLN83" s="248" t="str">
        <f t="shared" si="211"/>
        <v/>
      </c>
      <c r="SLO83" s="248" t="str">
        <f t="shared" si="211"/>
        <v/>
      </c>
      <c r="SLP83" s="248" t="str">
        <f t="shared" si="211"/>
        <v/>
      </c>
      <c r="SLQ83" s="248" t="str">
        <f t="shared" si="211"/>
        <v/>
      </c>
      <c r="SLR83" s="248" t="str">
        <f t="shared" si="211"/>
        <v/>
      </c>
      <c r="SLS83" s="248" t="str">
        <f t="shared" si="211"/>
        <v/>
      </c>
      <c r="SLT83" s="248" t="str">
        <f t="shared" si="211"/>
        <v/>
      </c>
      <c r="SLU83" s="248" t="str">
        <f t="shared" si="211"/>
        <v/>
      </c>
      <c r="SLV83" s="248" t="str">
        <f t="shared" si="211"/>
        <v/>
      </c>
      <c r="SLW83" s="248" t="str">
        <f t="shared" si="211"/>
        <v/>
      </c>
      <c r="SLX83" s="248" t="str">
        <f t="shared" si="211"/>
        <v/>
      </c>
      <c r="SLY83" s="248" t="str">
        <f t="shared" si="211"/>
        <v/>
      </c>
      <c r="SLZ83" s="248" t="str">
        <f t="shared" si="211"/>
        <v/>
      </c>
      <c r="SMA83" s="248" t="str">
        <f t="shared" si="211"/>
        <v/>
      </c>
      <c r="SMB83" s="248" t="str">
        <f t="shared" si="211"/>
        <v/>
      </c>
      <c r="SMC83" s="248" t="str">
        <f t="shared" si="211"/>
        <v/>
      </c>
      <c r="SMD83" s="248" t="str">
        <f t="shared" si="211"/>
        <v/>
      </c>
      <c r="SME83" s="248" t="str">
        <f t="shared" si="211"/>
        <v/>
      </c>
      <c r="SMF83" s="248" t="str">
        <f t="shared" si="211"/>
        <v/>
      </c>
      <c r="SMG83" s="248" t="str">
        <f t="shared" si="211"/>
        <v/>
      </c>
      <c r="SMH83" s="248" t="str">
        <f t="shared" si="211"/>
        <v/>
      </c>
      <c r="SMI83" s="248" t="str">
        <f t="shared" si="211"/>
        <v/>
      </c>
      <c r="SMJ83" s="248" t="str">
        <f t="shared" si="211"/>
        <v/>
      </c>
      <c r="SMK83" s="248" t="str">
        <f t="shared" si="211"/>
        <v/>
      </c>
      <c r="SML83" s="248" t="str">
        <f t="shared" si="211"/>
        <v/>
      </c>
      <c r="SMM83" s="248" t="str">
        <f t="shared" si="211"/>
        <v/>
      </c>
      <c r="SMN83" s="248" t="str">
        <f t="shared" si="211"/>
        <v/>
      </c>
      <c r="SMO83" s="248" t="str">
        <f t="shared" si="211"/>
        <v/>
      </c>
      <c r="SMP83" s="248" t="str">
        <f t="shared" si="211"/>
        <v/>
      </c>
      <c r="SMQ83" s="248" t="str">
        <f t="shared" si="211"/>
        <v/>
      </c>
      <c r="SMR83" s="248" t="str">
        <f t="shared" si="211"/>
        <v/>
      </c>
      <c r="SMS83" s="248" t="str">
        <f t="shared" si="211"/>
        <v/>
      </c>
      <c r="SMT83" s="248" t="str">
        <f t="shared" si="211"/>
        <v/>
      </c>
      <c r="SMU83" s="248" t="str">
        <f t="shared" si="211"/>
        <v/>
      </c>
      <c r="SMV83" s="248" t="str">
        <f t="shared" si="211"/>
        <v/>
      </c>
      <c r="SMW83" s="248" t="str">
        <f t="shared" si="211"/>
        <v/>
      </c>
      <c r="SMX83" s="248" t="str">
        <f t="shared" si="211"/>
        <v/>
      </c>
      <c r="SMY83" s="248" t="str">
        <f t="shared" si="211"/>
        <v/>
      </c>
      <c r="SMZ83" s="248" t="str">
        <f t="shared" si="211"/>
        <v/>
      </c>
      <c r="SNA83" s="248" t="str">
        <f t="shared" si="211"/>
        <v/>
      </c>
      <c r="SNB83" s="248" t="str">
        <f t="shared" si="211"/>
        <v/>
      </c>
      <c r="SNC83" s="248" t="str">
        <f t="shared" si="211"/>
        <v/>
      </c>
      <c r="SND83" s="248" t="str">
        <f t="shared" si="211"/>
        <v/>
      </c>
      <c r="SNE83" s="248" t="str">
        <f t="shared" si="211"/>
        <v/>
      </c>
      <c r="SNF83" s="248" t="str">
        <f t="shared" si="211"/>
        <v/>
      </c>
      <c r="SNG83" s="248" t="str">
        <f t="shared" ref="SNG83:SPR83" si="212">UPPER(SNE83)</f>
        <v/>
      </c>
      <c r="SNH83" s="248" t="str">
        <f t="shared" si="212"/>
        <v/>
      </c>
      <c r="SNI83" s="248" t="str">
        <f t="shared" si="212"/>
        <v/>
      </c>
      <c r="SNJ83" s="248" t="str">
        <f t="shared" si="212"/>
        <v/>
      </c>
      <c r="SNK83" s="248" t="str">
        <f t="shared" si="212"/>
        <v/>
      </c>
      <c r="SNL83" s="248" t="str">
        <f t="shared" si="212"/>
        <v/>
      </c>
      <c r="SNM83" s="248" t="str">
        <f t="shared" si="212"/>
        <v/>
      </c>
      <c r="SNN83" s="248" t="str">
        <f t="shared" si="212"/>
        <v/>
      </c>
      <c r="SNO83" s="248" t="str">
        <f t="shared" si="212"/>
        <v/>
      </c>
      <c r="SNP83" s="248" t="str">
        <f t="shared" si="212"/>
        <v/>
      </c>
      <c r="SNQ83" s="248" t="str">
        <f t="shared" si="212"/>
        <v/>
      </c>
      <c r="SNR83" s="248" t="str">
        <f t="shared" si="212"/>
        <v/>
      </c>
      <c r="SNS83" s="248" t="str">
        <f t="shared" si="212"/>
        <v/>
      </c>
      <c r="SNT83" s="248" t="str">
        <f t="shared" si="212"/>
        <v/>
      </c>
      <c r="SNU83" s="248" t="str">
        <f t="shared" si="212"/>
        <v/>
      </c>
      <c r="SNV83" s="248" t="str">
        <f t="shared" si="212"/>
        <v/>
      </c>
      <c r="SNW83" s="248" t="str">
        <f t="shared" si="212"/>
        <v/>
      </c>
      <c r="SNX83" s="248" t="str">
        <f t="shared" si="212"/>
        <v/>
      </c>
      <c r="SNY83" s="248" t="str">
        <f t="shared" si="212"/>
        <v/>
      </c>
      <c r="SNZ83" s="248" t="str">
        <f t="shared" si="212"/>
        <v/>
      </c>
      <c r="SOA83" s="248" t="str">
        <f t="shared" si="212"/>
        <v/>
      </c>
      <c r="SOB83" s="248" t="str">
        <f t="shared" si="212"/>
        <v/>
      </c>
      <c r="SOC83" s="248" t="str">
        <f t="shared" si="212"/>
        <v/>
      </c>
      <c r="SOD83" s="248" t="str">
        <f t="shared" si="212"/>
        <v/>
      </c>
      <c r="SOE83" s="248" t="str">
        <f t="shared" si="212"/>
        <v/>
      </c>
      <c r="SOF83" s="248" t="str">
        <f t="shared" si="212"/>
        <v/>
      </c>
      <c r="SOG83" s="248" t="str">
        <f t="shared" si="212"/>
        <v/>
      </c>
      <c r="SOH83" s="248" t="str">
        <f t="shared" si="212"/>
        <v/>
      </c>
      <c r="SOI83" s="248" t="str">
        <f t="shared" si="212"/>
        <v/>
      </c>
      <c r="SOJ83" s="248" t="str">
        <f t="shared" si="212"/>
        <v/>
      </c>
      <c r="SOK83" s="248" t="str">
        <f t="shared" si="212"/>
        <v/>
      </c>
      <c r="SOL83" s="248" t="str">
        <f t="shared" si="212"/>
        <v/>
      </c>
      <c r="SOM83" s="248" t="str">
        <f t="shared" si="212"/>
        <v/>
      </c>
      <c r="SON83" s="248" t="str">
        <f t="shared" si="212"/>
        <v/>
      </c>
      <c r="SOO83" s="248" t="str">
        <f t="shared" si="212"/>
        <v/>
      </c>
      <c r="SOP83" s="248" t="str">
        <f t="shared" si="212"/>
        <v/>
      </c>
      <c r="SOQ83" s="248" t="str">
        <f t="shared" si="212"/>
        <v/>
      </c>
      <c r="SOR83" s="248" t="str">
        <f t="shared" si="212"/>
        <v/>
      </c>
      <c r="SOS83" s="248" t="str">
        <f t="shared" si="212"/>
        <v/>
      </c>
      <c r="SOT83" s="248" t="str">
        <f t="shared" si="212"/>
        <v/>
      </c>
      <c r="SOU83" s="248" t="str">
        <f t="shared" si="212"/>
        <v/>
      </c>
      <c r="SOV83" s="248" t="str">
        <f t="shared" si="212"/>
        <v/>
      </c>
      <c r="SOW83" s="248" t="str">
        <f t="shared" si="212"/>
        <v/>
      </c>
      <c r="SOX83" s="248" t="str">
        <f t="shared" si="212"/>
        <v/>
      </c>
      <c r="SOY83" s="248" t="str">
        <f t="shared" si="212"/>
        <v/>
      </c>
      <c r="SOZ83" s="248" t="str">
        <f t="shared" si="212"/>
        <v/>
      </c>
      <c r="SPA83" s="248" t="str">
        <f t="shared" si="212"/>
        <v/>
      </c>
      <c r="SPB83" s="248" t="str">
        <f t="shared" si="212"/>
        <v/>
      </c>
      <c r="SPC83" s="248" t="str">
        <f t="shared" si="212"/>
        <v/>
      </c>
      <c r="SPD83" s="248" t="str">
        <f t="shared" si="212"/>
        <v/>
      </c>
      <c r="SPE83" s="248" t="str">
        <f t="shared" si="212"/>
        <v/>
      </c>
      <c r="SPF83" s="248" t="str">
        <f t="shared" si="212"/>
        <v/>
      </c>
      <c r="SPG83" s="248" t="str">
        <f t="shared" si="212"/>
        <v/>
      </c>
      <c r="SPH83" s="248" t="str">
        <f t="shared" si="212"/>
        <v/>
      </c>
      <c r="SPI83" s="248" t="str">
        <f t="shared" si="212"/>
        <v/>
      </c>
      <c r="SPJ83" s="248" t="str">
        <f t="shared" si="212"/>
        <v/>
      </c>
      <c r="SPK83" s="248" t="str">
        <f t="shared" si="212"/>
        <v/>
      </c>
      <c r="SPL83" s="248" t="str">
        <f t="shared" si="212"/>
        <v/>
      </c>
      <c r="SPM83" s="248" t="str">
        <f t="shared" si="212"/>
        <v/>
      </c>
      <c r="SPN83" s="248" t="str">
        <f t="shared" si="212"/>
        <v/>
      </c>
      <c r="SPO83" s="248" t="str">
        <f t="shared" si="212"/>
        <v/>
      </c>
      <c r="SPP83" s="248" t="str">
        <f t="shared" si="212"/>
        <v/>
      </c>
      <c r="SPQ83" s="248" t="str">
        <f t="shared" si="212"/>
        <v/>
      </c>
      <c r="SPR83" s="248" t="str">
        <f t="shared" si="212"/>
        <v/>
      </c>
      <c r="SPS83" s="248" t="str">
        <f t="shared" ref="SPS83:SSD83" si="213">UPPER(SPQ83)</f>
        <v/>
      </c>
      <c r="SPT83" s="248" t="str">
        <f t="shared" si="213"/>
        <v/>
      </c>
      <c r="SPU83" s="248" t="str">
        <f t="shared" si="213"/>
        <v/>
      </c>
      <c r="SPV83" s="248" t="str">
        <f t="shared" si="213"/>
        <v/>
      </c>
      <c r="SPW83" s="248" t="str">
        <f t="shared" si="213"/>
        <v/>
      </c>
      <c r="SPX83" s="248" t="str">
        <f t="shared" si="213"/>
        <v/>
      </c>
      <c r="SPY83" s="248" t="str">
        <f t="shared" si="213"/>
        <v/>
      </c>
      <c r="SPZ83" s="248" t="str">
        <f t="shared" si="213"/>
        <v/>
      </c>
      <c r="SQA83" s="248" t="str">
        <f t="shared" si="213"/>
        <v/>
      </c>
      <c r="SQB83" s="248" t="str">
        <f t="shared" si="213"/>
        <v/>
      </c>
      <c r="SQC83" s="248" t="str">
        <f t="shared" si="213"/>
        <v/>
      </c>
      <c r="SQD83" s="248" t="str">
        <f t="shared" si="213"/>
        <v/>
      </c>
      <c r="SQE83" s="248" t="str">
        <f t="shared" si="213"/>
        <v/>
      </c>
      <c r="SQF83" s="248" t="str">
        <f t="shared" si="213"/>
        <v/>
      </c>
      <c r="SQG83" s="248" t="str">
        <f t="shared" si="213"/>
        <v/>
      </c>
      <c r="SQH83" s="248" t="str">
        <f t="shared" si="213"/>
        <v/>
      </c>
      <c r="SQI83" s="248" t="str">
        <f t="shared" si="213"/>
        <v/>
      </c>
      <c r="SQJ83" s="248" t="str">
        <f t="shared" si="213"/>
        <v/>
      </c>
      <c r="SQK83" s="248" t="str">
        <f t="shared" si="213"/>
        <v/>
      </c>
      <c r="SQL83" s="248" t="str">
        <f t="shared" si="213"/>
        <v/>
      </c>
      <c r="SQM83" s="248" t="str">
        <f t="shared" si="213"/>
        <v/>
      </c>
      <c r="SQN83" s="248" t="str">
        <f t="shared" si="213"/>
        <v/>
      </c>
      <c r="SQO83" s="248" t="str">
        <f t="shared" si="213"/>
        <v/>
      </c>
      <c r="SQP83" s="248" t="str">
        <f t="shared" si="213"/>
        <v/>
      </c>
      <c r="SQQ83" s="248" t="str">
        <f t="shared" si="213"/>
        <v/>
      </c>
      <c r="SQR83" s="248" t="str">
        <f t="shared" si="213"/>
        <v/>
      </c>
      <c r="SQS83" s="248" t="str">
        <f t="shared" si="213"/>
        <v/>
      </c>
      <c r="SQT83" s="248" t="str">
        <f t="shared" si="213"/>
        <v/>
      </c>
      <c r="SQU83" s="248" t="str">
        <f t="shared" si="213"/>
        <v/>
      </c>
      <c r="SQV83" s="248" t="str">
        <f t="shared" si="213"/>
        <v/>
      </c>
      <c r="SQW83" s="248" t="str">
        <f t="shared" si="213"/>
        <v/>
      </c>
      <c r="SQX83" s="248" t="str">
        <f t="shared" si="213"/>
        <v/>
      </c>
      <c r="SQY83" s="248" t="str">
        <f t="shared" si="213"/>
        <v/>
      </c>
      <c r="SQZ83" s="248" t="str">
        <f t="shared" si="213"/>
        <v/>
      </c>
      <c r="SRA83" s="248" t="str">
        <f t="shared" si="213"/>
        <v/>
      </c>
      <c r="SRB83" s="248" t="str">
        <f t="shared" si="213"/>
        <v/>
      </c>
      <c r="SRC83" s="248" t="str">
        <f t="shared" si="213"/>
        <v/>
      </c>
      <c r="SRD83" s="248" t="str">
        <f t="shared" si="213"/>
        <v/>
      </c>
      <c r="SRE83" s="248" t="str">
        <f t="shared" si="213"/>
        <v/>
      </c>
      <c r="SRF83" s="248" t="str">
        <f t="shared" si="213"/>
        <v/>
      </c>
      <c r="SRG83" s="248" t="str">
        <f t="shared" si="213"/>
        <v/>
      </c>
      <c r="SRH83" s="248" t="str">
        <f t="shared" si="213"/>
        <v/>
      </c>
      <c r="SRI83" s="248" t="str">
        <f t="shared" si="213"/>
        <v/>
      </c>
      <c r="SRJ83" s="248" t="str">
        <f t="shared" si="213"/>
        <v/>
      </c>
      <c r="SRK83" s="248" t="str">
        <f t="shared" si="213"/>
        <v/>
      </c>
      <c r="SRL83" s="248" t="str">
        <f t="shared" si="213"/>
        <v/>
      </c>
      <c r="SRM83" s="248" t="str">
        <f t="shared" si="213"/>
        <v/>
      </c>
      <c r="SRN83" s="248" t="str">
        <f t="shared" si="213"/>
        <v/>
      </c>
      <c r="SRO83" s="248" t="str">
        <f t="shared" si="213"/>
        <v/>
      </c>
      <c r="SRP83" s="248" t="str">
        <f t="shared" si="213"/>
        <v/>
      </c>
      <c r="SRQ83" s="248" t="str">
        <f t="shared" si="213"/>
        <v/>
      </c>
      <c r="SRR83" s="248" t="str">
        <f t="shared" si="213"/>
        <v/>
      </c>
      <c r="SRS83" s="248" t="str">
        <f t="shared" si="213"/>
        <v/>
      </c>
      <c r="SRT83" s="248" t="str">
        <f t="shared" si="213"/>
        <v/>
      </c>
      <c r="SRU83" s="248" t="str">
        <f t="shared" si="213"/>
        <v/>
      </c>
      <c r="SRV83" s="248" t="str">
        <f t="shared" si="213"/>
        <v/>
      </c>
      <c r="SRW83" s="248" t="str">
        <f t="shared" si="213"/>
        <v/>
      </c>
      <c r="SRX83" s="248" t="str">
        <f t="shared" si="213"/>
        <v/>
      </c>
      <c r="SRY83" s="248" t="str">
        <f t="shared" si="213"/>
        <v/>
      </c>
      <c r="SRZ83" s="248" t="str">
        <f t="shared" si="213"/>
        <v/>
      </c>
      <c r="SSA83" s="248" t="str">
        <f t="shared" si="213"/>
        <v/>
      </c>
      <c r="SSB83" s="248" t="str">
        <f t="shared" si="213"/>
        <v/>
      </c>
      <c r="SSC83" s="248" t="str">
        <f t="shared" si="213"/>
        <v/>
      </c>
      <c r="SSD83" s="248" t="str">
        <f t="shared" si="213"/>
        <v/>
      </c>
      <c r="SSE83" s="248" t="str">
        <f t="shared" ref="SSE83:SUP83" si="214">UPPER(SSC83)</f>
        <v/>
      </c>
      <c r="SSF83" s="248" t="str">
        <f t="shared" si="214"/>
        <v/>
      </c>
      <c r="SSG83" s="248" t="str">
        <f t="shared" si="214"/>
        <v/>
      </c>
      <c r="SSH83" s="248" t="str">
        <f t="shared" si="214"/>
        <v/>
      </c>
      <c r="SSI83" s="248" t="str">
        <f t="shared" si="214"/>
        <v/>
      </c>
      <c r="SSJ83" s="248" t="str">
        <f t="shared" si="214"/>
        <v/>
      </c>
      <c r="SSK83" s="248" t="str">
        <f t="shared" si="214"/>
        <v/>
      </c>
      <c r="SSL83" s="248" t="str">
        <f t="shared" si="214"/>
        <v/>
      </c>
      <c r="SSM83" s="248" t="str">
        <f t="shared" si="214"/>
        <v/>
      </c>
      <c r="SSN83" s="248" t="str">
        <f t="shared" si="214"/>
        <v/>
      </c>
      <c r="SSO83" s="248" t="str">
        <f t="shared" si="214"/>
        <v/>
      </c>
      <c r="SSP83" s="248" t="str">
        <f t="shared" si="214"/>
        <v/>
      </c>
      <c r="SSQ83" s="248" t="str">
        <f t="shared" si="214"/>
        <v/>
      </c>
      <c r="SSR83" s="248" t="str">
        <f t="shared" si="214"/>
        <v/>
      </c>
      <c r="SSS83" s="248" t="str">
        <f t="shared" si="214"/>
        <v/>
      </c>
      <c r="SST83" s="248" t="str">
        <f t="shared" si="214"/>
        <v/>
      </c>
      <c r="SSU83" s="248" t="str">
        <f t="shared" si="214"/>
        <v/>
      </c>
      <c r="SSV83" s="248" t="str">
        <f t="shared" si="214"/>
        <v/>
      </c>
      <c r="SSW83" s="248" t="str">
        <f t="shared" si="214"/>
        <v/>
      </c>
      <c r="SSX83" s="248" t="str">
        <f t="shared" si="214"/>
        <v/>
      </c>
      <c r="SSY83" s="248" t="str">
        <f t="shared" si="214"/>
        <v/>
      </c>
      <c r="SSZ83" s="248" t="str">
        <f t="shared" si="214"/>
        <v/>
      </c>
      <c r="STA83" s="248" t="str">
        <f t="shared" si="214"/>
        <v/>
      </c>
      <c r="STB83" s="248" t="str">
        <f t="shared" si="214"/>
        <v/>
      </c>
      <c r="STC83" s="248" t="str">
        <f t="shared" si="214"/>
        <v/>
      </c>
      <c r="STD83" s="248" t="str">
        <f t="shared" si="214"/>
        <v/>
      </c>
      <c r="STE83" s="248" t="str">
        <f t="shared" si="214"/>
        <v/>
      </c>
      <c r="STF83" s="248" t="str">
        <f t="shared" si="214"/>
        <v/>
      </c>
      <c r="STG83" s="248" t="str">
        <f t="shared" si="214"/>
        <v/>
      </c>
      <c r="STH83" s="248" t="str">
        <f t="shared" si="214"/>
        <v/>
      </c>
      <c r="STI83" s="248" t="str">
        <f t="shared" si="214"/>
        <v/>
      </c>
      <c r="STJ83" s="248" t="str">
        <f t="shared" si="214"/>
        <v/>
      </c>
      <c r="STK83" s="248" t="str">
        <f t="shared" si="214"/>
        <v/>
      </c>
      <c r="STL83" s="248" t="str">
        <f t="shared" si="214"/>
        <v/>
      </c>
      <c r="STM83" s="248" t="str">
        <f t="shared" si="214"/>
        <v/>
      </c>
      <c r="STN83" s="248" t="str">
        <f t="shared" si="214"/>
        <v/>
      </c>
      <c r="STO83" s="248" t="str">
        <f t="shared" si="214"/>
        <v/>
      </c>
      <c r="STP83" s="248" t="str">
        <f t="shared" si="214"/>
        <v/>
      </c>
      <c r="STQ83" s="248" t="str">
        <f t="shared" si="214"/>
        <v/>
      </c>
      <c r="STR83" s="248" t="str">
        <f t="shared" si="214"/>
        <v/>
      </c>
      <c r="STS83" s="248" t="str">
        <f t="shared" si="214"/>
        <v/>
      </c>
      <c r="STT83" s="248" t="str">
        <f t="shared" si="214"/>
        <v/>
      </c>
      <c r="STU83" s="248" t="str">
        <f t="shared" si="214"/>
        <v/>
      </c>
      <c r="STV83" s="248" t="str">
        <f t="shared" si="214"/>
        <v/>
      </c>
      <c r="STW83" s="248" t="str">
        <f t="shared" si="214"/>
        <v/>
      </c>
      <c r="STX83" s="248" t="str">
        <f t="shared" si="214"/>
        <v/>
      </c>
      <c r="STY83" s="248" t="str">
        <f t="shared" si="214"/>
        <v/>
      </c>
      <c r="STZ83" s="248" t="str">
        <f t="shared" si="214"/>
        <v/>
      </c>
      <c r="SUA83" s="248" t="str">
        <f t="shared" si="214"/>
        <v/>
      </c>
      <c r="SUB83" s="248" t="str">
        <f t="shared" si="214"/>
        <v/>
      </c>
      <c r="SUC83" s="248" t="str">
        <f t="shared" si="214"/>
        <v/>
      </c>
      <c r="SUD83" s="248" t="str">
        <f t="shared" si="214"/>
        <v/>
      </c>
      <c r="SUE83" s="248" t="str">
        <f t="shared" si="214"/>
        <v/>
      </c>
      <c r="SUF83" s="248" t="str">
        <f t="shared" si="214"/>
        <v/>
      </c>
      <c r="SUG83" s="248" t="str">
        <f t="shared" si="214"/>
        <v/>
      </c>
      <c r="SUH83" s="248" t="str">
        <f t="shared" si="214"/>
        <v/>
      </c>
      <c r="SUI83" s="248" t="str">
        <f t="shared" si="214"/>
        <v/>
      </c>
      <c r="SUJ83" s="248" t="str">
        <f t="shared" si="214"/>
        <v/>
      </c>
      <c r="SUK83" s="248" t="str">
        <f t="shared" si="214"/>
        <v/>
      </c>
      <c r="SUL83" s="248" t="str">
        <f t="shared" si="214"/>
        <v/>
      </c>
      <c r="SUM83" s="248" t="str">
        <f t="shared" si="214"/>
        <v/>
      </c>
      <c r="SUN83" s="248" t="str">
        <f t="shared" si="214"/>
        <v/>
      </c>
      <c r="SUO83" s="248" t="str">
        <f t="shared" si="214"/>
        <v/>
      </c>
      <c r="SUP83" s="248" t="str">
        <f t="shared" si="214"/>
        <v/>
      </c>
      <c r="SUQ83" s="248" t="str">
        <f t="shared" ref="SUQ83:SXB83" si="215">UPPER(SUO83)</f>
        <v/>
      </c>
      <c r="SUR83" s="248" t="str">
        <f t="shared" si="215"/>
        <v/>
      </c>
      <c r="SUS83" s="248" t="str">
        <f t="shared" si="215"/>
        <v/>
      </c>
      <c r="SUT83" s="248" t="str">
        <f t="shared" si="215"/>
        <v/>
      </c>
      <c r="SUU83" s="248" t="str">
        <f t="shared" si="215"/>
        <v/>
      </c>
      <c r="SUV83" s="248" t="str">
        <f t="shared" si="215"/>
        <v/>
      </c>
      <c r="SUW83" s="248" t="str">
        <f t="shared" si="215"/>
        <v/>
      </c>
      <c r="SUX83" s="248" t="str">
        <f t="shared" si="215"/>
        <v/>
      </c>
      <c r="SUY83" s="248" t="str">
        <f t="shared" si="215"/>
        <v/>
      </c>
      <c r="SUZ83" s="248" t="str">
        <f t="shared" si="215"/>
        <v/>
      </c>
      <c r="SVA83" s="248" t="str">
        <f t="shared" si="215"/>
        <v/>
      </c>
      <c r="SVB83" s="248" t="str">
        <f t="shared" si="215"/>
        <v/>
      </c>
      <c r="SVC83" s="248" t="str">
        <f t="shared" si="215"/>
        <v/>
      </c>
      <c r="SVD83" s="248" t="str">
        <f t="shared" si="215"/>
        <v/>
      </c>
      <c r="SVE83" s="248" t="str">
        <f t="shared" si="215"/>
        <v/>
      </c>
      <c r="SVF83" s="248" t="str">
        <f t="shared" si="215"/>
        <v/>
      </c>
      <c r="SVG83" s="248" t="str">
        <f t="shared" si="215"/>
        <v/>
      </c>
      <c r="SVH83" s="248" t="str">
        <f t="shared" si="215"/>
        <v/>
      </c>
      <c r="SVI83" s="248" t="str">
        <f t="shared" si="215"/>
        <v/>
      </c>
      <c r="SVJ83" s="248" t="str">
        <f t="shared" si="215"/>
        <v/>
      </c>
      <c r="SVK83" s="248" t="str">
        <f t="shared" si="215"/>
        <v/>
      </c>
      <c r="SVL83" s="248" t="str">
        <f t="shared" si="215"/>
        <v/>
      </c>
      <c r="SVM83" s="248" t="str">
        <f t="shared" si="215"/>
        <v/>
      </c>
      <c r="SVN83" s="248" t="str">
        <f t="shared" si="215"/>
        <v/>
      </c>
      <c r="SVO83" s="248" t="str">
        <f t="shared" si="215"/>
        <v/>
      </c>
      <c r="SVP83" s="248" t="str">
        <f t="shared" si="215"/>
        <v/>
      </c>
      <c r="SVQ83" s="248" t="str">
        <f t="shared" si="215"/>
        <v/>
      </c>
      <c r="SVR83" s="248" t="str">
        <f t="shared" si="215"/>
        <v/>
      </c>
      <c r="SVS83" s="248" t="str">
        <f t="shared" si="215"/>
        <v/>
      </c>
      <c r="SVT83" s="248" t="str">
        <f t="shared" si="215"/>
        <v/>
      </c>
      <c r="SVU83" s="248" t="str">
        <f t="shared" si="215"/>
        <v/>
      </c>
      <c r="SVV83" s="248" t="str">
        <f t="shared" si="215"/>
        <v/>
      </c>
      <c r="SVW83" s="248" t="str">
        <f t="shared" si="215"/>
        <v/>
      </c>
      <c r="SVX83" s="248" t="str">
        <f t="shared" si="215"/>
        <v/>
      </c>
      <c r="SVY83" s="248" t="str">
        <f t="shared" si="215"/>
        <v/>
      </c>
      <c r="SVZ83" s="248" t="str">
        <f t="shared" si="215"/>
        <v/>
      </c>
      <c r="SWA83" s="248" t="str">
        <f t="shared" si="215"/>
        <v/>
      </c>
      <c r="SWB83" s="248" t="str">
        <f t="shared" si="215"/>
        <v/>
      </c>
      <c r="SWC83" s="248" t="str">
        <f t="shared" si="215"/>
        <v/>
      </c>
      <c r="SWD83" s="248" t="str">
        <f t="shared" si="215"/>
        <v/>
      </c>
      <c r="SWE83" s="248" t="str">
        <f t="shared" si="215"/>
        <v/>
      </c>
      <c r="SWF83" s="248" t="str">
        <f t="shared" si="215"/>
        <v/>
      </c>
      <c r="SWG83" s="248" t="str">
        <f t="shared" si="215"/>
        <v/>
      </c>
      <c r="SWH83" s="248" t="str">
        <f t="shared" si="215"/>
        <v/>
      </c>
      <c r="SWI83" s="248" t="str">
        <f t="shared" si="215"/>
        <v/>
      </c>
      <c r="SWJ83" s="248" t="str">
        <f t="shared" si="215"/>
        <v/>
      </c>
      <c r="SWK83" s="248" t="str">
        <f t="shared" si="215"/>
        <v/>
      </c>
      <c r="SWL83" s="248" t="str">
        <f t="shared" si="215"/>
        <v/>
      </c>
      <c r="SWM83" s="248" t="str">
        <f t="shared" si="215"/>
        <v/>
      </c>
      <c r="SWN83" s="248" t="str">
        <f t="shared" si="215"/>
        <v/>
      </c>
      <c r="SWO83" s="248" t="str">
        <f t="shared" si="215"/>
        <v/>
      </c>
      <c r="SWP83" s="248" t="str">
        <f t="shared" si="215"/>
        <v/>
      </c>
      <c r="SWQ83" s="248" t="str">
        <f t="shared" si="215"/>
        <v/>
      </c>
      <c r="SWR83" s="248" t="str">
        <f t="shared" si="215"/>
        <v/>
      </c>
      <c r="SWS83" s="248" t="str">
        <f t="shared" si="215"/>
        <v/>
      </c>
      <c r="SWT83" s="248" t="str">
        <f t="shared" si="215"/>
        <v/>
      </c>
      <c r="SWU83" s="248" t="str">
        <f t="shared" si="215"/>
        <v/>
      </c>
      <c r="SWV83" s="248" t="str">
        <f t="shared" si="215"/>
        <v/>
      </c>
      <c r="SWW83" s="248" t="str">
        <f t="shared" si="215"/>
        <v/>
      </c>
      <c r="SWX83" s="248" t="str">
        <f t="shared" si="215"/>
        <v/>
      </c>
      <c r="SWY83" s="248" t="str">
        <f t="shared" si="215"/>
        <v/>
      </c>
      <c r="SWZ83" s="248" t="str">
        <f t="shared" si="215"/>
        <v/>
      </c>
      <c r="SXA83" s="248" t="str">
        <f t="shared" si="215"/>
        <v/>
      </c>
      <c r="SXB83" s="248" t="str">
        <f t="shared" si="215"/>
        <v/>
      </c>
      <c r="SXC83" s="248" t="str">
        <f t="shared" ref="SXC83:SZN83" si="216">UPPER(SXA83)</f>
        <v/>
      </c>
      <c r="SXD83" s="248" t="str">
        <f t="shared" si="216"/>
        <v/>
      </c>
      <c r="SXE83" s="248" t="str">
        <f t="shared" si="216"/>
        <v/>
      </c>
      <c r="SXF83" s="248" t="str">
        <f t="shared" si="216"/>
        <v/>
      </c>
      <c r="SXG83" s="248" t="str">
        <f t="shared" si="216"/>
        <v/>
      </c>
      <c r="SXH83" s="248" t="str">
        <f t="shared" si="216"/>
        <v/>
      </c>
      <c r="SXI83" s="248" t="str">
        <f t="shared" si="216"/>
        <v/>
      </c>
      <c r="SXJ83" s="248" t="str">
        <f t="shared" si="216"/>
        <v/>
      </c>
      <c r="SXK83" s="248" t="str">
        <f t="shared" si="216"/>
        <v/>
      </c>
      <c r="SXL83" s="248" t="str">
        <f t="shared" si="216"/>
        <v/>
      </c>
      <c r="SXM83" s="248" t="str">
        <f t="shared" si="216"/>
        <v/>
      </c>
      <c r="SXN83" s="248" t="str">
        <f t="shared" si="216"/>
        <v/>
      </c>
      <c r="SXO83" s="248" t="str">
        <f t="shared" si="216"/>
        <v/>
      </c>
      <c r="SXP83" s="248" t="str">
        <f t="shared" si="216"/>
        <v/>
      </c>
      <c r="SXQ83" s="248" t="str">
        <f t="shared" si="216"/>
        <v/>
      </c>
      <c r="SXR83" s="248" t="str">
        <f t="shared" si="216"/>
        <v/>
      </c>
      <c r="SXS83" s="248" t="str">
        <f t="shared" si="216"/>
        <v/>
      </c>
      <c r="SXT83" s="248" t="str">
        <f t="shared" si="216"/>
        <v/>
      </c>
      <c r="SXU83" s="248" t="str">
        <f t="shared" si="216"/>
        <v/>
      </c>
      <c r="SXV83" s="248" t="str">
        <f t="shared" si="216"/>
        <v/>
      </c>
      <c r="SXW83" s="248" t="str">
        <f t="shared" si="216"/>
        <v/>
      </c>
      <c r="SXX83" s="248" t="str">
        <f t="shared" si="216"/>
        <v/>
      </c>
      <c r="SXY83" s="248" t="str">
        <f t="shared" si="216"/>
        <v/>
      </c>
      <c r="SXZ83" s="248" t="str">
        <f t="shared" si="216"/>
        <v/>
      </c>
      <c r="SYA83" s="248" t="str">
        <f t="shared" si="216"/>
        <v/>
      </c>
      <c r="SYB83" s="248" t="str">
        <f t="shared" si="216"/>
        <v/>
      </c>
      <c r="SYC83" s="248" t="str">
        <f t="shared" si="216"/>
        <v/>
      </c>
      <c r="SYD83" s="248" t="str">
        <f t="shared" si="216"/>
        <v/>
      </c>
      <c r="SYE83" s="248" t="str">
        <f t="shared" si="216"/>
        <v/>
      </c>
      <c r="SYF83" s="248" t="str">
        <f t="shared" si="216"/>
        <v/>
      </c>
      <c r="SYG83" s="248" t="str">
        <f t="shared" si="216"/>
        <v/>
      </c>
      <c r="SYH83" s="248" t="str">
        <f t="shared" si="216"/>
        <v/>
      </c>
      <c r="SYI83" s="248" t="str">
        <f t="shared" si="216"/>
        <v/>
      </c>
      <c r="SYJ83" s="248" t="str">
        <f t="shared" si="216"/>
        <v/>
      </c>
      <c r="SYK83" s="248" t="str">
        <f t="shared" si="216"/>
        <v/>
      </c>
      <c r="SYL83" s="248" t="str">
        <f t="shared" si="216"/>
        <v/>
      </c>
      <c r="SYM83" s="248" t="str">
        <f t="shared" si="216"/>
        <v/>
      </c>
      <c r="SYN83" s="248" t="str">
        <f t="shared" si="216"/>
        <v/>
      </c>
      <c r="SYO83" s="248" t="str">
        <f t="shared" si="216"/>
        <v/>
      </c>
      <c r="SYP83" s="248" t="str">
        <f t="shared" si="216"/>
        <v/>
      </c>
      <c r="SYQ83" s="248" t="str">
        <f t="shared" si="216"/>
        <v/>
      </c>
      <c r="SYR83" s="248" t="str">
        <f t="shared" si="216"/>
        <v/>
      </c>
      <c r="SYS83" s="248" t="str">
        <f t="shared" si="216"/>
        <v/>
      </c>
      <c r="SYT83" s="248" t="str">
        <f t="shared" si="216"/>
        <v/>
      </c>
      <c r="SYU83" s="248" t="str">
        <f t="shared" si="216"/>
        <v/>
      </c>
      <c r="SYV83" s="248" t="str">
        <f t="shared" si="216"/>
        <v/>
      </c>
      <c r="SYW83" s="248" t="str">
        <f t="shared" si="216"/>
        <v/>
      </c>
      <c r="SYX83" s="248" t="str">
        <f t="shared" si="216"/>
        <v/>
      </c>
      <c r="SYY83" s="248" t="str">
        <f t="shared" si="216"/>
        <v/>
      </c>
      <c r="SYZ83" s="248" t="str">
        <f t="shared" si="216"/>
        <v/>
      </c>
      <c r="SZA83" s="248" t="str">
        <f t="shared" si="216"/>
        <v/>
      </c>
      <c r="SZB83" s="248" t="str">
        <f t="shared" si="216"/>
        <v/>
      </c>
      <c r="SZC83" s="248" t="str">
        <f t="shared" si="216"/>
        <v/>
      </c>
      <c r="SZD83" s="248" t="str">
        <f t="shared" si="216"/>
        <v/>
      </c>
      <c r="SZE83" s="248" t="str">
        <f t="shared" si="216"/>
        <v/>
      </c>
      <c r="SZF83" s="248" t="str">
        <f t="shared" si="216"/>
        <v/>
      </c>
      <c r="SZG83" s="248" t="str">
        <f t="shared" si="216"/>
        <v/>
      </c>
      <c r="SZH83" s="248" t="str">
        <f t="shared" si="216"/>
        <v/>
      </c>
      <c r="SZI83" s="248" t="str">
        <f t="shared" si="216"/>
        <v/>
      </c>
      <c r="SZJ83" s="248" t="str">
        <f t="shared" si="216"/>
        <v/>
      </c>
      <c r="SZK83" s="248" t="str">
        <f t="shared" si="216"/>
        <v/>
      </c>
      <c r="SZL83" s="248" t="str">
        <f t="shared" si="216"/>
        <v/>
      </c>
      <c r="SZM83" s="248" t="str">
        <f t="shared" si="216"/>
        <v/>
      </c>
      <c r="SZN83" s="248" t="str">
        <f t="shared" si="216"/>
        <v/>
      </c>
      <c r="SZO83" s="248" t="str">
        <f t="shared" ref="SZO83:TBZ83" si="217">UPPER(SZM83)</f>
        <v/>
      </c>
      <c r="SZP83" s="248" t="str">
        <f t="shared" si="217"/>
        <v/>
      </c>
      <c r="SZQ83" s="248" t="str">
        <f t="shared" si="217"/>
        <v/>
      </c>
      <c r="SZR83" s="248" t="str">
        <f t="shared" si="217"/>
        <v/>
      </c>
      <c r="SZS83" s="248" t="str">
        <f t="shared" si="217"/>
        <v/>
      </c>
      <c r="SZT83" s="248" t="str">
        <f t="shared" si="217"/>
        <v/>
      </c>
      <c r="SZU83" s="248" t="str">
        <f t="shared" si="217"/>
        <v/>
      </c>
      <c r="SZV83" s="248" t="str">
        <f t="shared" si="217"/>
        <v/>
      </c>
      <c r="SZW83" s="248" t="str">
        <f t="shared" si="217"/>
        <v/>
      </c>
      <c r="SZX83" s="248" t="str">
        <f t="shared" si="217"/>
        <v/>
      </c>
      <c r="SZY83" s="248" t="str">
        <f t="shared" si="217"/>
        <v/>
      </c>
      <c r="SZZ83" s="248" t="str">
        <f t="shared" si="217"/>
        <v/>
      </c>
      <c r="TAA83" s="248" t="str">
        <f t="shared" si="217"/>
        <v/>
      </c>
      <c r="TAB83" s="248" t="str">
        <f t="shared" si="217"/>
        <v/>
      </c>
      <c r="TAC83" s="248" t="str">
        <f t="shared" si="217"/>
        <v/>
      </c>
      <c r="TAD83" s="248" t="str">
        <f t="shared" si="217"/>
        <v/>
      </c>
      <c r="TAE83" s="248" t="str">
        <f t="shared" si="217"/>
        <v/>
      </c>
      <c r="TAF83" s="248" t="str">
        <f t="shared" si="217"/>
        <v/>
      </c>
      <c r="TAG83" s="248" t="str">
        <f t="shared" si="217"/>
        <v/>
      </c>
      <c r="TAH83" s="248" t="str">
        <f t="shared" si="217"/>
        <v/>
      </c>
      <c r="TAI83" s="248" t="str">
        <f t="shared" si="217"/>
        <v/>
      </c>
      <c r="TAJ83" s="248" t="str">
        <f t="shared" si="217"/>
        <v/>
      </c>
      <c r="TAK83" s="248" t="str">
        <f t="shared" si="217"/>
        <v/>
      </c>
      <c r="TAL83" s="248" t="str">
        <f t="shared" si="217"/>
        <v/>
      </c>
      <c r="TAM83" s="248" t="str">
        <f t="shared" si="217"/>
        <v/>
      </c>
      <c r="TAN83" s="248" t="str">
        <f t="shared" si="217"/>
        <v/>
      </c>
      <c r="TAO83" s="248" t="str">
        <f t="shared" si="217"/>
        <v/>
      </c>
      <c r="TAP83" s="248" t="str">
        <f t="shared" si="217"/>
        <v/>
      </c>
      <c r="TAQ83" s="248" t="str">
        <f t="shared" si="217"/>
        <v/>
      </c>
      <c r="TAR83" s="248" t="str">
        <f t="shared" si="217"/>
        <v/>
      </c>
      <c r="TAS83" s="248" t="str">
        <f t="shared" si="217"/>
        <v/>
      </c>
      <c r="TAT83" s="248" t="str">
        <f t="shared" si="217"/>
        <v/>
      </c>
      <c r="TAU83" s="248" t="str">
        <f t="shared" si="217"/>
        <v/>
      </c>
      <c r="TAV83" s="248" t="str">
        <f t="shared" si="217"/>
        <v/>
      </c>
      <c r="TAW83" s="248" t="str">
        <f t="shared" si="217"/>
        <v/>
      </c>
      <c r="TAX83" s="248" t="str">
        <f t="shared" si="217"/>
        <v/>
      </c>
      <c r="TAY83" s="248" t="str">
        <f t="shared" si="217"/>
        <v/>
      </c>
      <c r="TAZ83" s="248" t="str">
        <f t="shared" si="217"/>
        <v/>
      </c>
      <c r="TBA83" s="248" t="str">
        <f t="shared" si="217"/>
        <v/>
      </c>
      <c r="TBB83" s="248" t="str">
        <f t="shared" si="217"/>
        <v/>
      </c>
      <c r="TBC83" s="248" t="str">
        <f t="shared" si="217"/>
        <v/>
      </c>
      <c r="TBD83" s="248" t="str">
        <f t="shared" si="217"/>
        <v/>
      </c>
      <c r="TBE83" s="248" t="str">
        <f t="shared" si="217"/>
        <v/>
      </c>
      <c r="TBF83" s="248" t="str">
        <f t="shared" si="217"/>
        <v/>
      </c>
      <c r="TBG83" s="248" t="str">
        <f t="shared" si="217"/>
        <v/>
      </c>
      <c r="TBH83" s="248" t="str">
        <f t="shared" si="217"/>
        <v/>
      </c>
      <c r="TBI83" s="248" t="str">
        <f t="shared" si="217"/>
        <v/>
      </c>
      <c r="TBJ83" s="248" t="str">
        <f t="shared" si="217"/>
        <v/>
      </c>
      <c r="TBK83" s="248" t="str">
        <f t="shared" si="217"/>
        <v/>
      </c>
      <c r="TBL83" s="248" t="str">
        <f t="shared" si="217"/>
        <v/>
      </c>
      <c r="TBM83" s="248" t="str">
        <f t="shared" si="217"/>
        <v/>
      </c>
      <c r="TBN83" s="248" t="str">
        <f t="shared" si="217"/>
        <v/>
      </c>
      <c r="TBO83" s="248" t="str">
        <f t="shared" si="217"/>
        <v/>
      </c>
      <c r="TBP83" s="248" t="str">
        <f t="shared" si="217"/>
        <v/>
      </c>
      <c r="TBQ83" s="248" t="str">
        <f t="shared" si="217"/>
        <v/>
      </c>
      <c r="TBR83" s="248" t="str">
        <f t="shared" si="217"/>
        <v/>
      </c>
      <c r="TBS83" s="248" t="str">
        <f t="shared" si="217"/>
        <v/>
      </c>
      <c r="TBT83" s="248" t="str">
        <f t="shared" si="217"/>
        <v/>
      </c>
      <c r="TBU83" s="248" t="str">
        <f t="shared" si="217"/>
        <v/>
      </c>
      <c r="TBV83" s="248" t="str">
        <f t="shared" si="217"/>
        <v/>
      </c>
      <c r="TBW83" s="248" t="str">
        <f t="shared" si="217"/>
        <v/>
      </c>
      <c r="TBX83" s="248" t="str">
        <f t="shared" si="217"/>
        <v/>
      </c>
      <c r="TBY83" s="248" t="str">
        <f t="shared" si="217"/>
        <v/>
      </c>
      <c r="TBZ83" s="248" t="str">
        <f t="shared" si="217"/>
        <v/>
      </c>
      <c r="TCA83" s="248" t="str">
        <f t="shared" ref="TCA83:TEL83" si="218">UPPER(TBY83)</f>
        <v/>
      </c>
      <c r="TCB83" s="248" t="str">
        <f t="shared" si="218"/>
        <v/>
      </c>
      <c r="TCC83" s="248" t="str">
        <f t="shared" si="218"/>
        <v/>
      </c>
      <c r="TCD83" s="248" t="str">
        <f t="shared" si="218"/>
        <v/>
      </c>
      <c r="TCE83" s="248" t="str">
        <f t="shared" si="218"/>
        <v/>
      </c>
      <c r="TCF83" s="248" t="str">
        <f t="shared" si="218"/>
        <v/>
      </c>
      <c r="TCG83" s="248" t="str">
        <f t="shared" si="218"/>
        <v/>
      </c>
      <c r="TCH83" s="248" t="str">
        <f t="shared" si="218"/>
        <v/>
      </c>
      <c r="TCI83" s="248" t="str">
        <f t="shared" si="218"/>
        <v/>
      </c>
      <c r="TCJ83" s="248" t="str">
        <f t="shared" si="218"/>
        <v/>
      </c>
      <c r="TCK83" s="248" t="str">
        <f t="shared" si="218"/>
        <v/>
      </c>
      <c r="TCL83" s="248" t="str">
        <f t="shared" si="218"/>
        <v/>
      </c>
      <c r="TCM83" s="248" t="str">
        <f t="shared" si="218"/>
        <v/>
      </c>
      <c r="TCN83" s="248" t="str">
        <f t="shared" si="218"/>
        <v/>
      </c>
      <c r="TCO83" s="248" t="str">
        <f t="shared" si="218"/>
        <v/>
      </c>
      <c r="TCP83" s="248" t="str">
        <f t="shared" si="218"/>
        <v/>
      </c>
      <c r="TCQ83" s="248" t="str">
        <f t="shared" si="218"/>
        <v/>
      </c>
      <c r="TCR83" s="248" t="str">
        <f t="shared" si="218"/>
        <v/>
      </c>
      <c r="TCS83" s="248" t="str">
        <f t="shared" si="218"/>
        <v/>
      </c>
      <c r="TCT83" s="248" t="str">
        <f t="shared" si="218"/>
        <v/>
      </c>
      <c r="TCU83" s="248" t="str">
        <f t="shared" si="218"/>
        <v/>
      </c>
      <c r="TCV83" s="248" t="str">
        <f t="shared" si="218"/>
        <v/>
      </c>
      <c r="TCW83" s="248" t="str">
        <f t="shared" si="218"/>
        <v/>
      </c>
      <c r="TCX83" s="248" t="str">
        <f t="shared" si="218"/>
        <v/>
      </c>
      <c r="TCY83" s="248" t="str">
        <f t="shared" si="218"/>
        <v/>
      </c>
      <c r="TCZ83" s="248" t="str">
        <f t="shared" si="218"/>
        <v/>
      </c>
      <c r="TDA83" s="248" t="str">
        <f t="shared" si="218"/>
        <v/>
      </c>
      <c r="TDB83" s="248" t="str">
        <f t="shared" si="218"/>
        <v/>
      </c>
      <c r="TDC83" s="248" t="str">
        <f t="shared" si="218"/>
        <v/>
      </c>
      <c r="TDD83" s="248" t="str">
        <f t="shared" si="218"/>
        <v/>
      </c>
      <c r="TDE83" s="248" t="str">
        <f t="shared" si="218"/>
        <v/>
      </c>
      <c r="TDF83" s="248" t="str">
        <f t="shared" si="218"/>
        <v/>
      </c>
      <c r="TDG83" s="248" t="str">
        <f t="shared" si="218"/>
        <v/>
      </c>
      <c r="TDH83" s="248" t="str">
        <f t="shared" si="218"/>
        <v/>
      </c>
      <c r="TDI83" s="248" t="str">
        <f t="shared" si="218"/>
        <v/>
      </c>
      <c r="TDJ83" s="248" t="str">
        <f t="shared" si="218"/>
        <v/>
      </c>
      <c r="TDK83" s="248" t="str">
        <f t="shared" si="218"/>
        <v/>
      </c>
      <c r="TDL83" s="248" t="str">
        <f t="shared" si="218"/>
        <v/>
      </c>
      <c r="TDM83" s="248" t="str">
        <f t="shared" si="218"/>
        <v/>
      </c>
      <c r="TDN83" s="248" t="str">
        <f t="shared" si="218"/>
        <v/>
      </c>
      <c r="TDO83" s="248" t="str">
        <f t="shared" si="218"/>
        <v/>
      </c>
      <c r="TDP83" s="248" t="str">
        <f t="shared" si="218"/>
        <v/>
      </c>
      <c r="TDQ83" s="248" t="str">
        <f t="shared" si="218"/>
        <v/>
      </c>
      <c r="TDR83" s="248" t="str">
        <f t="shared" si="218"/>
        <v/>
      </c>
      <c r="TDS83" s="248" t="str">
        <f t="shared" si="218"/>
        <v/>
      </c>
      <c r="TDT83" s="248" t="str">
        <f t="shared" si="218"/>
        <v/>
      </c>
      <c r="TDU83" s="248" t="str">
        <f t="shared" si="218"/>
        <v/>
      </c>
      <c r="TDV83" s="248" t="str">
        <f t="shared" si="218"/>
        <v/>
      </c>
      <c r="TDW83" s="248" t="str">
        <f t="shared" si="218"/>
        <v/>
      </c>
      <c r="TDX83" s="248" t="str">
        <f t="shared" si="218"/>
        <v/>
      </c>
      <c r="TDY83" s="248" t="str">
        <f t="shared" si="218"/>
        <v/>
      </c>
      <c r="TDZ83" s="248" t="str">
        <f t="shared" si="218"/>
        <v/>
      </c>
      <c r="TEA83" s="248" t="str">
        <f t="shared" si="218"/>
        <v/>
      </c>
      <c r="TEB83" s="248" t="str">
        <f t="shared" si="218"/>
        <v/>
      </c>
      <c r="TEC83" s="248" t="str">
        <f t="shared" si="218"/>
        <v/>
      </c>
      <c r="TED83" s="248" t="str">
        <f t="shared" si="218"/>
        <v/>
      </c>
      <c r="TEE83" s="248" t="str">
        <f t="shared" si="218"/>
        <v/>
      </c>
      <c r="TEF83" s="248" t="str">
        <f t="shared" si="218"/>
        <v/>
      </c>
      <c r="TEG83" s="248" t="str">
        <f t="shared" si="218"/>
        <v/>
      </c>
      <c r="TEH83" s="248" t="str">
        <f t="shared" si="218"/>
        <v/>
      </c>
      <c r="TEI83" s="248" t="str">
        <f t="shared" si="218"/>
        <v/>
      </c>
      <c r="TEJ83" s="248" t="str">
        <f t="shared" si="218"/>
        <v/>
      </c>
      <c r="TEK83" s="248" t="str">
        <f t="shared" si="218"/>
        <v/>
      </c>
      <c r="TEL83" s="248" t="str">
        <f t="shared" si="218"/>
        <v/>
      </c>
      <c r="TEM83" s="248" t="str">
        <f t="shared" ref="TEM83:TGX83" si="219">UPPER(TEK83)</f>
        <v/>
      </c>
      <c r="TEN83" s="248" t="str">
        <f t="shared" si="219"/>
        <v/>
      </c>
      <c r="TEO83" s="248" t="str">
        <f t="shared" si="219"/>
        <v/>
      </c>
      <c r="TEP83" s="248" t="str">
        <f t="shared" si="219"/>
        <v/>
      </c>
      <c r="TEQ83" s="248" t="str">
        <f t="shared" si="219"/>
        <v/>
      </c>
      <c r="TER83" s="248" t="str">
        <f t="shared" si="219"/>
        <v/>
      </c>
      <c r="TES83" s="248" t="str">
        <f t="shared" si="219"/>
        <v/>
      </c>
      <c r="TET83" s="248" t="str">
        <f t="shared" si="219"/>
        <v/>
      </c>
      <c r="TEU83" s="248" t="str">
        <f t="shared" si="219"/>
        <v/>
      </c>
      <c r="TEV83" s="248" t="str">
        <f t="shared" si="219"/>
        <v/>
      </c>
      <c r="TEW83" s="248" t="str">
        <f t="shared" si="219"/>
        <v/>
      </c>
      <c r="TEX83" s="248" t="str">
        <f t="shared" si="219"/>
        <v/>
      </c>
      <c r="TEY83" s="248" t="str">
        <f t="shared" si="219"/>
        <v/>
      </c>
      <c r="TEZ83" s="248" t="str">
        <f t="shared" si="219"/>
        <v/>
      </c>
      <c r="TFA83" s="248" t="str">
        <f t="shared" si="219"/>
        <v/>
      </c>
      <c r="TFB83" s="248" t="str">
        <f t="shared" si="219"/>
        <v/>
      </c>
      <c r="TFC83" s="248" t="str">
        <f t="shared" si="219"/>
        <v/>
      </c>
      <c r="TFD83" s="248" t="str">
        <f t="shared" si="219"/>
        <v/>
      </c>
      <c r="TFE83" s="248" t="str">
        <f t="shared" si="219"/>
        <v/>
      </c>
      <c r="TFF83" s="248" t="str">
        <f t="shared" si="219"/>
        <v/>
      </c>
      <c r="TFG83" s="248" t="str">
        <f t="shared" si="219"/>
        <v/>
      </c>
      <c r="TFH83" s="248" t="str">
        <f t="shared" si="219"/>
        <v/>
      </c>
      <c r="TFI83" s="248" t="str">
        <f t="shared" si="219"/>
        <v/>
      </c>
      <c r="TFJ83" s="248" t="str">
        <f t="shared" si="219"/>
        <v/>
      </c>
      <c r="TFK83" s="248" t="str">
        <f t="shared" si="219"/>
        <v/>
      </c>
      <c r="TFL83" s="248" t="str">
        <f t="shared" si="219"/>
        <v/>
      </c>
      <c r="TFM83" s="248" t="str">
        <f t="shared" si="219"/>
        <v/>
      </c>
      <c r="TFN83" s="248" t="str">
        <f t="shared" si="219"/>
        <v/>
      </c>
      <c r="TFO83" s="248" t="str">
        <f t="shared" si="219"/>
        <v/>
      </c>
      <c r="TFP83" s="248" t="str">
        <f t="shared" si="219"/>
        <v/>
      </c>
      <c r="TFQ83" s="248" t="str">
        <f t="shared" si="219"/>
        <v/>
      </c>
      <c r="TFR83" s="248" t="str">
        <f t="shared" si="219"/>
        <v/>
      </c>
      <c r="TFS83" s="248" t="str">
        <f t="shared" si="219"/>
        <v/>
      </c>
      <c r="TFT83" s="248" t="str">
        <f t="shared" si="219"/>
        <v/>
      </c>
      <c r="TFU83" s="248" t="str">
        <f t="shared" si="219"/>
        <v/>
      </c>
      <c r="TFV83" s="248" t="str">
        <f t="shared" si="219"/>
        <v/>
      </c>
      <c r="TFW83" s="248" t="str">
        <f t="shared" si="219"/>
        <v/>
      </c>
      <c r="TFX83" s="248" t="str">
        <f t="shared" si="219"/>
        <v/>
      </c>
      <c r="TFY83" s="248" t="str">
        <f t="shared" si="219"/>
        <v/>
      </c>
      <c r="TFZ83" s="248" t="str">
        <f t="shared" si="219"/>
        <v/>
      </c>
      <c r="TGA83" s="248" t="str">
        <f t="shared" si="219"/>
        <v/>
      </c>
      <c r="TGB83" s="248" t="str">
        <f t="shared" si="219"/>
        <v/>
      </c>
      <c r="TGC83" s="248" t="str">
        <f t="shared" si="219"/>
        <v/>
      </c>
      <c r="TGD83" s="248" t="str">
        <f t="shared" si="219"/>
        <v/>
      </c>
      <c r="TGE83" s="248" t="str">
        <f t="shared" si="219"/>
        <v/>
      </c>
      <c r="TGF83" s="248" t="str">
        <f t="shared" si="219"/>
        <v/>
      </c>
      <c r="TGG83" s="248" t="str">
        <f t="shared" si="219"/>
        <v/>
      </c>
      <c r="TGH83" s="248" t="str">
        <f t="shared" si="219"/>
        <v/>
      </c>
      <c r="TGI83" s="248" t="str">
        <f t="shared" si="219"/>
        <v/>
      </c>
      <c r="TGJ83" s="248" t="str">
        <f t="shared" si="219"/>
        <v/>
      </c>
      <c r="TGK83" s="248" t="str">
        <f t="shared" si="219"/>
        <v/>
      </c>
      <c r="TGL83" s="248" t="str">
        <f t="shared" si="219"/>
        <v/>
      </c>
      <c r="TGM83" s="248" t="str">
        <f t="shared" si="219"/>
        <v/>
      </c>
      <c r="TGN83" s="248" t="str">
        <f t="shared" si="219"/>
        <v/>
      </c>
      <c r="TGO83" s="248" t="str">
        <f t="shared" si="219"/>
        <v/>
      </c>
      <c r="TGP83" s="248" t="str">
        <f t="shared" si="219"/>
        <v/>
      </c>
      <c r="TGQ83" s="248" t="str">
        <f t="shared" si="219"/>
        <v/>
      </c>
      <c r="TGR83" s="248" t="str">
        <f t="shared" si="219"/>
        <v/>
      </c>
      <c r="TGS83" s="248" t="str">
        <f t="shared" si="219"/>
        <v/>
      </c>
      <c r="TGT83" s="248" t="str">
        <f t="shared" si="219"/>
        <v/>
      </c>
      <c r="TGU83" s="248" t="str">
        <f t="shared" si="219"/>
        <v/>
      </c>
      <c r="TGV83" s="248" t="str">
        <f t="shared" si="219"/>
        <v/>
      </c>
      <c r="TGW83" s="248" t="str">
        <f t="shared" si="219"/>
        <v/>
      </c>
      <c r="TGX83" s="248" t="str">
        <f t="shared" si="219"/>
        <v/>
      </c>
      <c r="TGY83" s="248" t="str">
        <f t="shared" ref="TGY83:TJJ83" si="220">UPPER(TGW83)</f>
        <v/>
      </c>
      <c r="TGZ83" s="248" t="str">
        <f t="shared" si="220"/>
        <v/>
      </c>
      <c r="THA83" s="248" t="str">
        <f t="shared" si="220"/>
        <v/>
      </c>
      <c r="THB83" s="248" t="str">
        <f t="shared" si="220"/>
        <v/>
      </c>
      <c r="THC83" s="248" t="str">
        <f t="shared" si="220"/>
        <v/>
      </c>
      <c r="THD83" s="248" t="str">
        <f t="shared" si="220"/>
        <v/>
      </c>
      <c r="THE83" s="248" t="str">
        <f t="shared" si="220"/>
        <v/>
      </c>
      <c r="THF83" s="248" t="str">
        <f t="shared" si="220"/>
        <v/>
      </c>
      <c r="THG83" s="248" t="str">
        <f t="shared" si="220"/>
        <v/>
      </c>
      <c r="THH83" s="248" t="str">
        <f t="shared" si="220"/>
        <v/>
      </c>
      <c r="THI83" s="248" t="str">
        <f t="shared" si="220"/>
        <v/>
      </c>
      <c r="THJ83" s="248" t="str">
        <f t="shared" si="220"/>
        <v/>
      </c>
      <c r="THK83" s="248" t="str">
        <f t="shared" si="220"/>
        <v/>
      </c>
      <c r="THL83" s="248" t="str">
        <f t="shared" si="220"/>
        <v/>
      </c>
      <c r="THM83" s="248" t="str">
        <f t="shared" si="220"/>
        <v/>
      </c>
      <c r="THN83" s="248" t="str">
        <f t="shared" si="220"/>
        <v/>
      </c>
      <c r="THO83" s="248" t="str">
        <f t="shared" si="220"/>
        <v/>
      </c>
      <c r="THP83" s="248" t="str">
        <f t="shared" si="220"/>
        <v/>
      </c>
      <c r="THQ83" s="248" t="str">
        <f t="shared" si="220"/>
        <v/>
      </c>
      <c r="THR83" s="248" t="str">
        <f t="shared" si="220"/>
        <v/>
      </c>
      <c r="THS83" s="248" t="str">
        <f t="shared" si="220"/>
        <v/>
      </c>
      <c r="THT83" s="248" t="str">
        <f t="shared" si="220"/>
        <v/>
      </c>
      <c r="THU83" s="248" t="str">
        <f t="shared" si="220"/>
        <v/>
      </c>
      <c r="THV83" s="248" t="str">
        <f t="shared" si="220"/>
        <v/>
      </c>
      <c r="THW83" s="248" t="str">
        <f t="shared" si="220"/>
        <v/>
      </c>
      <c r="THX83" s="248" t="str">
        <f t="shared" si="220"/>
        <v/>
      </c>
      <c r="THY83" s="248" t="str">
        <f t="shared" si="220"/>
        <v/>
      </c>
      <c r="THZ83" s="248" t="str">
        <f t="shared" si="220"/>
        <v/>
      </c>
      <c r="TIA83" s="248" t="str">
        <f t="shared" si="220"/>
        <v/>
      </c>
      <c r="TIB83" s="248" t="str">
        <f t="shared" si="220"/>
        <v/>
      </c>
      <c r="TIC83" s="248" t="str">
        <f t="shared" si="220"/>
        <v/>
      </c>
      <c r="TID83" s="248" t="str">
        <f t="shared" si="220"/>
        <v/>
      </c>
      <c r="TIE83" s="248" t="str">
        <f t="shared" si="220"/>
        <v/>
      </c>
      <c r="TIF83" s="248" t="str">
        <f t="shared" si="220"/>
        <v/>
      </c>
      <c r="TIG83" s="248" t="str">
        <f t="shared" si="220"/>
        <v/>
      </c>
      <c r="TIH83" s="248" t="str">
        <f t="shared" si="220"/>
        <v/>
      </c>
      <c r="TII83" s="248" t="str">
        <f t="shared" si="220"/>
        <v/>
      </c>
      <c r="TIJ83" s="248" t="str">
        <f t="shared" si="220"/>
        <v/>
      </c>
      <c r="TIK83" s="248" t="str">
        <f t="shared" si="220"/>
        <v/>
      </c>
      <c r="TIL83" s="248" t="str">
        <f t="shared" si="220"/>
        <v/>
      </c>
      <c r="TIM83" s="248" t="str">
        <f t="shared" si="220"/>
        <v/>
      </c>
      <c r="TIN83" s="248" t="str">
        <f t="shared" si="220"/>
        <v/>
      </c>
      <c r="TIO83" s="248" t="str">
        <f t="shared" si="220"/>
        <v/>
      </c>
      <c r="TIP83" s="248" t="str">
        <f t="shared" si="220"/>
        <v/>
      </c>
      <c r="TIQ83" s="248" t="str">
        <f t="shared" si="220"/>
        <v/>
      </c>
      <c r="TIR83" s="248" t="str">
        <f t="shared" si="220"/>
        <v/>
      </c>
      <c r="TIS83" s="248" t="str">
        <f t="shared" si="220"/>
        <v/>
      </c>
      <c r="TIT83" s="248" t="str">
        <f t="shared" si="220"/>
        <v/>
      </c>
      <c r="TIU83" s="248" t="str">
        <f t="shared" si="220"/>
        <v/>
      </c>
      <c r="TIV83" s="248" t="str">
        <f t="shared" si="220"/>
        <v/>
      </c>
      <c r="TIW83" s="248" t="str">
        <f t="shared" si="220"/>
        <v/>
      </c>
      <c r="TIX83" s="248" t="str">
        <f t="shared" si="220"/>
        <v/>
      </c>
      <c r="TIY83" s="248" t="str">
        <f t="shared" si="220"/>
        <v/>
      </c>
      <c r="TIZ83" s="248" t="str">
        <f t="shared" si="220"/>
        <v/>
      </c>
      <c r="TJA83" s="248" t="str">
        <f t="shared" si="220"/>
        <v/>
      </c>
      <c r="TJB83" s="248" t="str">
        <f t="shared" si="220"/>
        <v/>
      </c>
      <c r="TJC83" s="248" t="str">
        <f t="shared" si="220"/>
        <v/>
      </c>
      <c r="TJD83" s="248" t="str">
        <f t="shared" si="220"/>
        <v/>
      </c>
      <c r="TJE83" s="248" t="str">
        <f t="shared" si="220"/>
        <v/>
      </c>
      <c r="TJF83" s="248" t="str">
        <f t="shared" si="220"/>
        <v/>
      </c>
      <c r="TJG83" s="248" t="str">
        <f t="shared" si="220"/>
        <v/>
      </c>
      <c r="TJH83" s="248" t="str">
        <f t="shared" si="220"/>
        <v/>
      </c>
      <c r="TJI83" s="248" t="str">
        <f t="shared" si="220"/>
        <v/>
      </c>
      <c r="TJJ83" s="248" t="str">
        <f t="shared" si="220"/>
        <v/>
      </c>
      <c r="TJK83" s="248" t="str">
        <f t="shared" ref="TJK83:TLV83" si="221">UPPER(TJI83)</f>
        <v/>
      </c>
      <c r="TJL83" s="248" t="str">
        <f t="shared" si="221"/>
        <v/>
      </c>
      <c r="TJM83" s="248" t="str">
        <f t="shared" si="221"/>
        <v/>
      </c>
      <c r="TJN83" s="248" t="str">
        <f t="shared" si="221"/>
        <v/>
      </c>
      <c r="TJO83" s="248" t="str">
        <f t="shared" si="221"/>
        <v/>
      </c>
      <c r="TJP83" s="248" t="str">
        <f t="shared" si="221"/>
        <v/>
      </c>
      <c r="TJQ83" s="248" t="str">
        <f t="shared" si="221"/>
        <v/>
      </c>
      <c r="TJR83" s="248" t="str">
        <f t="shared" si="221"/>
        <v/>
      </c>
      <c r="TJS83" s="248" t="str">
        <f t="shared" si="221"/>
        <v/>
      </c>
      <c r="TJT83" s="248" t="str">
        <f t="shared" si="221"/>
        <v/>
      </c>
      <c r="TJU83" s="248" t="str">
        <f t="shared" si="221"/>
        <v/>
      </c>
      <c r="TJV83" s="248" t="str">
        <f t="shared" si="221"/>
        <v/>
      </c>
      <c r="TJW83" s="248" t="str">
        <f t="shared" si="221"/>
        <v/>
      </c>
      <c r="TJX83" s="248" t="str">
        <f t="shared" si="221"/>
        <v/>
      </c>
      <c r="TJY83" s="248" t="str">
        <f t="shared" si="221"/>
        <v/>
      </c>
      <c r="TJZ83" s="248" t="str">
        <f t="shared" si="221"/>
        <v/>
      </c>
      <c r="TKA83" s="248" t="str">
        <f t="shared" si="221"/>
        <v/>
      </c>
      <c r="TKB83" s="248" t="str">
        <f t="shared" si="221"/>
        <v/>
      </c>
      <c r="TKC83" s="248" t="str">
        <f t="shared" si="221"/>
        <v/>
      </c>
      <c r="TKD83" s="248" t="str">
        <f t="shared" si="221"/>
        <v/>
      </c>
      <c r="TKE83" s="248" t="str">
        <f t="shared" si="221"/>
        <v/>
      </c>
      <c r="TKF83" s="248" t="str">
        <f t="shared" si="221"/>
        <v/>
      </c>
      <c r="TKG83" s="248" t="str">
        <f t="shared" si="221"/>
        <v/>
      </c>
      <c r="TKH83" s="248" t="str">
        <f t="shared" si="221"/>
        <v/>
      </c>
      <c r="TKI83" s="248" t="str">
        <f t="shared" si="221"/>
        <v/>
      </c>
      <c r="TKJ83" s="248" t="str">
        <f t="shared" si="221"/>
        <v/>
      </c>
      <c r="TKK83" s="248" t="str">
        <f t="shared" si="221"/>
        <v/>
      </c>
      <c r="TKL83" s="248" t="str">
        <f t="shared" si="221"/>
        <v/>
      </c>
      <c r="TKM83" s="248" t="str">
        <f t="shared" si="221"/>
        <v/>
      </c>
      <c r="TKN83" s="248" t="str">
        <f t="shared" si="221"/>
        <v/>
      </c>
      <c r="TKO83" s="248" t="str">
        <f t="shared" si="221"/>
        <v/>
      </c>
      <c r="TKP83" s="248" t="str">
        <f t="shared" si="221"/>
        <v/>
      </c>
      <c r="TKQ83" s="248" t="str">
        <f t="shared" si="221"/>
        <v/>
      </c>
      <c r="TKR83" s="248" t="str">
        <f t="shared" si="221"/>
        <v/>
      </c>
      <c r="TKS83" s="248" t="str">
        <f t="shared" si="221"/>
        <v/>
      </c>
      <c r="TKT83" s="248" t="str">
        <f t="shared" si="221"/>
        <v/>
      </c>
      <c r="TKU83" s="248" t="str">
        <f t="shared" si="221"/>
        <v/>
      </c>
      <c r="TKV83" s="248" t="str">
        <f t="shared" si="221"/>
        <v/>
      </c>
      <c r="TKW83" s="248" t="str">
        <f t="shared" si="221"/>
        <v/>
      </c>
      <c r="TKX83" s="248" t="str">
        <f t="shared" si="221"/>
        <v/>
      </c>
      <c r="TKY83" s="248" t="str">
        <f t="shared" si="221"/>
        <v/>
      </c>
      <c r="TKZ83" s="248" t="str">
        <f t="shared" si="221"/>
        <v/>
      </c>
      <c r="TLA83" s="248" t="str">
        <f t="shared" si="221"/>
        <v/>
      </c>
      <c r="TLB83" s="248" t="str">
        <f t="shared" si="221"/>
        <v/>
      </c>
      <c r="TLC83" s="248" t="str">
        <f t="shared" si="221"/>
        <v/>
      </c>
      <c r="TLD83" s="248" t="str">
        <f t="shared" si="221"/>
        <v/>
      </c>
      <c r="TLE83" s="248" t="str">
        <f t="shared" si="221"/>
        <v/>
      </c>
      <c r="TLF83" s="248" t="str">
        <f t="shared" si="221"/>
        <v/>
      </c>
      <c r="TLG83" s="248" t="str">
        <f t="shared" si="221"/>
        <v/>
      </c>
      <c r="TLH83" s="248" t="str">
        <f t="shared" si="221"/>
        <v/>
      </c>
      <c r="TLI83" s="248" t="str">
        <f t="shared" si="221"/>
        <v/>
      </c>
      <c r="TLJ83" s="248" t="str">
        <f t="shared" si="221"/>
        <v/>
      </c>
      <c r="TLK83" s="248" t="str">
        <f t="shared" si="221"/>
        <v/>
      </c>
      <c r="TLL83" s="248" t="str">
        <f t="shared" si="221"/>
        <v/>
      </c>
      <c r="TLM83" s="248" t="str">
        <f t="shared" si="221"/>
        <v/>
      </c>
      <c r="TLN83" s="248" t="str">
        <f t="shared" si="221"/>
        <v/>
      </c>
      <c r="TLO83" s="248" t="str">
        <f t="shared" si="221"/>
        <v/>
      </c>
      <c r="TLP83" s="248" t="str">
        <f t="shared" si="221"/>
        <v/>
      </c>
      <c r="TLQ83" s="248" t="str">
        <f t="shared" si="221"/>
        <v/>
      </c>
      <c r="TLR83" s="248" t="str">
        <f t="shared" si="221"/>
        <v/>
      </c>
      <c r="TLS83" s="248" t="str">
        <f t="shared" si="221"/>
        <v/>
      </c>
      <c r="TLT83" s="248" t="str">
        <f t="shared" si="221"/>
        <v/>
      </c>
      <c r="TLU83" s="248" t="str">
        <f t="shared" si="221"/>
        <v/>
      </c>
      <c r="TLV83" s="248" t="str">
        <f t="shared" si="221"/>
        <v/>
      </c>
      <c r="TLW83" s="248" t="str">
        <f t="shared" ref="TLW83:TOH83" si="222">UPPER(TLU83)</f>
        <v/>
      </c>
      <c r="TLX83" s="248" t="str">
        <f t="shared" si="222"/>
        <v/>
      </c>
      <c r="TLY83" s="248" t="str">
        <f t="shared" si="222"/>
        <v/>
      </c>
      <c r="TLZ83" s="248" t="str">
        <f t="shared" si="222"/>
        <v/>
      </c>
      <c r="TMA83" s="248" t="str">
        <f t="shared" si="222"/>
        <v/>
      </c>
      <c r="TMB83" s="248" t="str">
        <f t="shared" si="222"/>
        <v/>
      </c>
      <c r="TMC83" s="248" t="str">
        <f t="shared" si="222"/>
        <v/>
      </c>
      <c r="TMD83" s="248" t="str">
        <f t="shared" si="222"/>
        <v/>
      </c>
      <c r="TME83" s="248" t="str">
        <f t="shared" si="222"/>
        <v/>
      </c>
      <c r="TMF83" s="248" t="str">
        <f t="shared" si="222"/>
        <v/>
      </c>
      <c r="TMG83" s="248" t="str">
        <f t="shared" si="222"/>
        <v/>
      </c>
      <c r="TMH83" s="248" t="str">
        <f t="shared" si="222"/>
        <v/>
      </c>
      <c r="TMI83" s="248" t="str">
        <f t="shared" si="222"/>
        <v/>
      </c>
      <c r="TMJ83" s="248" t="str">
        <f t="shared" si="222"/>
        <v/>
      </c>
      <c r="TMK83" s="248" t="str">
        <f t="shared" si="222"/>
        <v/>
      </c>
      <c r="TML83" s="248" t="str">
        <f t="shared" si="222"/>
        <v/>
      </c>
      <c r="TMM83" s="248" t="str">
        <f t="shared" si="222"/>
        <v/>
      </c>
      <c r="TMN83" s="248" t="str">
        <f t="shared" si="222"/>
        <v/>
      </c>
      <c r="TMO83" s="248" t="str">
        <f t="shared" si="222"/>
        <v/>
      </c>
      <c r="TMP83" s="248" t="str">
        <f t="shared" si="222"/>
        <v/>
      </c>
      <c r="TMQ83" s="248" t="str">
        <f t="shared" si="222"/>
        <v/>
      </c>
      <c r="TMR83" s="248" t="str">
        <f t="shared" si="222"/>
        <v/>
      </c>
      <c r="TMS83" s="248" t="str">
        <f t="shared" si="222"/>
        <v/>
      </c>
      <c r="TMT83" s="248" t="str">
        <f t="shared" si="222"/>
        <v/>
      </c>
      <c r="TMU83" s="248" t="str">
        <f t="shared" si="222"/>
        <v/>
      </c>
      <c r="TMV83" s="248" t="str">
        <f t="shared" si="222"/>
        <v/>
      </c>
      <c r="TMW83" s="248" t="str">
        <f t="shared" si="222"/>
        <v/>
      </c>
      <c r="TMX83" s="248" t="str">
        <f t="shared" si="222"/>
        <v/>
      </c>
      <c r="TMY83" s="248" t="str">
        <f t="shared" si="222"/>
        <v/>
      </c>
      <c r="TMZ83" s="248" t="str">
        <f t="shared" si="222"/>
        <v/>
      </c>
      <c r="TNA83" s="248" t="str">
        <f t="shared" si="222"/>
        <v/>
      </c>
      <c r="TNB83" s="248" t="str">
        <f t="shared" si="222"/>
        <v/>
      </c>
      <c r="TNC83" s="248" t="str">
        <f t="shared" si="222"/>
        <v/>
      </c>
      <c r="TND83" s="248" t="str">
        <f t="shared" si="222"/>
        <v/>
      </c>
      <c r="TNE83" s="248" t="str">
        <f t="shared" si="222"/>
        <v/>
      </c>
      <c r="TNF83" s="248" t="str">
        <f t="shared" si="222"/>
        <v/>
      </c>
      <c r="TNG83" s="248" t="str">
        <f t="shared" si="222"/>
        <v/>
      </c>
      <c r="TNH83" s="248" t="str">
        <f t="shared" si="222"/>
        <v/>
      </c>
      <c r="TNI83" s="248" t="str">
        <f t="shared" si="222"/>
        <v/>
      </c>
      <c r="TNJ83" s="248" t="str">
        <f t="shared" si="222"/>
        <v/>
      </c>
      <c r="TNK83" s="248" t="str">
        <f t="shared" si="222"/>
        <v/>
      </c>
      <c r="TNL83" s="248" t="str">
        <f t="shared" si="222"/>
        <v/>
      </c>
      <c r="TNM83" s="248" t="str">
        <f t="shared" si="222"/>
        <v/>
      </c>
      <c r="TNN83" s="248" t="str">
        <f t="shared" si="222"/>
        <v/>
      </c>
      <c r="TNO83" s="248" t="str">
        <f t="shared" si="222"/>
        <v/>
      </c>
      <c r="TNP83" s="248" t="str">
        <f t="shared" si="222"/>
        <v/>
      </c>
      <c r="TNQ83" s="248" t="str">
        <f t="shared" si="222"/>
        <v/>
      </c>
      <c r="TNR83" s="248" t="str">
        <f t="shared" si="222"/>
        <v/>
      </c>
      <c r="TNS83" s="248" t="str">
        <f t="shared" si="222"/>
        <v/>
      </c>
      <c r="TNT83" s="248" t="str">
        <f t="shared" si="222"/>
        <v/>
      </c>
      <c r="TNU83" s="248" t="str">
        <f t="shared" si="222"/>
        <v/>
      </c>
      <c r="TNV83" s="248" t="str">
        <f t="shared" si="222"/>
        <v/>
      </c>
      <c r="TNW83" s="248" t="str">
        <f t="shared" si="222"/>
        <v/>
      </c>
      <c r="TNX83" s="248" t="str">
        <f t="shared" si="222"/>
        <v/>
      </c>
      <c r="TNY83" s="248" t="str">
        <f t="shared" si="222"/>
        <v/>
      </c>
      <c r="TNZ83" s="248" t="str">
        <f t="shared" si="222"/>
        <v/>
      </c>
      <c r="TOA83" s="248" t="str">
        <f t="shared" si="222"/>
        <v/>
      </c>
      <c r="TOB83" s="248" t="str">
        <f t="shared" si="222"/>
        <v/>
      </c>
      <c r="TOC83" s="248" t="str">
        <f t="shared" si="222"/>
        <v/>
      </c>
      <c r="TOD83" s="248" t="str">
        <f t="shared" si="222"/>
        <v/>
      </c>
      <c r="TOE83" s="248" t="str">
        <f t="shared" si="222"/>
        <v/>
      </c>
      <c r="TOF83" s="248" t="str">
        <f t="shared" si="222"/>
        <v/>
      </c>
      <c r="TOG83" s="248" t="str">
        <f t="shared" si="222"/>
        <v/>
      </c>
      <c r="TOH83" s="248" t="str">
        <f t="shared" si="222"/>
        <v/>
      </c>
      <c r="TOI83" s="248" t="str">
        <f t="shared" ref="TOI83:TQT83" si="223">UPPER(TOG83)</f>
        <v/>
      </c>
      <c r="TOJ83" s="248" t="str">
        <f t="shared" si="223"/>
        <v/>
      </c>
      <c r="TOK83" s="248" t="str">
        <f t="shared" si="223"/>
        <v/>
      </c>
      <c r="TOL83" s="248" t="str">
        <f t="shared" si="223"/>
        <v/>
      </c>
      <c r="TOM83" s="248" t="str">
        <f t="shared" si="223"/>
        <v/>
      </c>
      <c r="TON83" s="248" t="str">
        <f t="shared" si="223"/>
        <v/>
      </c>
      <c r="TOO83" s="248" t="str">
        <f t="shared" si="223"/>
        <v/>
      </c>
      <c r="TOP83" s="248" t="str">
        <f t="shared" si="223"/>
        <v/>
      </c>
      <c r="TOQ83" s="248" t="str">
        <f t="shared" si="223"/>
        <v/>
      </c>
      <c r="TOR83" s="248" t="str">
        <f t="shared" si="223"/>
        <v/>
      </c>
      <c r="TOS83" s="248" t="str">
        <f t="shared" si="223"/>
        <v/>
      </c>
      <c r="TOT83" s="248" t="str">
        <f t="shared" si="223"/>
        <v/>
      </c>
      <c r="TOU83" s="248" t="str">
        <f t="shared" si="223"/>
        <v/>
      </c>
      <c r="TOV83" s="248" t="str">
        <f t="shared" si="223"/>
        <v/>
      </c>
      <c r="TOW83" s="248" t="str">
        <f t="shared" si="223"/>
        <v/>
      </c>
      <c r="TOX83" s="248" t="str">
        <f t="shared" si="223"/>
        <v/>
      </c>
      <c r="TOY83" s="248" t="str">
        <f t="shared" si="223"/>
        <v/>
      </c>
      <c r="TOZ83" s="248" t="str">
        <f t="shared" si="223"/>
        <v/>
      </c>
      <c r="TPA83" s="248" t="str">
        <f t="shared" si="223"/>
        <v/>
      </c>
      <c r="TPB83" s="248" t="str">
        <f t="shared" si="223"/>
        <v/>
      </c>
      <c r="TPC83" s="248" t="str">
        <f t="shared" si="223"/>
        <v/>
      </c>
      <c r="TPD83" s="248" t="str">
        <f t="shared" si="223"/>
        <v/>
      </c>
      <c r="TPE83" s="248" t="str">
        <f t="shared" si="223"/>
        <v/>
      </c>
      <c r="TPF83" s="248" t="str">
        <f t="shared" si="223"/>
        <v/>
      </c>
      <c r="TPG83" s="248" t="str">
        <f t="shared" si="223"/>
        <v/>
      </c>
      <c r="TPH83" s="248" t="str">
        <f t="shared" si="223"/>
        <v/>
      </c>
      <c r="TPI83" s="248" t="str">
        <f t="shared" si="223"/>
        <v/>
      </c>
      <c r="TPJ83" s="248" t="str">
        <f t="shared" si="223"/>
        <v/>
      </c>
      <c r="TPK83" s="248" t="str">
        <f t="shared" si="223"/>
        <v/>
      </c>
      <c r="TPL83" s="248" t="str">
        <f t="shared" si="223"/>
        <v/>
      </c>
      <c r="TPM83" s="248" t="str">
        <f t="shared" si="223"/>
        <v/>
      </c>
      <c r="TPN83" s="248" t="str">
        <f t="shared" si="223"/>
        <v/>
      </c>
      <c r="TPO83" s="248" t="str">
        <f t="shared" si="223"/>
        <v/>
      </c>
      <c r="TPP83" s="248" t="str">
        <f t="shared" si="223"/>
        <v/>
      </c>
      <c r="TPQ83" s="248" t="str">
        <f t="shared" si="223"/>
        <v/>
      </c>
      <c r="TPR83" s="248" t="str">
        <f t="shared" si="223"/>
        <v/>
      </c>
      <c r="TPS83" s="248" t="str">
        <f t="shared" si="223"/>
        <v/>
      </c>
      <c r="TPT83" s="248" t="str">
        <f t="shared" si="223"/>
        <v/>
      </c>
      <c r="TPU83" s="248" t="str">
        <f t="shared" si="223"/>
        <v/>
      </c>
      <c r="TPV83" s="248" t="str">
        <f t="shared" si="223"/>
        <v/>
      </c>
      <c r="TPW83" s="248" t="str">
        <f t="shared" si="223"/>
        <v/>
      </c>
      <c r="TPX83" s="248" t="str">
        <f t="shared" si="223"/>
        <v/>
      </c>
      <c r="TPY83" s="248" t="str">
        <f t="shared" si="223"/>
        <v/>
      </c>
      <c r="TPZ83" s="248" t="str">
        <f t="shared" si="223"/>
        <v/>
      </c>
      <c r="TQA83" s="248" t="str">
        <f t="shared" si="223"/>
        <v/>
      </c>
      <c r="TQB83" s="248" t="str">
        <f t="shared" si="223"/>
        <v/>
      </c>
      <c r="TQC83" s="248" t="str">
        <f t="shared" si="223"/>
        <v/>
      </c>
      <c r="TQD83" s="248" t="str">
        <f t="shared" si="223"/>
        <v/>
      </c>
      <c r="TQE83" s="248" t="str">
        <f t="shared" si="223"/>
        <v/>
      </c>
      <c r="TQF83" s="248" t="str">
        <f t="shared" si="223"/>
        <v/>
      </c>
      <c r="TQG83" s="248" t="str">
        <f t="shared" si="223"/>
        <v/>
      </c>
      <c r="TQH83" s="248" t="str">
        <f t="shared" si="223"/>
        <v/>
      </c>
      <c r="TQI83" s="248" t="str">
        <f t="shared" si="223"/>
        <v/>
      </c>
      <c r="TQJ83" s="248" t="str">
        <f t="shared" si="223"/>
        <v/>
      </c>
      <c r="TQK83" s="248" t="str">
        <f t="shared" si="223"/>
        <v/>
      </c>
      <c r="TQL83" s="248" t="str">
        <f t="shared" si="223"/>
        <v/>
      </c>
      <c r="TQM83" s="248" t="str">
        <f t="shared" si="223"/>
        <v/>
      </c>
      <c r="TQN83" s="248" t="str">
        <f t="shared" si="223"/>
        <v/>
      </c>
      <c r="TQO83" s="248" t="str">
        <f t="shared" si="223"/>
        <v/>
      </c>
      <c r="TQP83" s="248" t="str">
        <f t="shared" si="223"/>
        <v/>
      </c>
      <c r="TQQ83" s="248" t="str">
        <f t="shared" si="223"/>
        <v/>
      </c>
      <c r="TQR83" s="248" t="str">
        <f t="shared" si="223"/>
        <v/>
      </c>
      <c r="TQS83" s="248" t="str">
        <f t="shared" si="223"/>
        <v/>
      </c>
      <c r="TQT83" s="248" t="str">
        <f t="shared" si="223"/>
        <v/>
      </c>
      <c r="TQU83" s="248" t="str">
        <f t="shared" ref="TQU83:TTF83" si="224">UPPER(TQS83)</f>
        <v/>
      </c>
      <c r="TQV83" s="248" t="str">
        <f t="shared" si="224"/>
        <v/>
      </c>
      <c r="TQW83" s="248" t="str">
        <f t="shared" si="224"/>
        <v/>
      </c>
      <c r="TQX83" s="248" t="str">
        <f t="shared" si="224"/>
        <v/>
      </c>
      <c r="TQY83" s="248" t="str">
        <f t="shared" si="224"/>
        <v/>
      </c>
      <c r="TQZ83" s="248" t="str">
        <f t="shared" si="224"/>
        <v/>
      </c>
      <c r="TRA83" s="248" t="str">
        <f t="shared" si="224"/>
        <v/>
      </c>
      <c r="TRB83" s="248" t="str">
        <f t="shared" si="224"/>
        <v/>
      </c>
      <c r="TRC83" s="248" t="str">
        <f t="shared" si="224"/>
        <v/>
      </c>
      <c r="TRD83" s="248" t="str">
        <f t="shared" si="224"/>
        <v/>
      </c>
      <c r="TRE83" s="248" t="str">
        <f t="shared" si="224"/>
        <v/>
      </c>
      <c r="TRF83" s="248" t="str">
        <f t="shared" si="224"/>
        <v/>
      </c>
      <c r="TRG83" s="248" t="str">
        <f t="shared" si="224"/>
        <v/>
      </c>
      <c r="TRH83" s="248" t="str">
        <f t="shared" si="224"/>
        <v/>
      </c>
      <c r="TRI83" s="248" t="str">
        <f t="shared" si="224"/>
        <v/>
      </c>
      <c r="TRJ83" s="248" t="str">
        <f t="shared" si="224"/>
        <v/>
      </c>
      <c r="TRK83" s="248" t="str">
        <f t="shared" si="224"/>
        <v/>
      </c>
      <c r="TRL83" s="248" t="str">
        <f t="shared" si="224"/>
        <v/>
      </c>
      <c r="TRM83" s="248" t="str">
        <f t="shared" si="224"/>
        <v/>
      </c>
      <c r="TRN83" s="248" t="str">
        <f t="shared" si="224"/>
        <v/>
      </c>
      <c r="TRO83" s="248" t="str">
        <f t="shared" si="224"/>
        <v/>
      </c>
      <c r="TRP83" s="248" t="str">
        <f t="shared" si="224"/>
        <v/>
      </c>
      <c r="TRQ83" s="248" t="str">
        <f t="shared" si="224"/>
        <v/>
      </c>
      <c r="TRR83" s="248" t="str">
        <f t="shared" si="224"/>
        <v/>
      </c>
      <c r="TRS83" s="248" t="str">
        <f t="shared" si="224"/>
        <v/>
      </c>
      <c r="TRT83" s="248" t="str">
        <f t="shared" si="224"/>
        <v/>
      </c>
      <c r="TRU83" s="248" t="str">
        <f t="shared" si="224"/>
        <v/>
      </c>
      <c r="TRV83" s="248" t="str">
        <f t="shared" si="224"/>
        <v/>
      </c>
      <c r="TRW83" s="248" t="str">
        <f t="shared" si="224"/>
        <v/>
      </c>
      <c r="TRX83" s="248" t="str">
        <f t="shared" si="224"/>
        <v/>
      </c>
      <c r="TRY83" s="248" t="str">
        <f t="shared" si="224"/>
        <v/>
      </c>
      <c r="TRZ83" s="248" t="str">
        <f t="shared" si="224"/>
        <v/>
      </c>
      <c r="TSA83" s="248" t="str">
        <f t="shared" si="224"/>
        <v/>
      </c>
      <c r="TSB83" s="248" t="str">
        <f t="shared" si="224"/>
        <v/>
      </c>
      <c r="TSC83" s="248" t="str">
        <f t="shared" si="224"/>
        <v/>
      </c>
      <c r="TSD83" s="248" t="str">
        <f t="shared" si="224"/>
        <v/>
      </c>
      <c r="TSE83" s="248" t="str">
        <f t="shared" si="224"/>
        <v/>
      </c>
      <c r="TSF83" s="248" t="str">
        <f t="shared" si="224"/>
        <v/>
      </c>
      <c r="TSG83" s="248" t="str">
        <f t="shared" si="224"/>
        <v/>
      </c>
      <c r="TSH83" s="248" t="str">
        <f t="shared" si="224"/>
        <v/>
      </c>
      <c r="TSI83" s="248" t="str">
        <f t="shared" si="224"/>
        <v/>
      </c>
      <c r="TSJ83" s="248" t="str">
        <f t="shared" si="224"/>
        <v/>
      </c>
      <c r="TSK83" s="248" t="str">
        <f t="shared" si="224"/>
        <v/>
      </c>
      <c r="TSL83" s="248" t="str">
        <f t="shared" si="224"/>
        <v/>
      </c>
      <c r="TSM83" s="248" t="str">
        <f t="shared" si="224"/>
        <v/>
      </c>
      <c r="TSN83" s="248" t="str">
        <f t="shared" si="224"/>
        <v/>
      </c>
      <c r="TSO83" s="248" t="str">
        <f t="shared" si="224"/>
        <v/>
      </c>
      <c r="TSP83" s="248" t="str">
        <f t="shared" si="224"/>
        <v/>
      </c>
      <c r="TSQ83" s="248" t="str">
        <f t="shared" si="224"/>
        <v/>
      </c>
      <c r="TSR83" s="248" t="str">
        <f t="shared" si="224"/>
        <v/>
      </c>
      <c r="TSS83" s="248" t="str">
        <f t="shared" si="224"/>
        <v/>
      </c>
      <c r="TST83" s="248" t="str">
        <f t="shared" si="224"/>
        <v/>
      </c>
      <c r="TSU83" s="248" t="str">
        <f t="shared" si="224"/>
        <v/>
      </c>
      <c r="TSV83" s="248" t="str">
        <f t="shared" si="224"/>
        <v/>
      </c>
      <c r="TSW83" s="248" t="str">
        <f t="shared" si="224"/>
        <v/>
      </c>
      <c r="TSX83" s="248" t="str">
        <f t="shared" si="224"/>
        <v/>
      </c>
      <c r="TSY83" s="248" t="str">
        <f t="shared" si="224"/>
        <v/>
      </c>
      <c r="TSZ83" s="248" t="str">
        <f t="shared" si="224"/>
        <v/>
      </c>
      <c r="TTA83" s="248" t="str">
        <f t="shared" si="224"/>
        <v/>
      </c>
      <c r="TTB83" s="248" t="str">
        <f t="shared" si="224"/>
        <v/>
      </c>
      <c r="TTC83" s="248" t="str">
        <f t="shared" si="224"/>
        <v/>
      </c>
      <c r="TTD83" s="248" t="str">
        <f t="shared" si="224"/>
        <v/>
      </c>
      <c r="TTE83" s="248" t="str">
        <f t="shared" si="224"/>
        <v/>
      </c>
      <c r="TTF83" s="248" t="str">
        <f t="shared" si="224"/>
        <v/>
      </c>
      <c r="TTG83" s="248" t="str">
        <f t="shared" ref="TTG83:TVR83" si="225">UPPER(TTE83)</f>
        <v/>
      </c>
      <c r="TTH83" s="248" t="str">
        <f t="shared" si="225"/>
        <v/>
      </c>
      <c r="TTI83" s="248" t="str">
        <f t="shared" si="225"/>
        <v/>
      </c>
      <c r="TTJ83" s="248" t="str">
        <f t="shared" si="225"/>
        <v/>
      </c>
      <c r="TTK83" s="248" t="str">
        <f t="shared" si="225"/>
        <v/>
      </c>
      <c r="TTL83" s="248" t="str">
        <f t="shared" si="225"/>
        <v/>
      </c>
      <c r="TTM83" s="248" t="str">
        <f t="shared" si="225"/>
        <v/>
      </c>
      <c r="TTN83" s="248" t="str">
        <f t="shared" si="225"/>
        <v/>
      </c>
      <c r="TTO83" s="248" t="str">
        <f t="shared" si="225"/>
        <v/>
      </c>
      <c r="TTP83" s="248" t="str">
        <f t="shared" si="225"/>
        <v/>
      </c>
      <c r="TTQ83" s="248" t="str">
        <f t="shared" si="225"/>
        <v/>
      </c>
      <c r="TTR83" s="248" t="str">
        <f t="shared" si="225"/>
        <v/>
      </c>
      <c r="TTS83" s="248" t="str">
        <f t="shared" si="225"/>
        <v/>
      </c>
      <c r="TTT83" s="248" t="str">
        <f t="shared" si="225"/>
        <v/>
      </c>
      <c r="TTU83" s="248" t="str">
        <f t="shared" si="225"/>
        <v/>
      </c>
      <c r="TTV83" s="248" t="str">
        <f t="shared" si="225"/>
        <v/>
      </c>
      <c r="TTW83" s="248" t="str">
        <f t="shared" si="225"/>
        <v/>
      </c>
      <c r="TTX83" s="248" t="str">
        <f t="shared" si="225"/>
        <v/>
      </c>
      <c r="TTY83" s="248" t="str">
        <f t="shared" si="225"/>
        <v/>
      </c>
      <c r="TTZ83" s="248" t="str">
        <f t="shared" si="225"/>
        <v/>
      </c>
      <c r="TUA83" s="248" t="str">
        <f t="shared" si="225"/>
        <v/>
      </c>
      <c r="TUB83" s="248" t="str">
        <f t="shared" si="225"/>
        <v/>
      </c>
      <c r="TUC83" s="248" t="str">
        <f t="shared" si="225"/>
        <v/>
      </c>
      <c r="TUD83" s="248" t="str">
        <f t="shared" si="225"/>
        <v/>
      </c>
      <c r="TUE83" s="248" t="str">
        <f t="shared" si="225"/>
        <v/>
      </c>
      <c r="TUF83" s="248" t="str">
        <f t="shared" si="225"/>
        <v/>
      </c>
      <c r="TUG83" s="248" t="str">
        <f t="shared" si="225"/>
        <v/>
      </c>
      <c r="TUH83" s="248" t="str">
        <f t="shared" si="225"/>
        <v/>
      </c>
      <c r="TUI83" s="248" t="str">
        <f t="shared" si="225"/>
        <v/>
      </c>
      <c r="TUJ83" s="248" t="str">
        <f t="shared" si="225"/>
        <v/>
      </c>
      <c r="TUK83" s="248" t="str">
        <f t="shared" si="225"/>
        <v/>
      </c>
      <c r="TUL83" s="248" t="str">
        <f t="shared" si="225"/>
        <v/>
      </c>
      <c r="TUM83" s="248" t="str">
        <f t="shared" si="225"/>
        <v/>
      </c>
      <c r="TUN83" s="248" t="str">
        <f t="shared" si="225"/>
        <v/>
      </c>
      <c r="TUO83" s="248" t="str">
        <f t="shared" si="225"/>
        <v/>
      </c>
      <c r="TUP83" s="248" t="str">
        <f t="shared" si="225"/>
        <v/>
      </c>
      <c r="TUQ83" s="248" t="str">
        <f t="shared" si="225"/>
        <v/>
      </c>
      <c r="TUR83" s="248" t="str">
        <f t="shared" si="225"/>
        <v/>
      </c>
      <c r="TUS83" s="248" t="str">
        <f t="shared" si="225"/>
        <v/>
      </c>
      <c r="TUT83" s="248" t="str">
        <f t="shared" si="225"/>
        <v/>
      </c>
      <c r="TUU83" s="248" t="str">
        <f t="shared" si="225"/>
        <v/>
      </c>
      <c r="TUV83" s="248" t="str">
        <f t="shared" si="225"/>
        <v/>
      </c>
      <c r="TUW83" s="248" t="str">
        <f t="shared" si="225"/>
        <v/>
      </c>
      <c r="TUX83" s="248" t="str">
        <f t="shared" si="225"/>
        <v/>
      </c>
      <c r="TUY83" s="248" t="str">
        <f t="shared" si="225"/>
        <v/>
      </c>
      <c r="TUZ83" s="248" t="str">
        <f t="shared" si="225"/>
        <v/>
      </c>
      <c r="TVA83" s="248" t="str">
        <f t="shared" si="225"/>
        <v/>
      </c>
      <c r="TVB83" s="248" t="str">
        <f t="shared" si="225"/>
        <v/>
      </c>
      <c r="TVC83" s="248" t="str">
        <f t="shared" si="225"/>
        <v/>
      </c>
      <c r="TVD83" s="248" t="str">
        <f t="shared" si="225"/>
        <v/>
      </c>
      <c r="TVE83" s="248" t="str">
        <f t="shared" si="225"/>
        <v/>
      </c>
      <c r="TVF83" s="248" t="str">
        <f t="shared" si="225"/>
        <v/>
      </c>
      <c r="TVG83" s="248" t="str">
        <f t="shared" si="225"/>
        <v/>
      </c>
      <c r="TVH83" s="248" t="str">
        <f t="shared" si="225"/>
        <v/>
      </c>
      <c r="TVI83" s="248" t="str">
        <f t="shared" si="225"/>
        <v/>
      </c>
      <c r="TVJ83" s="248" t="str">
        <f t="shared" si="225"/>
        <v/>
      </c>
      <c r="TVK83" s="248" t="str">
        <f t="shared" si="225"/>
        <v/>
      </c>
      <c r="TVL83" s="248" t="str">
        <f t="shared" si="225"/>
        <v/>
      </c>
      <c r="TVM83" s="248" t="str">
        <f t="shared" si="225"/>
        <v/>
      </c>
      <c r="TVN83" s="248" t="str">
        <f t="shared" si="225"/>
        <v/>
      </c>
      <c r="TVO83" s="248" t="str">
        <f t="shared" si="225"/>
        <v/>
      </c>
      <c r="TVP83" s="248" t="str">
        <f t="shared" si="225"/>
        <v/>
      </c>
      <c r="TVQ83" s="248" t="str">
        <f t="shared" si="225"/>
        <v/>
      </c>
      <c r="TVR83" s="248" t="str">
        <f t="shared" si="225"/>
        <v/>
      </c>
      <c r="TVS83" s="248" t="str">
        <f t="shared" ref="TVS83:TYD83" si="226">UPPER(TVQ83)</f>
        <v/>
      </c>
      <c r="TVT83" s="248" t="str">
        <f t="shared" si="226"/>
        <v/>
      </c>
      <c r="TVU83" s="248" t="str">
        <f t="shared" si="226"/>
        <v/>
      </c>
      <c r="TVV83" s="248" t="str">
        <f t="shared" si="226"/>
        <v/>
      </c>
      <c r="TVW83" s="248" t="str">
        <f t="shared" si="226"/>
        <v/>
      </c>
      <c r="TVX83" s="248" t="str">
        <f t="shared" si="226"/>
        <v/>
      </c>
      <c r="TVY83" s="248" t="str">
        <f t="shared" si="226"/>
        <v/>
      </c>
      <c r="TVZ83" s="248" t="str">
        <f t="shared" si="226"/>
        <v/>
      </c>
      <c r="TWA83" s="248" t="str">
        <f t="shared" si="226"/>
        <v/>
      </c>
      <c r="TWB83" s="248" t="str">
        <f t="shared" si="226"/>
        <v/>
      </c>
      <c r="TWC83" s="248" t="str">
        <f t="shared" si="226"/>
        <v/>
      </c>
      <c r="TWD83" s="248" t="str">
        <f t="shared" si="226"/>
        <v/>
      </c>
      <c r="TWE83" s="248" t="str">
        <f t="shared" si="226"/>
        <v/>
      </c>
      <c r="TWF83" s="248" t="str">
        <f t="shared" si="226"/>
        <v/>
      </c>
      <c r="TWG83" s="248" t="str">
        <f t="shared" si="226"/>
        <v/>
      </c>
      <c r="TWH83" s="248" t="str">
        <f t="shared" si="226"/>
        <v/>
      </c>
      <c r="TWI83" s="248" t="str">
        <f t="shared" si="226"/>
        <v/>
      </c>
      <c r="TWJ83" s="248" t="str">
        <f t="shared" si="226"/>
        <v/>
      </c>
      <c r="TWK83" s="248" t="str">
        <f t="shared" si="226"/>
        <v/>
      </c>
      <c r="TWL83" s="248" t="str">
        <f t="shared" si="226"/>
        <v/>
      </c>
      <c r="TWM83" s="248" t="str">
        <f t="shared" si="226"/>
        <v/>
      </c>
      <c r="TWN83" s="248" t="str">
        <f t="shared" si="226"/>
        <v/>
      </c>
      <c r="TWO83" s="248" t="str">
        <f t="shared" si="226"/>
        <v/>
      </c>
      <c r="TWP83" s="248" t="str">
        <f t="shared" si="226"/>
        <v/>
      </c>
      <c r="TWQ83" s="248" t="str">
        <f t="shared" si="226"/>
        <v/>
      </c>
      <c r="TWR83" s="248" t="str">
        <f t="shared" si="226"/>
        <v/>
      </c>
      <c r="TWS83" s="248" t="str">
        <f t="shared" si="226"/>
        <v/>
      </c>
      <c r="TWT83" s="248" t="str">
        <f t="shared" si="226"/>
        <v/>
      </c>
      <c r="TWU83" s="248" t="str">
        <f t="shared" si="226"/>
        <v/>
      </c>
      <c r="TWV83" s="248" t="str">
        <f t="shared" si="226"/>
        <v/>
      </c>
      <c r="TWW83" s="248" t="str">
        <f t="shared" si="226"/>
        <v/>
      </c>
      <c r="TWX83" s="248" t="str">
        <f t="shared" si="226"/>
        <v/>
      </c>
      <c r="TWY83" s="248" t="str">
        <f t="shared" si="226"/>
        <v/>
      </c>
      <c r="TWZ83" s="248" t="str">
        <f t="shared" si="226"/>
        <v/>
      </c>
      <c r="TXA83" s="248" t="str">
        <f t="shared" si="226"/>
        <v/>
      </c>
      <c r="TXB83" s="248" t="str">
        <f t="shared" si="226"/>
        <v/>
      </c>
      <c r="TXC83" s="248" t="str">
        <f t="shared" si="226"/>
        <v/>
      </c>
      <c r="TXD83" s="248" t="str">
        <f t="shared" si="226"/>
        <v/>
      </c>
      <c r="TXE83" s="248" t="str">
        <f t="shared" si="226"/>
        <v/>
      </c>
      <c r="TXF83" s="248" t="str">
        <f t="shared" si="226"/>
        <v/>
      </c>
      <c r="TXG83" s="248" t="str">
        <f t="shared" si="226"/>
        <v/>
      </c>
      <c r="TXH83" s="248" t="str">
        <f t="shared" si="226"/>
        <v/>
      </c>
      <c r="TXI83" s="248" t="str">
        <f t="shared" si="226"/>
        <v/>
      </c>
      <c r="TXJ83" s="248" t="str">
        <f t="shared" si="226"/>
        <v/>
      </c>
      <c r="TXK83" s="248" t="str">
        <f t="shared" si="226"/>
        <v/>
      </c>
      <c r="TXL83" s="248" t="str">
        <f t="shared" si="226"/>
        <v/>
      </c>
      <c r="TXM83" s="248" t="str">
        <f t="shared" si="226"/>
        <v/>
      </c>
      <c r="TXN83" s="248" t="str">
        <f t="shared" si="226"/>
        <v/>
      </c>
      <c r="TXO83" s="248" t="str">
        <f t="shared" si="226"/>
        <v/>
      </c>
      <c r="TXP83" s="248" t="str">
        <f t="shared" si="226"/>
        <v/>
      </c>
      <c r="TXQ83" s="248" t="str">
        <f t="shared" si="226"/>
        <v/>
      </c>
      <c r="TXR83" s="248" t="str">
        <f t="shared" si="226"/>
        <v/>
      </c>
      <c r="TXS83" s="248" t="str">
        <f t="shared" si="226"/>
        <v/>
      </c>
      <c r="TXT83" s="248" t="str">
        <f t="shared" si="226"/>
        <v/>
      </c>
      <c r="TXU83" s="248" t="str">
        <f t="shared" si="226"/>
        <v/>
      </c>
      <c r="TXV83" s="248" t="str">
        <f t="shared" si="226"/>
        <v/>
      </c>
      <c r="TXW83" s="248" t="str">
        <f t="shared" si="226"/>
        <v/>
      </c>
      <c r="TXX83" s="248" t="str">
        <f t="shared" si="226"/>
        <v/>
      </c>
      <c r="TXY83" s="248" t="str">
        <f t="shared" si="226"/>
        <v/>
      </c>
      <c r="TXZ83" s="248" t="str">
        <f t="shared" si="226"/>
        <v/>
      </c>
      <c r="TYA83" s="248" t="str">
        <f t="shared" si="226"/>
        <v/>
      </c>
      <c r="TYB83" s="248" t="str">
        <f t="shared" si="226"/>
        <v/>
      </c>
      <c r="TYC83" s="248" t="str">
        <f t="shared" si="226"/>
        <v/>
      </c>
      <c r="TYD83" s="248" t="str">
        <f t="shared" si="226"/>
        <v/>
      </c>
      <c r="TYE83" s="248" t="str">
        <f t="shared" ref="TYE83:UAP83" si="227">UPPER(TYC83)</f>
        <v/>
      </c>
      <c r="TYF83" s="248" t="str">
        <f t="shared" si="227"/>
        <v/>
      </c>
      <c r="TYG83" s="248" t="str">
        <f t="shared" si="227"/>
        <v/>
      </c>
      <c r="TYH83" s="248" t="str">
        <f t="shared" si="227"/>
        <v/>
      </c>
      <c r="TYI83" s="248" t="str">
        <f t="shared" si="227"/>
        <v/>
      </c>
      <c r="TYJ83" s="248" t="str">
        <f t="shared" si="227"/>
        <v/>
      </c>
      <c r="TYK83" s="248" t="str">
        <f t="shared" si="227"/>
        <v/>
      </c>
      <c r="TYL83" s="248" t="str">
        <f t="shared" si="227"/>
        <v/>
      </c>
      <c r="TYM83" s="248" t="str">
        <f t="shared" si="227"/>
        <v/>
      </c>
      <c r="TYN83" s="248" t="str">
        <f t="shared" si="227"/>
        <v/>
      </c>
      <c r="TYO83" s="248" t="str">
        <f t="shared" si="227"/>
        <v/>
      </c>
      <c r="TYP83" s="248" t="str">
        <f t="shared" si="227"/>
        <v/>
      </c>
      <c r="TYQ83" s="248" t="str">
        <f t="shared" si="227"/>
        <v/>
      </c>
      <c r="TYR83" s="248" t="str">
        <f t="shared" si="227"/>
        <v/>
      </c>
      <c r="TYS83" s="248" t="str">
        <f t="shared" si="227"/>
        <v/>
      </c>
      <c r="TYT83" s="248" t="str">
        <f t="shared" si="227"/>
        <v/>
      </c>
      <c r="TYU83" s="248" t="str">
        <f t="shared" si="227"/>
        <v/>
      </c>
      <c r="TYV83" s="248" t="str">
        <f t="shared" si="227"/>
        <v/>
      </c>
      <c r="TYW83" s="248" t="str">
        <f t="shared" si="227"/>
        <v/>
      </c>
      <c r="TYX83" s="248" t="str">
        <f t="shared" si="227"/>
        <v/>
      </c>
      <c r="TYY83" s="248" t="str">
        <f t="shared" si="227"/>
        <v/>
      </c>
      <c r="TYZ83" s="248" t="str">
        <f t="shared" si="227"/>
        <v/>
      </c>
      <c r="TZA83" s="248" t="str">
        <f t="shared" si="227"/>
        <v/>
      </c>
      <c r="TZB83" s="248" t="str">
        <f t="shared" si="227"/>
        <v/>
      </c>
      <c r="TZC83" s="248" t="str">
        <f t="shared" si="227"/>
        <v/>
      </c>
      <c r="TZD83" s="248" t="str">
        <f t="shared" si="227"/>
        <v/>
      </c>
      <c r="TZE83" s="248" t="str">
        <f t="shared" si="227"/>
        <v/>
      </c>
      <c r="TZF83" s="248" t="str">
        <f t="shared" si="227"/>
        <v/>
      </c>
      <c r="TZG83" s="248" t="str">
        <f t="shared" si="227"/>
        <v/>
      </c>
      <c r="TZH83" s="248" t="str">
        <f t="shared" si="227"/>
        <v/>
      </c>
      <c r="TZI83" s="248" t="str">
        <f t="shared" si="227"/>
        <v/>
      </c>
      <c r="TZJ83" s="248" t="str">
        <f t="shared" si="227"/>
        <v/>
      </c>
      <c r="TZK83" s="248" t="str">
        <f t="shared" si="227"/>
        <v/>
      </c>
      <c r="TZL83" s="248" t="str">
        <f t="shared" si="227"/>
        <v/>
      </c>
      <c r="TZM83" s="248" t="str">
        <f t="shared" si="227"/>
        <v/>
      </c>
      <c r="TZN83" s="248" t="str">
        <f t="shared" si="227"/>
        <v/>
      </c>
      <c r="TZO83" s="248" t="str">
        <f t="shared" si="227"/>
        <v/>
      </c>
      <c r="TZP83" s="248" t="str">
        <f t="shared" si="227"/>
        <v/>
      </c>
      <c r="TZQ83" s="248" t="str">
        <f t="shared" si="227"/>
        <v/>
      </c>
      <c r="TZR83" s="248" t="str">
        <f t="shared" si="227"/>
        <v/>
      </c>
      <c r="TZS83" s="248" t="str">
        <f t="shared" si="227"/>
        <v/>
      </c>
      <c r="TZT83" s="248" t="str">
        <f t="shared" si="227"/>
        <v/>
      </c>
      <c r="TZU83" s="248" t="str">
        <f t="shared" si="227"/>
        <v/>
      </c>
      <c r="TZV83" s="248" t="str">
        <f t="shared" si="227"/>
        <v/>
      </c>
      <c r="TZW83" s="248" t="str">
        <f t="shared" si="227"/>
        <v/>
      </c>
      <c r="TZX83" s="248" t="str">
        <f t="shared" si="227"/>
        <v/>
      </c>
      <c r="TZY83" s="248" t="str">
        <f t="shared" si="227"/>
        <v/>
      </c>
      <c r="TZZ83" s="248" t="str">
        <f t="shared" si="227"/>
        <v/>
      </c>
      <c r="UAA83" s="248" t="str">
        <f t="shared" si="227"/>
        <v/>
      </c>
      <c r="UAB83" s="248" t="str">
        <f t="shared" si="227"/>
        <v/>
      </c>
      <c r="UAC83" s="248" t="str">
        <f t="shared" si="227"/>
        <v/>
      </c>
      <c r="UAD83" s="248" t="str">
        <f t="shared" si="227"/>
        <v/>
      </c>
      <c r="UAE83" s="248" t="str">
        <f t="shared" si="227"/>
        <v/>
      </c>
      <c r="UAF83" s="248" t="str">
        <f t="shared" si="227"/>
        <v/>
      </c>
      <c r="UAG83" s="248" t="str">
        <f t="shared" si="227"/>
        <v/>
      </c>
      <c r="UAH83" s="248" t="str">
        <f t="shared" si="227"/>
        <v/>
      </c>
      <c r="UAI83" s="248" t="str">
        <f t="shared" si="227"/>
        <v/>
      </c>
      <c r="UAJ83" s="248" t="str">
        <f t="shared" si="227"/>
        <v/>
      </c>
      <c r="UAK83" s="248" t="str">
        <f t="shared" si="227"/>
        <v/>
      </c>
      <c r="UAL83" s="248" t="str">
        <f t="shared" si="227"/>
        <v/>
      </c>
      <c r="UAM83" s="248" t="str">
        <f t="shared" si="227"/>
        <v/>
      </c>
      <c r="UAN83" s="248" t="str">
        <f t="shared" si="227"/>
        <v/>
      </c>
      <c r="UAO83" s="248" t="str">
        <f t="shared" si="227"/>
        <v/>
      </c>
      <c r="UAP83" s="248" t="str">
        <f t="shared" si="227"/>
        <v/>
      </c>
      <c r="UAQ83" s="248" t="str">
        <f t="shared" ref="UAQ83:UDB83" si="228">UPPER(UAO83)</f>
        <v/>
      </c>
      <c r="UAR83" s="248" t="str">
        <f t="shared" si="228"/>
        <v/>
      </c>
      <c r="UAS83" s="248" t="str">
        <f t="shared" si="228"/>
        <v/>
      </c>
      <c r="UAT83" s="248" t="str">
        <f t="shared" si="228"/>
        <v/>
      </c>
      <c r="UAU83" s="248" t="str">
        <f t="shared" si="228"/>
        <v/>
      </c>
      <c r="UAV83" s="248" t="str">
        <f t="shared" si="228"/>
        <v/>
      </c>
      <c r="UAW83" s="248" t="str">
        <f t="shared" si="228"/>
        <v/>
      </c>
      <c r="UAX83" s="248" t="str">
        <f t="shared" si="228"/>
        <v/>
      </c>
      <c r="UAY83" s="248" t="str">
        <f t="shared" si="228"/>
        <v/>
      </c>
      <c r="UAZ83" s="248" t="str">
        <f t="shared" si="228"/>
        <v/>
      </c>
      <c r="UBA83" s="248" t="str">
        <f t="shared" si="228"/>
        <v/>
      </c>
      <c r="UBB83" s="248" t="str">
        <f t="shared" si="228"/>
        <v/>
      </c>
      <c r="UBC83" s="248" t="str">
        <f t="shared" si="228"/>
        <v/>
      </c>
      <c r="UBD83" s="248" t="str">
        <f t="shared" si="228"/>
        <v/>
      </c>
      <c r="UBE83" s="248" t="str">
        <f t="shared" si="228"/>
        <v/>
      </c>
      <c r="UBF83" s="248" t="str">
        <f t="shared" si="228"/>
        <v/>
      </c>
      <c r="UBG83" s="248" t="str">
        <f t="shared" si="228"/>
        <v/>
      </c>
      <c r="UBH83" s="248" t="str">
        <f t="shared" si="228"/>
        <v/>
      </c>
      <c r="UBI83" s="248" t="str">
        <f t="shared" si="228"/>
        <v/>
      </c>
      <c r="UBJ83" s="248" t="str">
        <f t="shared" si="228"/>
        <v/>
      </c>
      <c r="UBK83" s="248" t="str">
        <f t="shared" si="228"/>
        <v/>
      </c>
      <c r="UBL83" s="248" t="str">
        <f t="shared" si="228"/>
        <v/>
      </c>
      <c r="UBM83" s="248" t="str">
        <f t="shared" si="228"/>
        <v/>
      </c>
      <c r="UBN83" s="248" t="str">
        <f t="shared" si="228"/>
        <v/>
      </c>
      <c r="UBO83" s="248" t="str">
        <f t="shared" si="228"/>
        <v/>
      </c>
      <c r="UBP83" s="248" t="str">
        <f t="shared" si="228"/>
        <v/>
      </c>
      <c r="UBQ83" s="248" t="str">
        <f t="shared" si="228"/>
        <v/>
      </c>
      <c r="UBR83" s="248" t="str">
        <f t="shared" si="228"/>
        <v/>
      </c>
      <c r="UBS83" s="248" t="str">
        <f t="shared" si="228"/>
        <v/>
      </c>
      <c r="UBT83" s="248" t="str">
        <f t="shared" si="228"/>
        <v/>
      </c>
      <c r="UBU83" s="248" t="str">
        <f t="shared" si="228"/>
        <v/>
      </c>
      <c r="UBV83" s="248" t="str">
        <f t="shared" si="228"/>
        <v/>
      </c>
      <c r="UBW83" s="248" t="str">
        <f t="shared" si="228"/>
        <v/>
      </c>
      <c r="UBX83" s="248" t="str">
        <f t="shared" si="228"/>
        <v/>
      </c>
      <c r="UBY83" s="248" t="str">
        <f t="shared" si="228"/>
        <v/>
      </c>
      <c r="UBZ83" s="248" t="str">
        <f t="shared" si="228"/>
        <v/>
      </c>
      <c r="UCA83" s="248" t="str">
        <f t="shared" si="228"/>
        <v/>
      </c>
      <c r="UCB83" s="248" t="str">
        <f t="shared" si="228"/>
        <v/>
      </c>
      <c r="UCC83" s="248" t="str">
        <f t="shared" si="228"/>
        <v/>
      </c>
      <c r="UCD83" s="248" t="str">
        <f t="shared" si="228"/>
        <v/>
      </c>
      <c r="UCE83" s="248" t="str">
        <f t="shared" si="228"/>
        <v/>
      </c>
      <c r="UCF83" s="248" t="str">
        <f t="shared" si="228"/>
        <v/>
      </c>
      <c r="UCG83" s="248" t="str">
        <f t="shared" si="228"/>
        <v/>
      </c>
      <c r="UCH83" s="248" t="str">
        <f t="shared" si="228"/>
        <v/>
      </c>
      <c r="UCI83" s="248" t="str">
        <f t="shared" si="228"/>
        <v/>
      </c>
      <c r="UCJ83" s="248" t="str">
        <f t="shared" si="228"/>
        <v/>
      </c>
      <c r="UCK83" s="248" t="str">
        <f t="shared" si="228"/>
        <v/>
      </c>
      <c r="UCL83" s="248" t="str">
        <f t="shared" si="228"/>
        <v/>
      </c>
      <c r="UCM83" s="248" t="str">
        <f t="shared" si="228"/>
        <v/>
      </c>
      <c r="UCN83" s="248" t="str">
        <f t="shared" si="228"/>
        <v/>
      </c>
      <c r="UCO83" s="248" t="str">
        <f t="shared" si="228"/>
        <v/>
      </c>
      <c r="UCP83" s="248" t="str">
        <f t="shared" si="228"/>
        <v/>
      </c>
      <c r="UCQ83" s="248" t="str">
        <f t="shared" si="228"/>
        <v/>
      </c>
      <c r="UCR83" s="248" t="str">
        <f t="shared" si="228"/>
        <v/>
      </c>
      <c r="UCS83" s="248" t="str">
        <f t="shared" si="228"/>
        <v/>
      </c>
      <c r="UCT83" s="248" t="str">
        <f t="shared" si="228"/>
        <v/>
      </c>
      <c r="UCU83" s="248" t="str">
        <f t="shared" si="228"/>
        <v/>
      </c>
      <c r="UCV83" s="248" t="str">
        <f t="shared" si="228"/>
        <v/>
      </c>
      <c r="UCW83" s="248" t="str">
        <f t="shared" si="228"/>
        <v/>
      </c>
      <c r="UCX83" s="248" t="str">
        <f t="shared" si="228"/>
        <v/>
      </c>
      <c r="UCY83" s="248" t="str">
        <f t="shared" si="228"/>
        <v/>
      </c>
      <c r="UCZ83" s="248" t="str">
        <f t="shared" si="228"/>
        <v/>
      </c>
      <c r="UDA83" s="248" t="str">
        <f t="shared" si="228"/>
        <v/>
      </c>
      <c r="UDB83" s="248" t="str">
        <f t="shared" si="228"/>
        <v/>
      </c>
      <c r="UDC83" s="248" t="str">
        <f t="shared" ref="UDC83:UFN83" si="229">UPPER(UDA83)</f>
        <v/>
      </c>
      <c r="UDD83" s="248" t="str">
        <f t="shared" si="229"/>
        <v/>
      </c>
      <c r="UDE83" s="248" t="str">
        <f t="shared" si="229"/>
        <v/>
      </c>
      <c r="UDF83" s="248" t="str">
        <f t="shared" si="229"/>
        <v/>
      </c>
      <c r="UDG83" s="248" t="str">
        <f t="shared" si="229"/>
        <v/>
      </c>
      <c r="UDH83" s="248" t="str">
        <f t="shared" si="229"/>
        <v/>
      </c>
      <c r="UDI83" s="248" t="str">
        <f t="shared" si="229"/>
        <v/>
      </c>
      <c r="UDJ83" s="248" t="str">
        <f t="shared" si="229"/>
        <v/>
      </c>
      <c r="UDK83" s="248" t="str">
        <f t="shared" si="229"/>
        <v/>
      </c>
      <c r="UDL83" s="248" t="str">
        <f t="shared" si="229"/>
        <v/>
      </c>
      <c r="UDM83" s="248" t="str">
        <f t="shared" si="229"/>
        <v/>
      </c>
      <c r="UDN83" s="248" t="str">
        <f t="shared" si="229"/>
        <v/>
      </c>
      <c r="UDO83" s="248" t="str">
        <f t="shared" si="229"/>
        <v/>
      </c>
      <c r="UDP83" s="248" t="str">
        <f t="shared" si="229"/>
        <v/>
      </c>
      <c r="UDQ83" s="248" t="str">
        <f t="shared" si="229"/>
        <v/>
      </c>
      <c r="UDR83" s="248" t="str">
        <f t="shared" si="229"/>
        <v/>
      </c>
      <c r="UDS83" s="248" t="str">
        <f t="shared" si="229"/>
        <v/>
      </c>
      <c r="UDT83" s="248" t="str">
        <f t="shared" si="229"/>
        <v/>
      </c>
      <c r="UDU83" s="248" t="str">
        <f t="shared" si="229"/>
        <v/>
      </c>
      <c r="UDV83" s="248" t="str">
        <f t="shared" si="229"/>
        <v/>
      </c>
      <c r="UDW83" s="248" t="str">
        <f t="shared" si="229"/>
        <v/>
      </c>
      <c r="UDX83" s="248" t="str">
        <f t="shared" si="229"/>
        <v/>
      </c>
      <c r="UDY83" s="248" t="str">
        <f t="shared" si="229"/>
        <v/>
      </c>
      <c r="UDZ83" s="248" t="str">
        <f t="shared" si="229"/>
        <v/>
      </c>
      <c r="UEA83" s="248" t="str">
        <f t="shared" si="229"/>
        <v/>
      </c>
      <c r="UEB83" s="248" t="str">
        <f t="shared" si="229"/>
        <v/>
      </c>
      <c r="UEC83" s="248" t="str">
        <f t="shared" si="229"/>
        <v/>
      </c>
      <c r="UED83" s="248" t="str">
        <f t="shared" si="229"/>
        <v/>
      </c>
      <c r="UEE83" s="248" t="str">
        <f t="shared" si="229"/>
        <v/>
      </c>
      <c r="UEF83" s="248" t="str">
        <f t="shared" si="229"/>
        <v/>
      </c>
      <c r="UEG83" s="248" t="str">
        <f t="shared" si="229"/>
        <v/>
      </c>
      <c r="UEH83" s="248" t="str">
        <f t="shared" si="229"/>
        <v/>
      </c>
      <c r="UEI83" s="248" t="str">
        <f t="shared" si="229"/>
        <v/>
      </c>
      <c r="UEJ83" s="248" t="str">
        <f t="shared" si="229"/>
        <v/>
      </c>
      <c r="UEK83" s="248" t="str">
        <f t="shared" si="229"/>
        <v/>
      </c>
      <c r="UEL83" s="248" t="str">
        <f t="shared" si="229"/>
        <v/>
      </c>
      <c r="UEM83" s="248" t="str">
        <f t="shared" si="229"/>
        <v/>
      </c>
      <c r="UEN83" s="248" t="str">
        <f t="shared" si="229"/>
        <v/>
      </c>
      <c r="UEO83" s="248" t="str">
        <f t="shared" si="229"/>
        <v/>
      </c>
      <c r="UEP83" s="248" t="str">
        <f t="shared" si="229"/>
        <v/>
      </c>
      <c r="UEQ83" s="248" t="str">
        <f t="shared" si="229"/>
        <v/>
      </c>
      <c r="UER83" s="248" t="str">
        <f t="shared" si="229"/>
        <v/>
      </c>
      <c r="UES83" s="248" t="str">
        <f t="shared" si="229"/>
        <v/>
      </c>
      <c r="UET83" s="248" t="str">
        <f t="shared" si="229"/>
        <v/>
      </c>
      <c r="UEU83" s="248" t="str">
        <f t="shared" si="229"/>
        <v/>
      </c>
      <c r="UEV83" s="248" t="str">
        <f t="shared" si="229"/>
        <v/>
      </c>
      <c r="UEW83" s="248" t="str">
        <f t="shared" si="229"/>
        <v/>
      </c>
      <c r="UEX83" s="248" t="str">
        <f t="shared" si="229"/>
        <v/>
      </c>
      <c r="UEY83" s="248" t="str">
        <f t="shared" si="229"/>
        <v/>
      </c>
      <c r="UEZ83" s="248" t="str">
        <f t="shared" si="229"/>
        <v/>
      </c>
      <c r="UFA83" s="248" t="str">
        <f t="shared" si="229"/>
        <v/>
      </c>
      <c r="UFB83" s="248" t="str">
        <f t="shared" si="229"/>
        <v/>
      </c>
      <c r="UFC83" s="248" t="str">
        <f t="shared" si="229"/>
        <v/>
      </c>
      <c r="UFD83" s="248" t="str">
        <f t="shared" si="229"/>
        <v/>
      </c>
      <c r="UFE83" s="248" t="str">
        <f t="shared" si="229"/>
        <v/>
      </c>
      <c r="UFF83" s="248" t="str">
        <f t="shared" si="229"/>
        <v/>
      </c>
      <c r="UFG83" s="248" t="str">
        <f t="shared" si="229"/>
        <v/>
      </c>
      <c r="UFH83" s="248" t="str">
        <f t="shared" si="229"/>
        <v/>
      </c>
      <c r="UFI83" s="248" t="str">
        <f t="shared" si="229"/>
        <v/>
      </c>
      <c r="UFJ83" s="248" t="str">
        <f t="shared" si="229"/>
        <v/>
      </c>
      <c r="UFK83" s="248" t="str">
        <f t="shared" si="229"/>
        <v/>
      </c>
      <c r="UFL83" s="248" t="str">
        <f t="shared" si="229"/>
        <v/>
      </c>
      <c r="UFM83" s="248" t="str">
        <f t="shared" si="229"/>
        <v/>
      </c>
      <c r="UFN83" s="248" t="str">
        <f t="shared" si="229"/>
        <v/>
      </c>
      <c r="UFO83" s="248" t="str">
        <f t="shared" ref="UFO83:UHZ83" si="230">UPPER(UFM83)</f>
        <v/>
      </c>
      <c r="UFP83" s="248" t="str">
        <f t="shared" si="230"/>
        <v/>
      </c>
      <c r="UFQ83" s="248" t="str">
        <f t="shared" si="230"/>
        <v/>
      </c>
      <c r="UFR83" s="248" t="str">
        <f t="shared" si="230"/>
        <v/>
      </c>
      <c r="UFS83" s="248" t="str">
        <f t="shared" si="230"/>
        <v/>
      </c>
      <c r="UFT83" s="248" t="str">
        <f t="shared" si="230"/>
        <v/>
      </c>
      <c r="UFU83" s="248" t="str">
        <f t="shared" si="230"/>
        <v/>
      </c>
      <c r="UFV83" s="248" t="str">
        <f t="shared" si="230"/>
        <v/>
      </c>
      <c r="UFW83" s="248" t="str">
        <f t="shared" si="230"/>
        <v/>
      </c>
      <c r="UFX83" s="248" t="str">
        <f t="shared" si="230"/>
        <v/>
      </c>
      <c r="UFY83" s="248" t="str">
        <f t="shared" si="230"/>
        <v/>
      </c>
      <c r="UFZ83" s="248" t="str">
        <f t="shared" si="230"/>
        <v/>
      </c>
      <c r="UGA83" s="248" t="str">
        <f t="shared" si="230"/>
        <v/>
      </c>
      <c r="UGB83" s="248" t="str">
        <f t="shared" si="230"/>
        <v/>
      </c>
      <c r="UGC83" s="248" t="str">
        <f t="shared" si="230"/>
        <v/>
      </c>
      <c r="UGD83" s="248" t="str">
        <f t="shared" si="230"/>
        <v/>
      </c>
      <c r="UGE83" s="248" t="str">
        <f t="shared" si="230"/>
        <v/>
      </c>
      <c r="UGF83" s="248" t="str">
        <f t="shared" si="230"/>
        <v/>
      </c>
      <c r="UGG83" s="248" t="str">
        <f t="shared" si="230"/>
        <v/>
      </c>
      <c r="UGH83" s="248" t="str">
        <f t="shared" si="230"/>
        <v/>
      </c>
      <c r="UGI83" s="248" t="str">
        <f t="shared" si="230"/>
        <v/>
      </c>
      <c r="UGJ83" s="248" t="str">
        <f t="shared" si="230"/>
        <v/>
      </c>
      <c r="UGK83" s="248" t="str">
        <f t="shared" si="230"/>
        <v/>
      </c>
      <c r="UGL83" s="248" t="str">
        <f t="shared" si="230"/>
        <v/>
      </c>
      <c r="UGM83" s="248" t="str">
        <f t="shared" si="230"/>
        <v/>
      </c>
      <c r="UGN83" s="248" t="str">
        <f t="shared" si="230"/>
        <v/>
      </c>
      <c r="UGO83" s="248" t="str">
        <f t="shared" si="230"/>
        <v/>
      </c>
      <c r="UGP83" s="248" t="str">
        <f t="shared" si="230"/>
        <v/>
      </c>
      <c r="UGQ83" s="248" t="str">
        <f t="shared" si="230"/>
        <v/>
      </c>
      <c r="UGR83" s="248" t="str">
        <f t="shared" si="230"/>
        <v/>
      </c>
      <c r="UGS83" s="248" t="str">
        <f t="shared" si="230"/>
        <v/>
      </c>
      <c r="UGT83" s="248" t="str">
        <f t="shared" si="230"/>
        <v/>
      </c>
      <c r="UGU83" s="248" t="str">
        <f t="shared" si="230"/>
        <v/>
      </c>
      <c r="UGV83" s="248" t="str">
        <f t="shared" si="230"/>
        <v/>
      </c>
      <c r="UGW83" s="248" t="str">
        <f t="shared" si="230"/>
        <v/>
      </c>
      <c r="UGX83" s="248" t="str">
        <f t="shared" si="230"/>
        <v/>
      </c>
      <c r="UGY83" s="248" t="str">
        <f t="shared" si="230"/>
        <v/>
      </c>
      <c r="UGZ83" s="248" t="str">
        <f t="shared" si="230"/>
        <v/>
      </c>
      <c r="UHA83" s="248" t="str">
        <f t="shared" si="230"/>
        <v/>
      </c>
      <c r="UHB83" s="248" t="str">
        <f t="shared" si="230"/>
        <v/>
      </c>
      <c r="UHC83" s="248" t="str">
        <f t="shared" si="230"/>
        <v/>
      </c>
      <c r="UHD83" s="248" t="str">
        <f t="shared" si="230"/>
        <v/>
      </c>
      <c r="UHE83" s="248" t="str">
        <f t="shared" si="230"/>
        <v/>
      </c>
      <c r="UHF83" s="248" t="str">
        <f t="shared" si="230"/>
        <v/>
      </c>
      <c r="UHG83" s="248" t="str">
        <f t="shared" si="230"/>
        <v/>
      </c>
      <c r="UHH83" s="248" t="str">
        <f t="shared" si="230"/>
        <v/>
      </c>
      <c r="UHI83" s="248" t="str">
        <f t="shared" si="230"/>
        <v/>
      </c>
      <c r="UHJ83" s="248" t="str">
        <f t="shared" si="230"/>
        <v/>
      </c>
      <c r="UHK83" s="248" t="str">
        <f t="shared" si="230"/>
        <v/>
      </c>
      <c r="UHL83" s="248" t="str">
        <f t="shared" si="230"/>
        <v/>
      </c>
      <c r="UHM83" s="248" t="str">
        <f t="shared" si="230"/>
        <v/>
      </c>
      <c r="UHN83" s="248" t="str">
        <f t="shared" si="230"/>
        <v/>
      </c>
      <c r="UHO83" s="248" t="str">
        <f t="shared" si="230"/>
        <v/>
      </c>
      <c r="UHP83" s="248" t="str">
        <f t="shared" si="230"/>
        <v/>
      </c>
      <c r="UHQ83" s="248" t="str">
        <f t="shared" si="230"/>
        <v/>
      </c>
      <c r="UHR83" s="248" t="str">
        <f t="shared" si="230"/>
        <v/>
      </c>
      <c r="UHS83" s="248" t="str">
        <f t="shared" si="230"/>
        <v/>
      </c>
      <c r="UHT83" s="248" t="str">
        <f t="shared" si="230"/>
        <v/>
      </c>
      <c r="UHU83" s="248" t="str">
        <f t="shared" si="230"/>
        <v/>
      </c>
      <c r="UHV83" s="248" t="str">
        <f t="shared" si="230"/>
        <v/>
      </c>
      <c r="UHW83" s="248" t="str">
        <f t="shared" si="230"/>
        <v/>
      </c>
      <c r="UHX83" s="248" t="str">
        <f t="shared" si="230"/>
        <v/>
      </c>
      <c r="UHY83" s="248" t="str">
        <f t="shared" si="230"/>
        <v/>
      </c>
      <c r="UHZ83" s="248" t="str">
        <f t="shared" si="230"/>
        <v/>
      </c>
      <c r="UIA83" s="248" t="str">
        <f t="shared" ref="UIA83:UKL83" si="231">UPPER(UHY83)</f>
        <v/>
      </c>
      <c r="UIB83" s="248" t="str">
        <f t="shared" si="231"/>
        <v/>
      </c>
      <c r="UIC83" s="248" t="str">
        <f t="shared" si="231"/>
        <v/>
      </c>
      <c r="UID83" s="248" t="str">
        <f t="shared" si="231"/>
        <v/>
      </c>
      <c r="UIE83" s="248" t="str">
        <f t="shared" si="231"/>
        <v/>
      </c>
      <c r="UIF83" s="248" t="str">
        <f t="shared" si="231"/>
        <v/>
      </c>
      <c r="UIG83" s="248" t="str">
        <f t="shared" si="231"/>
        <v/>
      </c>
      <c r="UIH83" s="248" t="str">
        <f t="shared" si="231"/>
        <v/>
      </c>
      <c r="UII83" s="248" t="str">
        <f t="shared" si="231"/>
        <v/>
      </c>
      <c r="UIJ83" s="248" t="str">
        <f t="shared" si="231"/>
        <v/>
      </c>
      <c r="UIK83" s="248" t="str">
        <f t="shared" si="231"/>
        <v/>
      </c>
      <c r="UIL83" s="248" t="str">
        <f t="shared" si="231"/>
        <v/>
      </c>
      <c r="UIM83" s="248" t="str">
        <f t="shared" si="231"/>
        <v/>
      </c>
      <c r="UIN83" s="248" t="str">
        <f t="shared" si="231"/>
        <v/>
      </c>
      <c r="UIO83" s="248" t="str">
        <f t="shared" si="231"/>
        <v/>
      </c>
      <c r="UIP83" s="248" t="str">
        <f t="shared" si="231"/>
        <v/>
      </c>
      <c r="UIQ83" s="248" t="str">
        <f t="shared" si="231"/>
        <v/>
      </c>
      <c r="UIR83" s="248" t="str">
        <f t="shared" si="231"/>
        <v/>
      </c>
      <c r="UIS83" s="248" t="str">
        <f t="shared" si="231"/>
        <v/>
      </c>
      <c r="UIT83" s="248" t="str">
        <f t="shared" si="231"/>
        <v/>
      </c>
      <c r="UIU83" s="248" t="str">
        <f t="shared" si="231"/>
        <v/>
      </c>
      <c r="UIV83" s="248" t="str">
        <f t="shared" si="231"/>
        <v/>
      </c>
      <c r="UIW83" s="248" t="str">
        <f t="shared" si="231"/>
        <v/>
      </c>
      <c r="UIX83" s="248" t="str">
        <f t="shared" si="231"/>
        <v/>
      </c>
      <c r="UIY83" s="248" t="str">
        <f t="shared" si="231"/>
        <v/>
      </c>
      <c r="UIZ83" s="248" t="str">
        <f t="shared" si="231"/>
        <v/>
      </c>
      <c r="UJA83" s="248" t="str">
        <f t="shared" si="231"/>
        <v/>
      </c>
      <c r="UJB83" s="248" t="str">
        <f t="shared" si="231"/>
        <v/>
      </c>
      <c r="UJC83" s="248" t="str">
        <f t="shared" si="231"/>
        <v/>
      </c>
      <c r="UJD83" s="248" t="str">
        <f t="shared" si="231"/>
        <v/>
      </c>
      <c r="UJE83" s="248" t="str">
        <f t="shared" si="231"/>
        <v/>
      </c>
      <c r="UJF83" s="248" t="str">
        <f t="shared" si="231"/>
        <v/>
      </c>
      <c r="UJG83" s="248" t="str">
        <f t="shared" si="231"/>
        <v/>
      </c>
      <c r="UJH83" s="248" t="str">
        <f t="shared" si="231"/>
        <v/>
      </c>
      <c r="UJI83" s="248" t="str">
        <f t="shared" si="231"/>
        <v/>
      </c>
      <c r="UJJ83" s="248" t="str">
        <f t="shared" si="231"/>
        <v/>
      </c>
      <c r="UJK83" s="248" t="str">
        <f t="shared" si="231"/>
        <v/>
      </c>
      <c r="UJL83" s="248" t="str">
        <f t="shared" si="231"/>
        <v/>
      </c>
      <c r="UJM83" s="248" t="str">
        <f t="shared" si="231"/>
        <v/>
      </c>
      <c r="UJN83" s="248" t="str">
        <f t="shared" si="231"/>
        <v/>
      </c>
      <c r="UJO83" s="248" t="str">
        <f t="shared" si="231"/>
        <v/>
      </c>
      <c r="UJP83" s="248" t="str">
        <f t="shared" si="231"/>
        <v/>
      </c>
      <c r="UJQ83" s="248" t="str">
        <f t="shared" si="231"/>
        <v/>
      </c>
      <c r="UJR83" s="248" t="str">
        <f t="shared" si="231"/>
        <v/>
      </c>
      <c r="UJS83" s="248" t="str">
        <f t="shared" si="231"/>
        <v/>
      </c>
      <c r="UJT83" s="248" t="str">
        <f t="shared" si="231"/>
        <v/>
      </c>
      <c r="UJU83" s="248" t="str">
        <f t="shared" si="231"/>
        <v/>
      </c>
      <c r="UJV83" s="248" t="str">
        <f t="shared" si="231"/>
        <v/>
      </c>
      <c r="UJW83" s="248" t="str">
        <f t="shared" si="231"/>
        <v/>
      </c>
      <c r="UJX83" s="248" t="str">
        <f t="shared" si="231"/>
        <v/>
      </c>
      <c r="UJY83" s="248" t="str">
        <f t="shared" si="231"/>
        <v/>
      </c>
      <c r="UJZ83" s="248" t="str">
        <f t="shared" si="231"/>
        <v/>
      </c>
      <c r="UKA83" s="248" t="str">
        <f t="shared" si="231"/>
        <v/>
      </c>
      <c r="UKB83" s="248" t="str">
        <f t="shared" si="231"/>
        <v/>
      </c>
      <c r="UKC83" s="248" t="str">
        <f t="shared" si="231"/>
        <v/>
      </c>
      <c r="UKD83" s="248" t="str">
        <f t="shared" si="231"/>
        <v/>
      </c>
      <c r="UKE83" s="248" t="str">
        <f t="shared" si="231"/>
        <v/>
      </c>
      <c r="UKF83" s="248" t="str">
        <f t="shared" si="231"/>
        <v/>
      </c>
      <c r="UKG83" s="248" t="str">
        <f t="shared" si="231"/>
        <v/>
      </c>
      <c r="UKH83" s="248" t="str">
        <f t="shared" si="231"/>
        <v/>
      </c>
      <c r="UKI83" s="248" t="str">
        <f t="shared" si="231"/>
        <v/>
      </c>
      <c r="UKJ83" s="248" t="str">
        <f t="shared" si="231"/>
        <v/>
      </c>
      <c r="UKK83" s="248" t="str">
        <f t="shared" si="231"/>
        <v/>
      </c>
      <c r="UKL83" s="248" t="str">
        <f t="shared" si="231"/>
        <v/>
      </c>
      <c r="UKM83" s="248" t="str">
        <f t="shared" ref="UKM83:UMX83" si="232">UPPER(UKK83)</f>
        <v/>
      </c>
      <c r="UKN83" s="248" t="str">
        <f t="shared" si="232"/>
        <v/>
      </c>
      <c r="UKO83" s="248" t="str">
        <f t="shared" si="232"/>
        <v/>
      </c>
      <c r="UKP83" s="248" t="str">
        <f t="shared" si="232"/>
        <v/>
      </c>
      <c r="UKQ83" s="248" t="str">
        <f t="shared" si="232"/>
        <v/>
      </c>
      <c r="UKR83" s="248" t="str">
        <f t="shared" si="232"/>
        <v/>
      </c>
      <c r="UKS83" s="248" t="str">
        <f t="shared" si="232"/>
        <v/>
      </c>
      <c r="UKT83" s="248" t="str">
        <f t="shared" si="232"/>
        <v/>
      </c>
      <c r="UKU83" s="248" t="str">
        <f t="shared" si="232"/>
        <v/>
      </c>
      <c r="UKV83" s="248" t="str">
        <f t="shared" si="232"/>
        <v/>
      </c>
      <c r="UKW83" s="248" t="str">
        <f t="shared" si="232"/>
        <v/>
      </c>
      <c r="UKX83" s="248" t="str">
        <f t="shared" si="232"/>
        <v/>
      </c>
      <c r="UKY83" s="248" t="str">
        <f t="shared" si="232"/>
        <v/>
      </c>
      <c r="UKZ83" s="248" t="str">
        <f t="shared" si="232"/>
        <v/>
      </c>
      <c r="ULA83" s="248" t="str">
        <f t="shared" si="232"/>
        <v/>
      </c>
      <c r="ULB83" s="248" t="str">
        <f t="shared" si="232"/>
        <v/>
      </c>
      <c r="ULC83" s="248" t="str">
        <f t="shared" si="232"/>
        <v/>
      </c>
      <c r="ULD83" s="248" t="str">
        <f t="shared" si="232"/>
        <v/>
      </c>
      <c r="ULE83" s="248" t="str">
        <f t="shared" si="232"/>
        <v/>
      </c>
      <c r="ULF83" s="248" t="str">
        <f t="shared" si="232"/>
        <v/>
      </c>
      <c r="ULG83" s="248" t="str">
        <f t="shared" si="232"/>
        <v/>
      </c>
      <c r="ULH83" s="248" t="str">
        <f t="shared" si="232"/>
        <v/>
      </c>
      <c r="ULI83" s="248" t="str">
        <f t="shared" si="232"/>
        <v/>
      </c>
      <c r="ULJ83" s="248" t="str">
        <f t="shared" si="232"/>
        <v/>
      </c>
      <c r="ULK83" s="248" t="str">
        <f t="shared" si="232"/>
        <v/>
      </c>
      <c r="ULL83" s="248" t="str">
        <f t="shared" si="232"/>
        <v/>
      </c>
      <c r="ULM83" s="248" t="str">
        <f t="shared" si="232"/>
        <v/>
      </c>
      <c r="ULN83" s="248" t="str">
        <f t="shared" si="232"/>
        <v/>
      </c>
      <c r="ULO83" s="248" t="str">
        <f t="shared" si="232"/>
        <v/>
      </c>
      <c r="ULP83" s="248" t="str">
        <f t="shared" si="232"/>
        <v/>
      </c>
      <c r="ULQ83" s="248" t="str">
        <f t="shared" si="232"/>
        <v/>
      </c>
      <c r="ULR83" s="248" t="str">
        <f t="shared" si="232"/>
        <v/>
      </c>
      <c r="ULS83" s="248" t="str">
        <f t="shared" si="232"/>
        <v/>
      </c>
      <c r="ULT83" s="248" t="str">
        <f t="shared" si="232"/>
        <v/>
      </c>
      <c r="ULU83" s="248" t="str">
        <f t="shared" si="232"/>
        <v/>
      </c>
      <c r="ULV83" s="248" t="str">
        <f t="shared" si="232"/>
        <v/>
      </c>
      <c r="ULW83" s="248" t="str">
        <f t="shared" si="232"/>
        <v/>
      </c>
      <c r="ULX83" s="248" t="str">
        <f t="shared" si="232"/>
        <v/>
      </c>
      <c r="ULY83" s="248" t="str">
        <f t="shared" si="232"/>
        <v/>
      </c>
      <c r="ULZ83" s="248" t="str">
        <f t="shared" si="232"/>
        <v/>
      </c>
      <c r="UMA83" s="248" t="str">
        <f t="shared" si="232"/>
        <v/>
      </c>
      <c r="UMB83" s="248" t="str">
        <f t="shared" si="232"/>
        <v/>
      </c>
      <c r="UMC83" s="248" t="str">
        <f t="shared" si="232"/>
        <v/>
      </c>
      <c r="UMD83" s="248" t="str">
        <f t="shared" si="232"/>
        <v/>
      </c>
      <c r="UME83" s="248" t="str">
        <f t="shared" si="232"/>
        <v/>
      </c>
      <c r="UMF83" s="248" t="str">
        <f t="shared" si="232"/>
        <v/>
      </c>
      <c r="UMG83" s="248" t="str">
        <f t="shared" si="232"/>
        <v/>
      </c>
      <c r="UMH83" s="248" t="str">
        <f t="shared" si="232"/>
        <v/>
      </c>
      <c r="UMI83" s="248" t="str">
        <f t="shared" si="232"/>
        <v/>
      </c>
      <c r="UMJ83" s="248" t="str">
        <f t="shared" si="232"/>
        <v/>
      </c>
      <c r="UMK83" s="248" t="str">
        <f t="shared" si="232"/>
        <v/>
      </c>
      <c r="UML83" s="248" t="str">
        <f t="shared" si="232"/>
        <v/>
      </c>
      <c r="UMM83" s="248" t="str">
        <f t="shared" si="232"/>
        <v/>
      </c>
      <c r="UMN83" s="248" t="str">
        <f t="shared" si="232"/>
        <v/>
      </c>
      <c r="UMO83" s="248" t="str">
        <f t="shared" si="232"/>
        <v/>
      </c>
      <c r="UMP83" s="248" t="str">
        <f t="shared" si="232"/>
        <v/>
      </c>
      <c r="UMQ83" s="248" t="str">
        <f t="shared" si="232"/>
        <v/>
      </c>
      <c r="UMR83" s="248" t="str">
        <f t="shared" si="232"/>
        <v/>
      </c>
      <c r="UMS83" s="248" t="str">
        <f t="shared" si="232"/>
        <v/>
      </c>
      <c r="UMT83" s="248" t="str">
        <f t="shared" si="232"/>
        <v/>
      </c>
      <c r="UMU83" s="248" t="str">
        <f t="shared" si="232"/>
        <v/>
      </c>
      <c r="UMV83" s="248" t="str">
        <f t="shared" si="232"/>
        <v/>
      </c>
      <c r="UMW83" s="248" t="str">
        <f t="shared" si="232"/>
        <v/>
      </c>
      <c r="UMX83" s="248" t="str">
        <f t="shared" si="232"/>
        <v/>
      </c>
      <c r="UMY83" s="248" t="str">
        <f t="shared" ref="UMY83:UPJ83" si="233">UPPER(UMW83)</f>
        <v/>
      </c>
      <c r="UMZ83" s="248" t="str">
        <f t="shared" si="233"/>
        <v/>
      </c>
      <c r="UNA83" s="248" t="str">
        <f t="shared" si="233"/>
        <v/>
      </c>
      <c r="UNB83" s="248" t="str">
        <f t="shared" si="233"/>
        <v/>
      </c>
      <c r="UNC83" s="248" t="str">
        <f t="shared" si="233"/>
        <v/>
      </c>
      <c r="UND83" s="248" t="str">
        <f t="shared" si="233"/>
        <v/>
      </c>
      <c r="UNE83" s="248" t="str">
        <f t="shared" si="233"/>
        <v/>
      </c>
      <c r="UNF83" s="248" t="str">
        <f t="shared" si="233"/>
        <v/>
      </c>
      <c r="UNG83" s="248" t="str">
        <f t="shared" si="233"/>
        <v/>
      </c>
      <c r="UNH83" s="248" t="str">
        <f t="shared" si="233"/>
        <v/>
      </c>
      <c r="UNI83" s="248" t="str">
        <f t="shared" si="233"/>
        <v/>
      </c>
      <c r="UNJ83" s="248" t="str">
        <f t="shared" si="233"/>
        <v/>
      </c>
      <c r="UNK83" s="248" t="str">
        <f t="shared" si="233"/>
        <v/>
      </c>
      <c r="UNL83" s="248" t="str">
        <f t="shared" si="233"/>
        <v/>
      </c>
      <c r="UNM83" s="248" t="str">
        <f t="shared" si="233"/>
        <v/>
      </c>
      <c r="UNN83" s="248" t="str">
        <f t="shared" si="233"/>
        <v/>
      </c>
      <c r="UNO83" s="248" t="str">
        <f t="shared" si="233"/>
        <v/>
      </c>
      <c r="UNP83" s="248" t="str">
        <f t="shared" si="233"/>
        <v/>
      </c>
      <c r="UNQ83" s="248" t="str">
        <f t="shared" si="233"/>
        <v/>
      </c>
      <c r="UNR83" s="248" t="str">
        <f t="shared" si="233"/>
        <v/>
      </c>
      <c r="UNS83" s="248" t="str">
        <f t="shared" si="233"/>
        <v/>
      </c>
      <c r="UNT83" s="248" t="str">
        <f t="shared" si="233"/>
        <v/>
      </c>
      <c r="UNU83" s="248" t="str">
        <f t="shared" si="233"/>
        <v/>
      </c>
      <c r="UNV83" s="248" t="str">
        <f t="shared" si="233"/>
        <v/>
      </c>
      <c r="UNW83" s="248" t="str">
        <f t="shared" si="233"/>
        <v/>
      </c>
      <c r="UNX83" s="248" t="str">
        <f t="shared" si="233"/>
        <v/>
      </c>
      <c r="UNY83" s="248" t="str">
        <f t="shared" si="233"/>
        <v/>
      </c>
      <c r="UNZ83" s="248" t="str">
        <f t="shared" si="233"/>
        <v/>
      </c>
      <c r="UOA83" s="248" t="str">
        <f t="shared" si="233"/>
        <v/>
      </c>
      <c r="UOB83" s="248" t="str">
        <f t="shared" si="233"/>
        <v/>
      </c>
      <c r="UOC83" s="248" t="str">
        <f t="shared" si="233"/>
        <v/>
      </c>
      <c r="UOD83" s="248" t="str">
        <f t="shared" si="233"/>
        <v/>
      </c>
      <c r="UOE83" s="248" t="str">
        <f t="shared" si="233"/>
        <v/>
      </c>
      <c r="UOF83" s="248" t="str">
        <f t="shared" si="233"/>
        <v/>
      </c>
      <c r="UOG83" s="248" t="str">
        <f t="shared" si="233"/>
        <v/>
      </c>
      <c r="UOH83" s="248" t="str">
        <f t="shared" si="233"/>
        <v/>
      </c>
      <c r="UOI83" s="248" t="str">
        <f t="shared" si="233"/>
        <v/>
      </c>
      <c r="UOJ83" s="248" t="str">
        <f t="shared" si="233"/>
        <v/>
      </c>
      <c r="UOK83" s="248" t="str">
        <f t="shared" si="233"/>
        <v/>
      </c>
      <c r="UOL83" s="248" t="str">
        <f t="shared" si="233"/>
        <v/>
      </c>
      <c r="UOM83" s="248" t="str">
        <f t="shared" si="233"/>
        <v/>
      </c>
      <c r="UON83" s="248" t="str">
        <f t="shared" si="233"/>
        <v/>
      </c>
      <c r="UOO83" s="248" t="str">
        <f t="shared" si="233"/>
        <v/>
      </c>
      <c r="UOP83" s="248" t="str">
        <f t="shared" si="233"/>
        <v/>
      </c>
      <c r="UOQ83" s="248" t="str">
        <f t="shared" si="233"/>
        <v/>
      </c>
      <c r="UOR83" s="248" t="str">
        <f t="shared" si="233"/>
        <v/>
      </c>
      <c r="UOS83" s="248" t="str">
        <f t="shared" si="233"/>
        <v/>
      </c>
      <c r="UOT83" s="248" t="str">
        <f t="shared" si="233"/>
        <v/>
      </c>
      <c r="UOU83" s="248" t="str">
        <f t="shared" si="233"/>
        <v/>
      </c>
      <c r="UOV83" s="248" t="str">
        <f t="shared" si="233"/>
        <v/>
      </c>
      <c r="UOW83" s="248" t="str">
        <f t="shared" si="233"/>
        <v/>
      </c>
      <c r="UOX83" s="248" t="str">
        <f t="shared" si="233"/>
        <v/>
      </c>
      <c r="UOY83" s="248" t="str">
        <f t="shared" si="233"/>
        <v/>
      </c>
      <c r="UOZ83" s="248" t="str">
        <f t="shared" si="233"/>
        <v/>
      </c>
      <c r="UPA83" s="248" t="str">
        <f t="shared" si="233"/>
        <v/>
      </c>
      <c r="UPB83" s="248" t="str">
        <f t="shared" si="233"/>
        <v/>
      </c>
      <c r="UPC83" s="248" t="str">
        <f t="shared" si="233"/>
        <v/>
      </c>
      <c r="UPD83" s="248" t="str">
        <f t="shared" si="233"/>
        <v/>
      </c>
      <c r="UPE83" s="248" t="str">
        <f t="shared" si="233"/>
        <v/>
      </c>
      <c r="UPF83" s="248" t="str">
        <f t="shared" si="233"/>
        <v/>
      </c>
      <c r="UPG83" s="248" t="str">
        <f t="shared" si="233"/>
        <v/>
      </c>
      <c r="UPH83" s="248" t="str">
        <f t="shared" si="233"/>
        <v/>
      </c>
      <c r="UPI83" s="248" t="str">
        <f t="shared" si="233"/>
        <v/>
      </c>
      <c r="UPJ83" s="248" t="str">
        <f t="shared" si="233"/>
        <v/>
      </c>
      <c r="UPK83" s="248" t="str">
        <f t="shared" ref="UPK83:URV83" si="234">UPPER(UPI83)</f>
        <v/>
      </c>
      <c r="UPL83" s="248" t="str">
        <f t="shared" si="234"/>
        <v/>
      </c>
      <c r="UPM83" s="248" t="str">
        <f t="shared" si="234"/>
        <v/>
      </c>
      <c r="UPN83" s="248" t="str">
        <f t="shared" si="234"/>
        <v/>
      </c>
      <c r="UPO83" s="248" t="str">
        <f t="shared" si="234"/>
        <v/>
      </c>
      <c r="UPP83" s="248" t="str">
        <f t="shared" si="234"/>
        <v/>
      </c>
      <c r="UPQ83" s="248" t="str">
        <f t="shared" si="234"/>
        <v/>
      </c>
      <c r="UPR83" s="248" t="str">
        <f t="shared" si="234"/>
        <v/>
      </c>
      <c r="UPS83" s="248" t="str">
        <f t="shared" si="234"/>
        <v/>
      </c>
      <c r="UPT83" s="248" t="str">
        <f t="shared" si="234"/>
        <v/>
      </c>
      <c r="UPU83" s="248" t="str">
        <f t="shared" si="234"/>
        <v/>
      </c>
      <c r="UPV83" s="248" t="str">
        <f t="shared" si="234"/>
        <v/>
      </c>
      <c r="UPW83" s="248" t="str">
        <f t="shared" si="234"/>
        <v/>
      </c>
      <c r="UPX83" s="248" t="str">
        <f t="shared" si="234"/>
        <v/>
      </c>
      <c r="UPY83" s="248" t="str">
        <f t="shared" si="234"/>
        <v/>
      </c>
      <c r="UPZ83" s="248" t="str">
        <f t="shared" si="234"/>
        <v/>
      </c>
      <c r="UQA83" s="248" t="str">
        <f t="shared" si="234"/>
        <v/>
      </c>
      <c r="UQB83" s="248" t="str">
        <f t="shared" si="234"/>
        <v/>
      </c>
      <c r="UQC83" s="248" t="str">
        <f t="shared" si="234"/>
        <v/>
      </c>
      <c r="UQD83" s="248" t="str">
        <f t="shared" si="234"/>
        <v/>
      </c>
      <c r="UQE83" s="248" t="str">
        <f t="shared" si="234"/>
        <v/>
      </c>
      <c r="UQF83" s="248" t="str">
        <f t="shared" si="234"/>
        <v/>
      </c>
      <c r="UQG83" s="248" t="str">
        <f t="shared" si="234"/>
        <v/>
      </c>
      <c r="UQH83" s="248" t="str">
        <f t="shared" si="234"/>
        <v/>
      </c>
      <c r="UQI83" s="248" t="str">
        <f t="shared" si="234"/>
        <v/>
      </c>
      <c r="UQJ83" s="248" t="str">
        <f t="shared" si="234"/>
        <v/>
      </c>
      <c r="UQK83" s="248" t="str">
        <f t="shared" si="234"/>
        <v/>
      </c>
      <c r="UQL83" s="248" t="str">
        <f t="shared" si="234"/>
        <v/>
      </c>
      <c r="UQM83" s="248" t="str">
        <f t="shared" si="234"/>
        <v/>
      </c>
      <c r="UQN83" s="248" t="str">
        <f t="shared" si="234"/>
        <v/>
      </c>
      <c r="UQO83" s="248" t="str">
        <f t="shared" si="234"/>
        <v/>
      </c>
      <c r="UQP83" s="248" t="str">
        <f t="shared" si="234"/>
        <v/>
      </c>
      <c r="UQQ83" s="248" t="str">
        <f t="shared" si="234"/>
        <v/>
      </c>
      <c r="UQR83" s="248" t="str">
        <f t="shared" si="234"/>
        <v/>
      </c>
      <c r="UQS83" s="248" t="str">
        <f t="shared" si="234"/>
        <v/>
      </c>
      <c r="UQT83" s="248" t="str">
        <f t="shared" si="234"/>
        <v/>
      </c>
      <c r="UQU83" s="248" t="str">
        <f t="shared" si="234"/>
        <v/>
      </c>
      <c r="UQV83" s="248" t="str">
        <f t="shared" si="234"/>
        <v/>
      </c>
      <c r="UQW83" s="248" t="str">
        <f t="shared" si="234"/>
        <v/>
      </c>
      <c r="UQX83" s="248" t="str">
        <f t="shared" si="234"/>
        <v/>
      </c>
      <c r="UQY83" s="248" t="str">
        <f t="shared" si="234"/>
        <v/>
      </c>
      <c r="UQZ83" s="248" t="str">
        <f t="shared" si="234"/>
        <v/>
      </c>
      <c r="URA83" s="248" t="str">
        <f t="shared" si="234"/>
        <v/>
      </c>
      <c r="URB83" s="248" t="str">
        <f t="shared" si="234"/>
        <v/>
      </c>
      <c r="URC83" s="248" t="str">
        <f t="shared" si="234"/>
        <v/>
      </c>
      <c r="URD83" s="248" t="str">
        <f t="shared" si="234"/>
        <v/>
      </c>
      <c r="URE83" s="248" t="str">
        <f t="shared" si="234"/>
        <v/>
      </c>
      <c r="URF83" s="248" t="str">
        <f t="shared" si="234"/>
        <v/>
      </c>
      <c r="URG83" s="248" t="str">
        <f t="shared" si="234"/>
        <v/>
      </c>
      <c r="URH83" s="248" t="str">
        <f t="shared" si="234"/>
        <v/>
      </c>
      <c r="URI83" s="248" t="str">
        <f t="shared" si="234"/>
        <v/>
      </c>
      <c r="URJ83" s="248" t="str">
        <f t="shared" si="234"/>
        <v/>
      </c>
      <c r="URK83" s="248" t="str">
        <f t="shared" si="234"/>
        <v/>
      </c>
      <c r="URL83" s="248" t="str">
        <f t="shared" si="234"/>
        <v/>
      </c>
      <c r="URM83" s="248" t="str">
        <f t="shared" si="234"/>
        <v/>
      </c>
      <c r="URN83" s="248" t="str">
        <f t="shared" si="234"/>
        <v/>
      </c>
      <c r="URO83" s="248" t="str">
        <f t="shared" si="234"/>
        <v/>
      </c>
      <c r="URP83" s="248" t="str">
        <f t="shared" si="234"/>
        <v/>
      </c>
      <c r="URQ83" s="248" t="str">
        <f t="shared" si="234"/>
        <v/>
      </c>
      <c r="URR83" s="248" t="str">
        <f t="shared" si="234"/>
        <v/>
      </c>
      <c r="URS83" s="248" t="str">
        <f t="shared" si="234"/>
        <v/>
      </c>
      <c r="URT83" s="248" t="str">
        <f t="shared" si="234"/>
        <v/>
      </c>
      <c r="URU83" s="248" t="str">
        <f t="shared" si="234"/>
        <v/>
      </c>
      <c r="URV83" s="248" t="str">
        <f t="shared" si="234"/>
        <v/>
      </c>
      <c r="URW83" s="248" t="str">
        <f t="shared" ref="URW83:UUH83" si="235">UPPER(URU83)</f>
        <v/>
      </c>
      <c r="URX83" s="248" t="str">
        <f t="shared" si="235"/>
        <v/>
      </c>
      <c r="URY83" s="248" t="str">
        <f t="shared" si="235"/>
        <v/>
      </c>
      <c r="URZ83" s="248" t="str">
        <f t="shared" si="235"/>
        <v/>
      </c>
      <c r="USA83" s="248" t="str">
        <f t="shared" si="235"/>
        <v/>
      </c>
      <c r="USB83" s="248" t="str">
        <f t="shared" si="235"/>
        <v/>
      </c>
      <c r="USC83" s="248" t="str">
        <f t="shared" si="235"/>
        <v/>
      </c>
      <c r="USD83" s="248" t="str">
        <f t="shared" si="235"/>
        <v/>
      </c>
      <c r="USE83" s="248" t="str">
        <f t="shared" si="235"/>
        <v/>
      </c>
      <c r="USF83" s="248" t="str">
        <f t="shared" si="235"/>
        <v/>
      </c>
      <c r="USG83" s="248" t="str">
        <f t="shared" si="235"/>
        <v/>
      </c>
      <c r="USH83" s="248" t="str">
        <f t="shared" si="235"/>
        <v/>
      </c>
      <c r="USI83" s="248" t="str">
        <f t="shared" si="235"/>
        <v/>
      </c>
      <c r="USJ83" s="248" t="str">
        <f t="shared" si="235"/>
        <v/>
      </c>
      <c r="USK83" s="248" t="str">
        <f t="shared" si="235"/>
        <v/>
      </c>
      <c r="USL83" s="248" t="str">
        <f t="shared" si="235"/>
        <v/>
      </c>
      <c r="USM83" s="248" t="str">
        <f t="shared" si="235"/>
        <v/>
      </c>
      <c r="USN83" s="248" t="str">
        <f t="shared" si="235"/>
        <v/>
      </c>
      <c r="USO83" s="248" t="str">
        <f t="shared" si="235"/>
        <v/>
      </c>
      <c r="USP83" s="248" t="str">
        <f t="shared" si="235"/>
        <v/>
      </c>
      <c r="USQ83" s="248" t="str">
        <f t="shared" si="235"/>
        <v/>
      </c>
      <c r="USR83" s="248" t="str">
        <f t="shared" si="235"/>
        <v/>
      </c>
      <c r="USS83" s="248" t="str">
        <f t="shared" si="235"/>
        <v/>
      </c>
      <c r="UST83" s="248" t="str">
        <f t="shared" si="235"/>
        <v/>
      </c>
      <c r="USU83" s="248" t="str">
        <f t="shared" si="235"/>
        <v/>
      </c>
      <c r="USV83" s="248" t="str">
        <f t="shared" si="235"/>
        <v/>
      </c>
      <c r="USW83" s="248" t="str">
        <f t="shared" si="235"/>
        <v/>
      </c>
      <c r="USX83" s="248" t="str">
        <f t="shared" si="235"/>
        <v/>
      </c>
      <c r="USY83" s="248" t="str">
        <f t="shared" si="235"/>
        <v/>
      </c>
      <c r="USZ83" s="248" t="str">
        <f t="shared" si="235"/>
        <v/>
      </c>
      <c r="UTA83" s="248" t="str">
        <f t="shared" si="235"/>
        <v/>
      </c>
      <c r="UTB83" s="248" t="str">
        <f t="shared" si="235"/>
        <v/>
      </c>
      <c r="UTC83" s="248" t="str">
        <f t="shared" si="235"/>
        <v/>
      </c>
      <c r="UTD83" s="248" t="str">
        <f t="shared" si="235"/>
        <v/>
      </c>
      <c r="UTE83" s="248" t="str">
        <f t="shared" si="235"/>
        <v/>
      </c>
      <c r="UTF83" s="248" t="str">
        <f t="shared" si="235"/>
        <v/>
      </c>
      <c r="UTG83" s="248" t="str">
        <f t="shared" si="235"/>
        <v/>
      </c>
      <c r="UTH83" s="248" t="str">
        <f t="shared" si="235"/>
        <v/>
      </c>
      <c r="UTI83" s="248" t="str">
        <f t="shared" si="235"/>
        <v/>
      </c>
      <c r="UTJ83" s="248" t="str">
        <f t="shared" si="235"/>
        <v/>
      </c>
      <c r="UTK83" s="248" t="str">
        <f t="shared" si="235"/>
        <v/>
      </c>
      <c r="UTL83" s="248" t="str">
        <f t="shared" si="235"/>
        <v/>
      </c>
      <c r="UTM83" s="248" t="str">
        <f t="shared" si="235"/>
        <v/>
      </c>
      <c r="UTN83" s="248" t="str">
        <f t="shared" si="235"/>
        <v/>
      </c>
      <c r="UTO83" s="248" t="str">
        <f t="shared" si="235"/>
        <v/>
      </c>
      <c r="UTP83" s="248" t="str">
        <f t="shared" si="235"/>
        <v/>
      </c>
      <c r="UTQ83" s="248" t="str">
        <f t="shared" si="235"/>
        <v/>
      </c>
      <c r="UTR83" s="248" t="str">
        <f t="shared" si="235"/>
        <v/>
      </c>
      <c r="UTS83" s="248" t="str">
        <f t="shared" si="235"/>
        <v/>
      </c>
      <c r="UTT83" s="248" t="str">
        <f t="shared" si="235"/>
        <v/>
      </c>
      <c r="UTU83" s="248" t="str">
        <f t="shared" si="235"/>
        <v/>
      </c>
      <c r="UTV83" s="248" t="str">
        <f t="shared" si="235"/>
        <v/>
      </c>
      <c r="UTW83" s="248" t="str">
        <f t="shared" si="235"/>
        <v/>
      </c>
      <c r="UTX83" s="248" t="str">
        <f t="shared" si="235"/>
        <v/>
      </c>
      <c r="UTY83" s="248" t="str">
        <f t="shared" si="235"/>
        <v/>
      </c>
      <c r="UTZ83" s="248" t="str">
        <f t="shared" si="235"/>
        <v/>
      </c>
      <c r="UUA83" s="248" t="str">
        <f t="shared" si="235"/>
        <v/>
      </c>
      <c r="UUB83" s="248" t="str">
        <f t="shared" si="235"/>
        <v/>
      </c>
      <c r="UUC83" s="248" t="str">
        <f t="shared" si="235"/>
        <v/>
      </c>
      <c r="UUD83" s="248" t="str">
        <f t="shared" si="235"/>
        <v/>
      </c>
      <c r="UUE83" s="248" t="str">
        <f t="shared" si="235"/>
        <v/>
      </c>
      <c r="UUF83" s="248" t="str">
        <f t="shared" si="235"/>
        <v/>
      </c>
      <c r="UUG83" s="248" t="str">
        <f t="shared" si="235"/>
        <v/>
      </c>
      <c r="UUH83" s="248" t="str">
        <f t="shared" si="235"/>
        <v/>
      </c>
      <c r="UUI83" s="248" t="str">
        <f t="shared" ref="UUI83:UWT83" si="236">UPPER(UUG83)</f>
        <v/>
      </c>
      <c r="UUJ83" s="248" t="str">
        <f t="shared" si="236"/>
        <v/>
      </c>
      <c r="UUK83" s="248" t="str">
        <f t="shared" si="236"/>
        <v/>
      </c>
      <c r="UUL83" s="248" t="str">
        <f t="shared" si="236"/>
        <v/>
      </c>
      <c r="UUM83" s="248" t="str">
        <f t="shared" si="236"/>
        <v/>
      </c>
      <c r="UUN83" s="248" t="str">
        <f t="shared" si="236"/>
        <v/>
      </c>
      <c r="UUO83" s="248" t="str">
        <f t="shared" si="236"/>
        <v/>
      </c>
      <c r="UUP83" s="248" t="str">
        <f t="shared" si="236"/>
        <v/>
      </c>
      <c r="UUQ83" s="248" t="str">
        <f t="shared" si="236"/>
        <v/>
      </c>
      <c r="UUR83" s="248" t="str">
        <f t="shared" si="236"/>
        <v/>
      </c>
      <c r="UUS83" s="248" t="str">
        <f t="shared" si="236"/>
        <v/>
      </c>
      <c r="UUT83" s="248" t="str">
        <f t="shared" si="236"/>
        <v/>
      </c>
      <c r="UUU83" s="248" t="str">
        <f t="shared" si="236"/>
        <v/>
      </c>
      <c r="UUV83" s="248" t="str">
        <f t="shared" si="236"/>
        <v/>
      </c>
      <c r="UUW83" s="248" t="str">
        <f t="shared" si="236"/>
        <v/>
      </c>
      <c r="UUX83" s="248" t="str">
        <f t="shared" si="236"/>
        <v/>
      </c>
      <c r="UUY83" s="248" t="str">
        <f t="shared" si="236"/>
        <v/>
      </c>
      <c r="UUZ83" s="248" t="str">
        <f t="shared" si="236"/>
        <v/>
      </c>
      <c r="UVA83" s="248" t="str">
        <f t="shared" si="236"/>
        <v/>
      </c>
      <c r="UVB83" s="248" t="str">
        <f t="shared" si="236"/>
        <v/>
      </c>
      <c r="UVC83" s="248" t="str">
        <f t="shared" si="236"/>
        <v/>
      </c>
      <c r="UVD83" s="248" t="str">
        <f t="shared" si="236"/>
        <v/>
      </c>
      <c r="UVE83" s="248" t="str">
        <f t="shared" si="236"/>
        <v/>
      </c>
      <c r="UVF83" s="248" t="str">
        <f t="shared" si="236"/>
        <v/>
      </c>
      <c r="UVG83" s="248" t="str">
        <f t="shared" si="236"/>
        <v/>
      </c>
      <c r="UVH83" s="248" t="str">
        <f t="shared" si="236"/>
        <v/>
      </c>
      <c r="UVI83" s="248" t="str">
        <f t="shared" si="236"/>
        <v/>
      </c>
      <c r="UVJ83" s="248" t="str">
        <f t="shared" si="236"/>
        <v/>
      </c>
      <c r="UVK83" s="248" t="str">
        <f t="shared" si="236"/>
        <v/>
      </c>
      <c r="UVL83" s="248" t="str">
        <f t="shared" si="236"/>
        <v/>
      </c>
      <c r="UVM83" s="248" t="str">
        <f t="shared" si="236"/>
        <v/>
      </c>
      <c r="UVN83" s="248" t="str">
        <f t="shared" si="236"/>
        <v/>
      </c>
      <c r="UVO83" s="248" t="str">
        <f t="shared" si="236"/>
        <v/>
      </c>
      <c r="UVP83" s="248" t="str">
        <f t="shared" si="236"/>
        <v/>
      </c>
      <c r="UVQ83" s="248" t="str">
        <f t="shared" si="236"/>
        <v/>
      </c>
      <c r="UVR83" s="248" t="str">
        <f t="shared" si="236"/>
        <v/>
      </c>
      <c r="UVS83" s="248" t="str">
        <f t="shared" si="236"/>
        <v/>
      </c>
      <c r="UVT83" s="248" t="str">
        <f t="shared" si="236"/>
        <v/>
      </c>
      <c r="UVU83" s="248" t="str">
        <f t="shared" si="236"/>
        <v/>
      </c>
      <c r="UVV83" s="248" t="str">
        <f t="shared" si="236"/>
        <v/>
      </c>
      <c r="UVW83" s="248" t="str">
        <f t="shared" si="236"/>
        <v/>
      </c>
      <c r="UVX83" s="248" t="str">
        <f t="shared" si="236"/>
        <v/>
      </c>
      <c r="UVY83" s="248" t="str">
        <f t="shared" si="236"/>
        <v/>
      </c>
      <c r="UVZ83" s="248" t="str">
        <f t="shared" si="236"/>
        <v/>
      </c>
      <c r="UWA83" s="248" t="str">
        <f t="shared" si="236"/>
        <v/>
      </c>
      <c r="UWB83" s="248" t="str">
        <f t="shared" si="236"/>
        <v/>
      </c>
      <c r="UWC83" s="248" t="str">
        <f t="shared" si="236"/>
        <v/>
      </c>
      <c r="UWD83" s="248" t="str">
        <f t="shared" si="236"/>
        <v/>
      </c>
      <c r="UWE83" s="248" t="str">
        <f t="shared" si="236"/>
        <v/>
      </c>
      <c r="UWF83" s="248" t="str">
        <f t="shared" si="236"/>
        <v/>
      </c>
      <c r="UWG83" s="248" t="str">
        <f t="shared" si="236"/>
        <v/>
      </c>
      <c r="UWH83" s="248" t="str">
        <f t="shared" si="236"/>
        <v/>
      </c>
      <c r="UWI83" s="248" t="str">
        <f t="shared" si="236"/>
        <v/>
      </c>
      <c r="UWJ83" s="248" t="str">
        <f t="shared" si="236"/>
        <v/>
      </c>
      <c r="UWK83" s="248" t="str">
        <f t="shared" si="236"/>
        <v/>
      </c>
      <c r="UWL83" s="248" t="str">
        <f t="shared" si="236"/>
        <v/>
      </c>
      <c r="UWM83" s="248" t="str">
        <f t="shared" si="236"/>
        <v/>
      </c>
      <c r="UWN83" s="248" t="str">
        <f t="shared" si="236"/>
        <v/>
      </c>
      <c r="UWO83" s="248" t="str">
        <f t="shared" si="236"/>
        <v/>
      </c>
      <c r="UWP83" s="248" t="str">
        <f t="shared" si="236"/>
        <v/>
      </c>
      <c r="UWQ83" s="248" t="str">
        <f t="shared" si="236"/>
        <v/>
      </c>
      <c r="UWR83" s="248" t="str">
        <f t="shared" si="236"/>
        <v/>
      </c>
      <c r="UWS83" s="248" t="str">
        <f t="shared" si="236"/>
        <v/>
      </c>
      <c r="UWT83" s="248" t="str">
        <f t="shared" si="236"/>
        <v/>
      </c>
      <c r="UWU83" s="248" t="str">
        <f t="shared" ref="UWU83:UZF83" si="237">UPPER(UWS83)</f>
        <v/>
      </c>
      <c r="UWV83" s="248" t="str">
        <f t="shared" si="237"/>
        <v/>
      </c>
      <c r="UWW83" s="248" t="str">
        <f t="shared" si="237"/>
        <v/>
      </c>
      <c r="UWX83" s="248" t="str">
        <f t="shared" si="237"/>
        <v/>
      </c>
      <c r="UWY83" s="248" t="str">
        <f t="shared" si="237"/>
        <v/>
      </c>
      <c r="UWZ83" s="248" t="str">
        <f t="shared" si="237"/>
        <v/>
      </c>
      <c r="UXA83" s="248" t="str">
        <f t="shared" si="237"/>
        <v/>
      </c>
      <c r="UXB83" s="248" t="str">
        <f t="shared" si="237"/>
        <v/>
      </c>
      <c r="UXC83" s="248" t="str">
        <f t="shared" si="237"/>
        <v/>
      </c>
      <c r="UXD83" s="248" t="str">
        <f t="shared" si="237"/>
        <v/>
      </c>
      <c r="UXE83" s="248" t="str">
        <f t="shared" si="237"/>
        <v/>
      </c>
      <c r="UXF83" s="248" t="str">
        <f t="shared" si="237"/>
        <v/>
      </c>
      <c r="UXG83" s="248" t="str">
        <f t="shared" si="237"/>
        <v/>
      </c>
      <c r="UXH83" s="248" t="str">
        <f t="shared" si="237"/>
        <v/>
      </c>
      <c r="UXI83" s="248" t="str">
        <f t="shared" si="237"/>
        <v/>
      </c>
      <c r="UXJ83" s="248" t="str">
        <f t="shared" si="237"/>
        <v/>
      </c>
      <c r="UXK83" s="248" t="str">
        <f t="shared" si="237"/>
        <v/>
      </c>
      <c r="UXL83" s="248" t="str">
        <f t="shared" si="237"/>
        <v/>
      </c>
      <c r="UXM83" s="248" t="str">
        <f t="shared" si="237"/>
        <v/>
      </c>
      <c r="UXN83" s="248" t="str">
        <f t="shared" si="237"/>
        <v/>
      </c>
      <c r="UXO83" s="248" t="str">
        <f t="shared" si="237"/>
        <v/>
      </c>
      <c r="UXP83" s="248" t="str">
        <f t="shared" si="237"/>
        <v/>
      </c>
      <c r="UXQ83" s="248" t="str">
        <f t="shared" si="237"/>
        <v/>
      </c>
      <c r="UXR83" s="248" t="str">
        <f t="shared" si="237"/>
        <v/>
      </c>
      <c r="UXS83" s="248" t="str">
        <f t="shared" si="237"/>
        <v/>
      </c>
      <c r="UXT83" s="248" t="str">
        <f t="shared" si="237"/>
        <v/>
      </c>
      <c r="UXU83" s="248" t="str">
        <f t="shared" si="237"/>
        <v/>
      </c>
      <c r="UXV83" s="248" t="str">
        <f t="shared" si="237"/>
        <v/>
      </c>
      <c r="UXW83" s="248" t="str">
        <f t="shared" si="237"/>
        <v/>
      </c>
      <c r="UXX83" s="248" t="str">
        <f t="shared" si="237"/>
        <v/>
      </c>
      <c r="UXY83" s="248" t="str">
        <f t="shared" si="237"/>
        <v/>
      </c>
      <c r="UXZ83" s="248" t="str">
        <f t="shared" si="237"/>
        <v/>
      </c>
      <c r="UYA83" s="248" t="str">
        <f t="shared" si="237"/>
        <v/>
      </c>
      <c r="UYB83" s="248" t="str">
        <f t="shared" si="237"/>
        <v/>
      </c>
      <c r="UYC83" s="248" t="str">
        <f t="shared" si="237"/>
        <v/>
      </c>
      <c r="UYD83" s="248" t="str">
        <f t="shared" si="237"/>
        <v/>
      </c>
      <c r="UYE83" s="248" t="str">
        <f t="shared" si="237"/>
        <v/>
      </c>
      <c r="UYF83" s="248" t="str">
        <f t="shared" si="237"/>
        <v/>
      </c>
      <c r="UYG83" s="248" t="str">
        <f t="shared" si="237"/>
        <v/>
      </c>
      <c r="UYH83" s="248" t="str">
        <f t="shared" si="237"/>
        <v/>
      </c>
      <c r="UYI83" s="248" t="str">
        <f t="shared" si="237"/>
        <v/>
      </c>
      <c r="UYJ83" s="248" t="str">
        <f t="shared" si="237"/>
        <v/>
      </c>
      <c r="UYK83" s="248" t="str">
        <f t="shared" si="237"/>
        <v/>
      </c>
      <c r="UYL83" s="248" t="str">
        <f t="shared" si="237"/>
        <v/>
      </c>
      <c r="UYM83" s="248" t="str">
        <f t="shared" si="237"/>
        <v/>
      </c>
      <c r="UYN83" s="248" t="str">
        <f t="shared" si="237"/>
        <v/>
      </c>
      <c r="UYO83" s="248" t="str">
        <f t="shared" si="237"/>
        <v/>
      </c>
      <c r="UYP83" s="248" t="str">
        <f t="shared" si="237"/>
        <v/>
      </c>
      <c r="UYQ83" s="248" t="str">
        <f t="shared" si="237"/>
        <v/>
      </c>
      <c r="UYR83" s="248" t="str">
        <f t="shared" si="237"/>
        <v/>
      </c>
      <c r="UYS83" s="248" t="str">
        <f t="shared" si="237"/>
        <v/>
      </c>
      <c r="UYT83" s="248" t="str">
        <f t="shared" si="237"/>
        <v/>
      </c>
      <c r="UYU83" s="248" t="str">
        <f t="shared" si="237"/>
        <v/>
      </c>
      <c r="UYV83" s="248" t="str">
        <f t="shared" si="237"/>
        <v/>
      </c>
      <c r="UYW83" s="248" t="str">
        <f t="shared" si="237"/>
        <v/>
      </c>
      <c r="UYX83" s="248" t="str">
        <f t="shared" si="237"/>
        <v/>
      </c>
      <c r="UYY83" s="248" t="str">
        <f t="shared" si="237"/>
        <v/>
      </c>
      <c r="UYZ83" s="248" t="str">
        <f t="shared" si="237"/>
        <v/>
      </c>
      <c r="UZA83" s="248" t="str">
        <f t="shared" si="237"/>
        <v/>
      </c>
      <c r="UZB83" s="248" t="str">
        <f t="shared" si="237"/>
        <v/>
      </c>
      <c r="UZC83" s="248" t="str">
        <f t="shared" si="237"/>
        <v/>
      </c>
      <c r="UZD83" s="248" t="str">
        <f t="shared" si="237"/>
        <v/>
      </c>
      <c r="UZE83" s="248" t="str">
        <f t="shared" si="237"/>
        <v/>
      </c>
      <c r="UZF83" s="248" t="str">
        <f t="shared" si="237"/>
        <v/>
      </c>
      <c r="UZG83" s="248" t="str">
        <f t="shared" ref="UZG83:VBR83" si="238">UPPER(UZE83)</f>
        <v/>
      </c>
      <c r="UZH83" s="248" t="str">
        <f t="shared" si="238"/>
        <v/>
      </c>
      <c r="UZI83" s="248" t="str">
        <f t="shared" si="238"/>
        <v/>
      </c>
      <c r="UZJ83" s="248" t="str">
        <f t="shared" si="238"/>
        <v/>
      </c>
      <c r="UZK83" s="248" t="str">
        <f t="shared" si="238"/>
        <v/>
      </c>
      <c r="UZL83" s="248" t="str">
        <f t="shared" si="238"/>
        <v/>
      </c>
      <c r="UZM83" s="248" t="str">
        <f t="shared" si="238"/>
        <v/>
      </c>
      <c r="UZN83" s="248" t="str">
        <f t="shared" si="238"/>
        <v/>
      </c>
      <c r="UZO83" s="248" t="str">
        <f t="shared" si="238"/>
        <v/>
      </c>
      <c r="UZP83" s="248" t="str">
        <f t="shared" si="238"/>
        <v/>
      </c>
      <c r="UZQ83" s="248" t="str">
        <f t="shared" si="238"/>
        <v/>
      </c>
      <c r="UZR83" s="248" t="str">
        <f t="shared" si="238"/>
        <v/>
      </c>
      <c r="UZS83" s="248" t="str">
        <f t="shared" si="238"/>
        <v/>
      </c>
      <c r="UZT83" s="248" t="str">
        <f t="shared" si="238"/>
        <v/>
      </c>
      <c r="UZU83" s="248" t="str">
        <f t="shared" si="238"/>
        <v/>
      </c>
      <c r="UZV83" s="248" t="str">
        <f t="shared" si="238"/>
        <v/>
      </c>
      <c r="UZW83" s="248" t="str">
        <f t="shared" si="238"/>
        <v/>
      </c>
      <c r="UZX83" s="248" t="str">
        <f t="shared" si="238"/>
        <v/>
      </c>
      <c r="UZY83" s="248" t="str">
        <f t="shared" si="238"/>
        <v/>
      </c>
      <c r="UZZ83" s="248" t="str">
        <f t="shared" si="238"/>
        <v/>
      </c>
      <c r="VAA83" s="248" t="str">
        <f t="shared" si="238"/>
        <v/>
      </c>
      <c r="VAB83" s="248" t="str">
        <f t="shared" si="238"/>
        <v/>
      </c>
      <c r="VAC83" s="248" t="str">
        <f t="shared" si="238"/>
        <v/>
      </c>
      <c r="VAD83" s="248" t="str">
        <f t="shared" si="238"/>
        <v/>
      </c>
      <c r="VAE83" s="248" t="str">
        <f t="shared" si="238"/>
        <v/>
      </c>
      <c r="VAF83" s="248" t="str">
        <f t="shared" si="238"/>
        <v/>
      </c>
      <c r="VAG83" s="248" t="str">
        <f t="shared" si="238"/>
        <v/>
      </c>
      <c r="VAH83" s="248" t="str">
        <f t="shared" si="238"/>
        <v/>
      </c>
      <c r="VAI83" s="248" t="str">
        <f t="shared" si="238"/>
        <v/>
      </c>
      <c r="VAJ83" s="248" t="str">
        <f t="shared" si="238"/>
        <v/>
      </c>
      <c r="VAK83" s="248" t="str">
        <f t="shared" si="238"/>
        <v/>
      </c>
      <c r="VAL83" s="248" t="str">
        <f t="shared" si="238"/>
        <v/>
      </c>
      <c r="VAM83" s="248" t="str">
        <f t="shared" si="238"/>
        <v/>
      </c>
      <c r="VAN83" s="248" t="str">
        <f t="shared" si="238"/>
        <v/>
      </c>
      <c r="VAO83" s="248" t="str">
        <f t="shared" si="238"/>
        <v/>
      </c>
      <c r="VAP83" s="248" t="str">
        <f t="shared" si="238"/>
        <v/>
      </c>
      <c r="VAQ83" s="248" t="str">
        <f t="shared" si="238"/>
        <v/>
      </c>
      <c r="VAR83" s="248" t="str">
        <f t="shared" si="238"/>
        <v/>
      </c>
      <c r="VAS83" s="248" t="str">
        <f t="shared" si="238"/>
        <v/>
      </c>
      <c r="VAT83" s="248" t="str">
        <f t="shared" si="238"/>
        <v/>
      </c>
      <c r="VAU83" s="248" t="str">
        <f t="shared" si="238"/>
        <v/>
      </c>
      <c r="VAV83" s="248" t="str">
        <f t="shared" si="238"/>
        <v/>
      </c>
      <c r="VAW83" s="248" t="str">
        <f t="shared" si="238"/>
        <v/>
      </c>
      <c r="VAX83" s="248" t="str">
        <f t="shared" si="238"/>
        <v/>
      </c>
      <c r="VAY83" s="248" t="str">
        <f t="shared" si="238"/>
        <v/>
      </c>
      <c r="VAZ83" s="248" t="str">
        <f t="shared" si="238"/>
        <v/>
      </c>
      <c r="VBA83" s="248" t="str">
        <f t="shared" si="238"/>
        <v/>
      </c>
      <c r="VBB83" s="248" t="str">
        <f t="shared" si="238"/>
        <v/>
      </c>
      <c r="VBC83" s="248" t="str">
        <f t="shared" si="238"/>
        <v/>
      </c>
      <c r="VBD83" s="248" t="str">
        <f t="shared" si="238"/>
        <v/>
      </c>
      <c r="VBE83" s="248" t="str">
        <f t="shared" si="238"/>
        <v/>
      </c>
      <c r="VBF83" s="248" t="str">
        <f t="shared" si="238"/>
        <v/>
      </c>
      <c r="VBG83" s="248" t="str">
        <f t="shared" si="238"/>
        <v/>
      </c>
      <c r="VBH83" s="248" t="str">
        <f t="shared" si="238"/>
        <v/>
      </c>
      <c r="VBI83" s="248" t="str">
        <f t="shared" si="238"/>
        <v/>
      </c>
      <c r="VBJ83" s="248" t="str">
        <f t="shared" si="238"/>
        <v/>
      </c>
      <c r="VBK83" s="248" t="str">
        <f t="shared" si="238"/>
        <v/>
      </c>
      <c r="VBL83" s="248" t="str">
        <f t="shared" si="238"/>
        <v/>
      </c>
      <c r="VBM83" s="248" t="str">
        <f t="shared" si="238"/>
        <v/>
      </c>
      <c r="VBN83" s="248" t="str">
        <f t="shared" si="238"/>
        <v/>
      </c>
      <c r="VBO83" s="248" t="str">
        <f t="shared" si="238"/>
        <v/>
      </c>
      <c r="VBP83" s="248" t="str">
        <f t="shared" si="238"/>
        <v/>
      </c>
      <c r="VBQ83" s="248" t="str">
        <f t="shared" si="238"/>
        <v/>
      </c>
      <c r="VBR83" s="248" t="str">
        <f t="shared" si="238"/>
        <v/>
      </c>
      <c r="VBS83" s="248" t="str">
        <f t="shared" ref="VBS83:VED83" si="239">UPPER(VBQ83)</f>
        <v/>
      </c>
      <c r="VBT83" s="248" t="str">
        <f t="shared" si="239"/>
        <v/>
      </c>
      <c r="VBU83" s="248" t="str">
        <f t="shared" si="239"/>
        <v/>
      </c>
      <c r="VBV83" s="248" t="str">
        <f t="shared" si="239"/>
        <v/>
      </c>
      <c r="VBW83" s="248" t="str">
        <f t="shared" si="239"/>
        <v/>
      </c>
      <c r="VBX83" s="248" t="str">
        <f t="shared" si="239"/>
        <v/>
      </c>
      <c r="VBY83" s="248" t="str">
        <f t="shared" si="239"/>
        <v/>
      </c>
      <c r="VBZ83" s="248" t="str">
        <f t="shared" si="239"/>
        <v/>
      </c>
      <c r="VCA83" s="248" t="str">
        <f t="shared" si="239"/>
        <v/>
      </c>
      <c r="VCB83" s="248" t="str">
        <f t="shared" si="239"/>
        <v/>
      </c>
      <c r="VCC83" s="248" t="str">
        <f t="shared" si="239"/>
        <v/>
      </c>
      <c r="VCD83" s="248" t="str">
        <f t="shared" si="239"/>
        <v/>
      </c>
      <c r="VCE83" s="248" t="str">
        <f t="shared" si="239"/>
        <v/>
      </c>
      <c r="VCF83" s="248" t="str">
        <f t="shared" si="239"/>
        <v/>
      </c>
      <c r="VCG83" s="248" t="str">
        <f t="shared" si="239"/>
        <v/>
      </c>
      <c r="VCH83" s="248" t="str">
        <f t="shared" si="239"/>
        <v/>
      </c>
      <c r="VCI83" s="248" t="str">
        <f t="shared" si="239"/>
        <v/>
      </c>
      <c r="VCJ83" s="248" t="str">
        <f t="shared" si="239"/>
        <v/>
      </c>
      <c r="VCK83" s="248" t="str">
        <f t="shared" si="239"/>
        <v/>
      </c>
      <c r="VCL83" s="248" t="str">
        <f t="shared" si="239"/>
        <v/>
      </c>
      <c r="VCM83" s="248" t="str">
        <f t="shared" si="239"/>
        <v/>
      </c>
      <c r="VCN83" s="248" t="str">
        <f t="shared" si="239"/>
        <v/>
      </c>
      <c r="VCO83" s="248" t="str">
        <f t="shared" si="239"/>
        <v/>
      </c>
      <c r="VCP83" s="248" t="str">
        <f t="shared" si="239"/>
        <v/>
      </c>
      <c r="VCQ83" s="248" t="str">
        <f t="shared" si="239"/>
        <v/>
      </c>
      <c r="VCR83" s="248" t="str">
        <f t="shared" si="239"/>
        <v/>
      </c>
      <c r="VCS83" s="248" t="str">
        <f t="shared" si="239"/>
        <v/>
      </c>
      <c r="VCT83" s="248" t="str">
        <f t="shared" si="239"/>
        <v/>
      </c>
      <c r="VCU83" s="248" t="str">
        <f t="shared" si="239"/>
        <v/>
      </c>
      <c r="VCV83" s="248" t="str">
        <f t="shared" si="239"/>
        <v/>
      </c>
      <c r="VCW83" s="248" t="str">
        <f t="shared" si="239"/>
        <v/>
      </c>
      <c r="VCX83" s="248" t="str">
        <f t="shared" si="239"/>
        <v/>
      </c>
      <c r="VCY83" s="248" t="str">
        <f t="shared" si="239"/>
        <v/>
      </c>
      <c r="VCZ83" s="248" t="str">
        <f t="shared" si="239"/>
        <v/>
      </c>
      <c r="VDA83" s="248" t="str">
        <f t="shared" si="239"/>
        <v/>
      </c>
      <c r="VDB83" s="248" t="str">
        <f t="shared" si="239"/>
        <v/>
      </c>
      <c r="VDC83" s="248" t="str">
        <f t="shared" si="239"/>
        <v/>
      </c>
      <c r="VDD83" s="248" t="str">
        <f t="shared" si="239"/>
        <v/>
      </c>
      <c r="VDE83" s="248" t="str">
        <f t="shared" si="239"/>
        <v/>
      </c>
      <c r="VDF83" s="248" t="str">
        <f t="shared" si="239"/>
        <v/>
      </c>
      <c r="VDG83" s="248" t="str">
        <f t="shared" si="239"/>
        <v/>
      </c>
      <c r="VDH83" s="248" t="str">
        <f t="shared" si="239"/>
        <v/>
      </c>
      <c r="VDI83" s="248" t="str">
        <f t="shared" si="239"/>
        <v/>
      </c>
      <c r="VDJ83" s="248" t="str">
        <f t="shared" si="239"/>
        <v/>
      </c>
      <c r="VDK83" s="248" t="str">
        <f t="shared" si="239"/>
        <v/>
      </c>
      <c r="VDL83" s="248" t="str">
        <f t="shared" si="239"/>
        <v/>
      </c>
      <c r="VDM83" s="248" t="str">
        <f t="shared" si="239"/>
        <v/>
      </c>
      <c r="VDN83" s="248" t="str">
        <f t="shared" si="239"/>
        <v/>
      </c>
      <c r="VDO83" s="248" t="str">
        <f t="shared" si="239"/>
        <v/>
      </c>
      <c r="VDP83" s="248" t="str">
        <f t="shared" si="239"/>
        <v/>
      </c>
      <c r="VDQ83" s="248" t="str">
        <f t="shared" si="239"/>
        <v/>
      </c>
      <c r="VDR83" s="248" t="str">
        <f t="shared" si="239"/>
        <v/>
      </c>
      <c r="VDS83" s="248" t="str">
        <f t="shared" si="239"/>
        <v/>
      </c>
      <c r="VDT83" s="248" t="str">
        <f t="shared" si="239"/>
        <v/>
      </c>
      <c r="VDU83" s="248" t="str">
        <f t="shared" si="239"/>
        <v/>
      </c>
      <c r="VDV83" s="248" t="str">
        <f t="shared" si="239"/>
        <v/>
      </c>
      <c r="VDW83" s="248" t="str">
        <f t="shared" si="239"/>
        <v/>
      </c>
      <c r="VDX83" s="248" t="str">
        <f t="shared" si="239"/>
        <v/>
      </c>
      <c r="VDY83" s="248" t="str">
        <f t="shared" si="239"/>
        <v/>
      </c>
      <c r="VDZ83" s="248" t="str">
        <f t="shared" si="239"/>
        <v/>
      </c>
      <c r="VEA83" s="248" t="str">
        <f t="shared" si="239"/>
        <v/>
      </c>
      <c r="VEB83" s="248" t="str">
        <f t="shared" si="239"/>
        <v/>
      </c>
      <c r="VEC83" s="248" t="str">
        <f t="shared" si="239"/>
        <v/>
      </c>
      <c r="VED83" s="248" t="str">
        <f t="shared" si="239"/>
        <v/>
      </c>
      <c r="VEE83" s="248" t="str">
        <f t="shared" ref="VEE83:VGP83" si="240">UPPER(VEC83)</f>
        <v/>
      </c>
      <c r="VEF83" s="248" t="str">
        <f t="shared" si="240"/>
        <v/>
      </c>
      <c r="VEG83" s="248" t="str">
        <f t="shared" si="240"/>
        <v/>
      </c>
      <c r="VEH83" s="248" t="str">
        <f t="shared" si="240"/>
        <v/>
      </c>
      <c r="VEI83" s="248" t="str">
        <f t="shared" si="240"/>
        <v/>
      </c>
      <c r="VEJ83" s="248" t="str">
        <f t="shared" si="240"/>
        <v/>
      </c>
      <c r="VEK83" s="248" t="str">
        <f t="shared" si="240"/>
        <v/>
      </c>
      <c r="VEL83" s="248" t="str">
        <f t="shared" si="240"/>
        <v/>
      </c>
      <c r="VEM83" s="248" t="str">
        <f t="shared" si="240"/>
        <v/>
      </c>
      <c r="VEN83" s="248" t="str">
        <f t="shared" si="240"/>
        <v/>
      </c>
      <c r="VEO83" s="248" t="str">
        <f t="shared" si="240"/>
        <v/>
      </c>
      <c r="VEP83" s="248" t="str">
        <f t="shared" si="240"/>
        <v/>
      </c>
      <c r="VEQ83" s="248" t="str">
        <f t="shared" si="240"/>
        <v/>
      </c>
      <c r="VER83" s="248" t="str">
        <f t="shared" si="240"/>
        <v/>
      </c>
      <c r="VES83" s="248" t="str">
        <f t="shared" si="240"/>
        <v/>
      </c>
      <c r="VET83" s="248" t="str">
        <f t="shared" si="240"/>
        <v/>
      </c>
      <c r="VEU83" s="248" t="str">
        <f t="shared" si="240"/>
        <v/>
      </c>
      <c r="VEV83" s="248" t="str">
        <f t="shared" si="240"/>
        <v/>
      </c>
      <c r="VEW83" s="248" t="str">
        <f t="shared" si="240"/>
        <v/>
      </c>
      <c r="VEX83" s="248" t="str">
        <f t="shared" si="240"/>
        <v/>
      </c>
      <c r="VEY83" s="248" t="str">
        <f t="shared" si="240"/>
        <v/>
      </c>
      <c r="VEZ83" s="248" t="str">
        <f t="shared" si="240"/>
        <v/>
      </c>
      <c r="VFA83" s="248" t="str">
        <f t="shared" si="240"/>
        <v/>
      </c>
      <c r="VFB83" s="248" t="str">
        <f t="shared" si="240"/>
        <v/>
      </c>
      <c r="VFC83" s="248" t="str">
        <f t="shared" si="240"/>
        <v/>
      </c>
      <c r="VFD83" s="248" t="str">
        <f t="shared" si="240"/>
        <v/>
      </c>
      <c r="VFE83" s="248" t="str">
        <f t="shared" si="240"/>
        <v/>
      </c>
      <c r="VFF83" s="248" t="str">
        <f t="shared" si="240"/>
        <v/>
      </c>
      <c r="VFG83" s="248" t="str">
        <f t="shared" si="240"/>
        <v/>
      </c>
      <c r="VFH83" s="248" t="str">
        <f t="shared" si="240"/>
        <v/>
      </c>
      <c r="VFI83" s="248" t="str">
        <f t="shared" si="240"/>
        <v/>
      </c>
      <c r="VFJ83" s="248" t="str">
        <f t="shared" si="240"/>
        <v/>
      </c>
      <c r="VFK83" s="248" t="str">
        <f t="shared" si="240"/>
        <v/>
      </c>
      <c r="VFL83" s="248" t="str">
        <f t="shared" si="240"/>
        <v/>
      </c>
      <c r="VFM83" s="248" t="str">
        <f t="shared" si="240"/>
        <v/>
      </c>
      <c r="VFN83" s="248" t="str">
        <f t="shared" si="240"/>
        <v/>
      </c>
      <c r="VFO83" s="248" t="str">
        <f t="shared" si="240"/>
        <v/>
      </c>
      <c r="VFP83" s="248" t="str">
        <f t="shared" si="240"/>
        <v/>
      </c>
      <c r="VFQ83" s="248" t="str">
        <f t="shared" si="240"/>
        <v/>
      </c>
      <c r="VFR83" s="248" t="str">
        <f t="shared" si="240"/>
        <v/>
      </c>
      <c r="VFS83" s="248" t="str">
        <f t="shared" si="240"/>
        <v/>
      </c>
      <c r="VFT83" s="248" t="str">
        <f t="shared" si="240"/>
        <v/>
      </c>
      <c r="VFU83" s="248" t="str">
        <f t="shared" si="240"/>
        <v/>
      </c>
      <c r="VFV83" s="248" t="str">
        <f t="shared" si="240"/>
        <v/>
      </c>
      <c r="VFW83" s="248" t="str">
        <f t="shared" si="240"/>
        <v/>
      </c>
      <c r="VFX83" s="248" t="str">
        <f t="shared" si="240"/>
        <v/>
      </c>
      <c r="VFY83" s="248" t="str">
        <f t="shared" si="240"/>
        <v/>
      </c>
      <c r="VFZ83" s="248" t="str">
        <f t="shared" si="240"/>
        <v/>
      </c>
      <c r="VGA83" s="248" t="str">
        <f t="shared" si="240"/>
        <v/>
      </c>
      <c r="VGB83" s="248" t="str">
        <f t="shared" si="240"/>
        <v/>
      </c>
      <c r="VGC83" s="248" t="str">
        <f t="shared" si="240"/>
        <v/>
      </c>
      <c r="VGD83" s="248" t="str">
        <f t="shared" si="240"/>
        <v/>
      </c>
      <c r="VGE83" s="248" t="str">
        <f t="shared" si="240"/>
        <v/>
      </c>
      <c r="VGF83" s="248" t="str">
        <f t="shared" si="240"/>
        <v/>
      </c>
      <c r="VGG83" s="248" t="str">
        <f t="shared" si="240"/>
        <v/>
      </c>
      <c r="VGH83" s="248" t="str">
        <f t="shared" si="240"/>
        <v/>
      </c>
      <c r="VGI83" s="248" t="str">
        <f t="shared" si="240"/>
        <v/>
      </c>
      <c r="VGJ83" s="248" t="str">
        <f t="shared" si="240"/>
        <v/>
      </c>
      <c r="VGK83" s="248" t="str">
        <f t="shared" si="240"/>
        <v/>
      </c>
      <c r="VGL83" s="248" t="str">
        <f t="shared" si="240"/>
        <v/>
      </c>
      <c r="VGM83" s="248" t="str">
        <f t="shared" si="240"/>
        <v/>
      </c>
      <c r="VGN83" s="248" t="str">
        <f t="shared" si="240"/>
        <v/>
      </c>
      <c r="VGO83" s="248" t="str">
        <f t="shared" si="240"/>
        <v/>
      </c>
      <c r="VGP83" s="248" t="str">
        <f t="shared" si="240"/>
        <v/>
      </c>
      <c r="VGQ83" s="248" t="str">
        <f t="shared" ref="VGQ83:VJB83" si="241">UPPER(VGO83)</f>
        <v/>
      </c>
      <c r="VGR83" s="248" t="str">
        <f t="shared" si="241"/>
        <v/>
      </c>
      <c r="VGS83" s="248" t="str">
        <f t="shared" si="241"/>
        <v/>
      </c>
      <c r="VGT83" s="248" t="str">
        <f t="shared" si="241"/>
        <v/>
      </c>
      <c r="VGU83" s="248" t="str">
        <f t="shared" si="241"/>
        <v/>
      </c>
      <c r="VGV83" s="248" t="str">
        <f t="shared" si="241"/>
        <v/>
      </c>
      <c r="VGW83" s="248" t="str">
        <f t="shared" si="241"/>
        <v/>
      </c>
      <c r="VGX83" s="248" t="str">
        <f t="shared" si="241"/>
        <v/>
      </c>
      <c r="VGY83" s="248" t="str">
        <f t="shared" si="241"/>
        <v/>
      </c>
      <c r="VGZ83" s="248" t="str">
        <f t="shared" si="241"/>
        <v/>
      </c>
      <c r="VHA83" s="248" t="str">
        <f t="shared" si="241"/>
        <v/>
      </c>
      <c r="VHB83" s="248" t="str">
        <f t="shared" si="241"/>
        <v/>
      </c>
      <c r="VHC83" s="248" t="str">
        <f t="shared" si="241"/>
        <v/>
      </c>
      <c r="VHD83" s="248" t="str">
        <f t="shared" si="241"/>
        <v/>
      </c>
      <c r="VHE83" s="248" t="str">
        <f t="shared" si="241"/>
        <v/>
      </c>
      <c r="VHF83" s="248" t="str">
        <f t="shared" si="241"/>
        <v/>
      </c>
      <c r="VHG83" s="248" t="str">
        <f t="shared" si="241"/>
        <v/>
      </c>
      <c r="VHH83" s="248" t="str">
        <f t="shared" si="241"/>
        <v/>
      </c>
      <c r="VHI83" s="248" t="str">
        <f t="shared" si="241"/>
        <v/>
      </c>
      <c r="VHJ83" s="248" t="str">
        <f t="shared" si="241"/>
        <v/>
      </c>
      <c r="VHK83" s="248" t="str">
        <f t="shared" si="241"/>
        <v/>
      </c>
      <c r="VHL83" s="248" t="str">
        <f t="shared" si="241"/>
        <v/>
      </c>
      <c r="VHM83" s="248" t="str">
        <f t="shared" si="241"/>
        <v/>
      </c>
      <c r="VHN83" s="248" t="str">
        <f t="shared" si="241"/>
        <v/>
      </c>
      <c r="VHO83" s="248" t="str">
        <f t="shared" si="241"/>
        <v/>
      </c>
      <c r="VHP83" s="248" t="str">
        <f t="shared" si="241"/>
        <v/>
      </c>
      <c r="VHQ83" s="248" t="str">
        <f t="shared" si="241"/>
        <v/>
      </c>
      <c r="VHR83" s="248" t="str">
        <f t="shared" si="241"/>
        <v/>
      </c>
      <c r="VHS83" s="248" t="str">
        <f t="shared" si="241"/>
        <v/>
      </c>
      <c r="VHT83" s="248" t="str">
        <f t="shared" si="241"/>
        <v/>
      </c>
      <c r="VHU83" s="248" t="str">
        <f t="shared" si="241"/>
        <v/>
      </c>
      <c r="VHV83" s="248" t="str">
        <f t="shared" si="241"/>
        <v/>
      </c>
      <c r="VHW83" s="248" t="str">
        <f t="shared" si="241"/>
        <v/>
      </c>
      <c r="VHX83" s="248" t="str">
        <f t="shared" si="241"/>
        <v/>
      </c>
      <c r="VHY83" s="248" t="str">
        <f t="shared" si="241"/>
        <v/>
      </c>
      <c r="VHZ83" s="248" t="str">
        <f t="shared" si="241"/>
        <v/>
      </c>
      <c r="VIA83" s="248" t="str">
        <f t="shared" si="241"/>
        <v/>
      </c>
      <c r="VIB83" s="248" t="str">
        <f t="shared" si="241"/>
        <v/>
      </c>
      <c r="VIC83" s="248" t="str">
        <f t="shared" si="241"/>
        <v/>
      </c>
      <c r="VID83" s="248" t="str">
        <f t="shared" si="241"/>
        <v/>
      </c>
      <c r="VIE83" s="248" t="str">
        <f t="shared" si="241"/>
        <v/>
      </c>
      <c r="VIF83" s="248" t="str">
        <f t="shared" si="241"/>
        <v/>
      </c>
      <c r="VIG83" s="248" t="str">
        <f t="shared" si="241"/>
        <v/>
      </c>
      <c r="VIH83" s="248" t="str">
        <f t="shared" si="241"/>
        <v/>
      </c>
      <c r="VII83" s="248" t="str">
        <f t="shared" si="241"/>
        <v/>
      </c>
      <c r="VIJ83" s="248" t="str">
        <f t="shared" si="241"/>
        <v/>
      </c>
      <c r="VIK83" s="248" t="str">
        <f t="shared" si="241"/>
        <v/>
      </c>
      <c r="VIL83" s="248" t="str">
        <f t="shared" si="241"/>
        <v/>
      </c>
      <c r="VIM83" s="248" t="str">
        <f t="shared" si="241"/>
        <v/>
      </c>
      <c r="VIN83" s="248" t="str">
        <f t="shared" si="241"/>
        <v/>
      </c>
      <c r="VIO83" s="248" t="str">
        <f t="shared" si="241"/>
        <v/>
      </c>
      <c r="VIP83" s="248" t="str">
        <f t="shared" si="241"/>
        <v/>
      </c>
      <c r="VIQ83" s="248" t="str">
        <f t="shared" si="241"/>
        <v/>
      </c>
      <c r="VIR83" s="248" t="str">
        <f t="shared" si="241"/>
        <v/>
      </c>
      <c r="VIS83" s="248" t="str">
        <f t="shared" si="241"/>
        <v/>
      </c>
      <c r="VIT83" s="248" t="str">
        <f t="shared" si="241"/>
        <v/>
      </c>
      <c r="VIU83" s="248" t="str">
        <f t="shared" si="241"/>
        <v/>
      </c>
      <c r="VIV83" s="248" t="str">
        <f t="shared" si="241"/>
        <v/>
      </c>
      <c r="VIW83" s="248" t="str">
        <f t="shared" si="241"/>
        <v/>
      </c>
      <c r="VIX83" s="248" t="str">
        <f t="shared" si="241"/>
        <v/>
      </c>
      <c r="VIY83" s="248" t="str">
        <f t="shared" si="241"/>
        <v/>
      </c>
      <c r="VIZ83" s="248" t="str">
        <f t="shared" si="241"/>
        <v/>
      </c>
      <c r="VJA83" s="248" t="str">
        <f t="shared" si="241"/>
        <v/>
      </c>
      <c r="VJB83" s="248" t="str">
        <f t="shared" si="241"/>
        <v/>
      </c>
      <c r="VJC83" s="248" t="str">
        <f t="shared" ref="VJC83:VLN83" si="242">UPPER(VJA83)</f>
        <v/>
      </c>
      <c r="VJD83" s="248" t="str">
        <f t="shared" si="242"/>
        <v/>
      </c>
      <c r="VJE83" s="248" t="str">
        <f t="shared" si="242"/>
        <v/>
      </c>
      <c r="VJF83" s="248" t="str">
        <f t="shared" si="242"/>
        <v/>
      </c>
      <c r="VJG83" s="248" t="str">
        <f t="shared" si="242"/>
        <v/>
      </c>
      <c r="VJH83" s="248" t="str">
        <f t="shared" si="242"/>
        <v/>
      </c>
      <c r="VJI83" s="248" t="str">
        <f t="shared" si="242"/>
        <v/>
      </c>
      <c r="VJJ83" s="248" t="str">
        <f t="shared" si="242"/>
        <v/>
      </c>
      <c r="VJK83" s="248" t="str">
        <f t="shared" si="242"/>
        <v/>
      </c>
      <c r="VJL83" s="248" t="str">
        <f t="shared" si="242"/>
        <v/>
      </c>
      <c r="VJM83" s="248" t="str">
        <f t="shared" si="242"/>
        <v/>
      </c>
      <c r="VJN83" s="248" t="str">
        <f t="shared" si="242"/>
        <v/>
      </c>
      <c r="VJO83" s="248" t="str">
        <f t="shared" si="242"/>
        <v/>
      </c>
      <c r="VJP83" s="248" t="str">
        <f t="shared" si="242"/>
        <v/>
      </c>
      <c r="VJQ83" s="248" t="str">
        <f t="shared" si="242"/>
        <v/>
      </c>
      <c r="VJR83" s="248" t="str">
        <f t="shared" si="242"/>
        <v/>
      </c>
      <c r="VJS83" s="248" t="str">
        <f t="shared" si="242"/>
        <v/>
      </c>
      <c r="VJT83" s="248" t="str">
        <f t="shared" si="242"/>
        <v/>
      </c>
      <c r="VJU83" s="248" t="str">
        <f t="shared" si="242"/>
        <v/>
      </c>
      <c r="VJV83" s="248" t="str">
        <f t="shared" si="242"/>
        <v/>
      </c>
      <c r="VJW83" s="248" t="str">
        <f t="shared" si="242"/>
        <v/>
      </c>
      <c r="VJX83" s="248" t="str">
        <f t="shared" si="242"/>
        <v/>
      </c>
      <c r="VJY83" s="248" t="str">
        <f t="shared" si="242"/>
        <v/>
      </c>
      <c r="VJZ83" s="248" t="str">
        <f t="shared" si="242"/>
        <v/>
      </c>
      <c r="VKA83" s="248" t="str">
        <f t="shared" si="242"/>
        <v/>
      </c>
      <c r="VKB83" s="248" t="str">
        <f t="shared" si="242"/>
        <v/>
      </c>
      <c r="VKC83" s="248" t="str">
        <f t="shared" si="242"/>
        <v/>
      </c>
      <c r="VKD83" s="248" t="str">
        <f t="shared" si="242"/>
        <v/>
      </c>
      <c r="VKE83" s="248" t="str">
        <f t="shared" si="242"/>
        <v/>
      </c>
      <c r="VKF83" s="248" t="str">
        <f t="shared" si="242"/>
        <v/>
      </c>
      <c r="VKG83" s="248" t="str">
        <f t="shared" si="242"/>
        <v/>
      </c>
      <c r="VKH83" s="248" t="str">
        <f t="shared" si="242"/>
        <v/>
      </c>
      <c r="VKI83" s="248" t="str">
        <f t="shared" si="242"/>
        <v/>
      </c>
      <c r="VKJ83" s="248" t="str">
        <f t="shared" si="242"/>
        <v/>
      </c>
      <c r="VKK83" s="248" t="str">
        <f t="shared" si="242"/>
        <v/>
      </c>
      <c r="VKL83" s="248" t="str">
        <f t="shared" si="242"/>
        <v/>
      </c>
      <c r="VKM83" s="248" t="str">
        <f t="shared" si="242"/>
        <v/>
      </c>
      <c r="VKN83" s="248" t="str">
        <f t="shared" si="242"/>
        <v/>
      </c>
      <c r="VKO83" s="248" t="str">
        <f t="shared" si="242"/>
        <v/>
      </c>
      <c r="VKP83" s="248" t="str">
        <f t="shared" si="242"/>
        <v/>
      </c>
      <c r="VKQ83" s="248" t="str">
        <f t="shared" si="242"/>
        <v/>
      </c>
      <c r="VKR83" s="248" t="str">
        <f t="shared" si="242"/>
        <v/>
      </c>
      <c r="VKS83" s="248" t="str">
        <f t="shared" si="242"/>
        <v/>
      </c>
      <c r="VKT83" s="248" t="str">
        <f t="shared" si="242"/>
        <v/>
      </c>
      <c r="VKU83" s="248" t="str">
        <f t="shared" si="242"/>
        <v/>
      </c>
      <c r="VKV83" s="248" t="str">
        <f t="shared" si="242"/>
        <v/>
      </c>
      <c r="VKW83" s="248" t="str">
        <f t="shared" si="242"/>
        <v/>
      </c>
      <c r="VKX83" s="248" t="str">
        <f t="shared" si="242"/>
        <v/>
      </c>
      <c r="VKY83" s="248" t="str">
        <f t="shared" si="242"/>
        <v/>
      </c>
      <c r="VKZ83" s="248" t="str">
        <f t="shared" si="242"/>
        <v/>
      </c>
      <c r="VLA83" s="248" t="str">
        <f t="shared" si="242"/>
        <v/>
      </c>
      <c r="VLB83" s="248" t="str">
        <f t="shared" si="242"/>
        <v/>
      </c>
      <c r="VLC83" s="248" t="str">
        <f t="shared" si="242"/>
        <v/>
      </c>
      <c r="VLD83" s="248" t="str">
        <f t="shared" si="242"/>
        <v/>
      </c>
      <c r="VLE83" s="248" t="str">
        <f t="shared" si="242"/>
        <v/>
      </c>
      <c r="VLF83" s="248" t="str">
        <f t="shared" si="242"/>
        <v/>
      </c>
      <c r="VLG83" s="248" t="str">
        <f t="shared" si="242"/>
        <v/>
      </c>
      <c r="VLH83" s="248" t="str">
        <f t="shared" si="242"/>
        <v/>
      </c>
      <c r="VLI83" s="248" t="str">
        <f t="shared" si="242"/>
        <v/>
      </c>
      <c r="VLJ83" s="248" t="str">
        <f t="shared" si="242"/>
        <v/>
      </c>
      <c r="VLK83" s="248" t="str">
        <f t="shared" si="242"/>
        <v/>
      </c>
      <c r="VLL83" s="248" t="str">
        <f t="shared" si="242"/>
        <v/>
      </c>
      <c r="VLM83" s="248" t="str">
        <f t="shared" si="242"/>
        <v/>
      </c>
      <c r="VLN83" s="248" t="str">
        <f t="shared" si="242"/>
        <v/>
      </c>
      <c r="VLO83" s="248" t="str">
        <f t="shared" ref="VLO83:VNZ83" si="243">UPPER(VLM83)</f>
        <v/>
      </c>
      <c r="VLP83" s="248" t="str">
        <f t="shared" si="243"/>
        <v/>
      </c>
      <c r="VLQ83" s="248" t="str">
        <f t="shared" si="243"/>
        <v/>
      </c>
      <c r="VLR83" s="248" t="str">
        <f t="shared" si="243"/>
        <v/>
      </c>
      <c r="VLS83" s="248" t="str">
        <f t="shared" si="243"/>
        <v/>
      </c>
      <c r="VLT83" s="248" t="str">
        <f t="shared" si="243"/>
        <v/>
      </c>
      <c r="VLU83" s="248" t="str">
        <f t="shared" si="243"/>
        <v/>
      </c>
      <c r="VLV83" s="248" t="str">
        <f t="shared" si="243"/>
        <v/>
      </c>
      <c r="VLW83" s="248" t="str">
        <f t="shared" si="243"/>
        <v/>
      </c>
      <c r="VLX83" s="248" t="str">
        <f t="shared" si="243"/>
        <v/>
      </c>
      <c r="VLY83" s="248" t="str">
        <f t="shared" si="243"/>
        <v/>
      </c>
      <c r="VLZ83" s="248" t="str">
        <f t="shared" si="243"/>
        <v/>
      </c>
      <c r="VMA83" s="248" t="str">
        <f t="shared" si="243"/>
        <v/>
      </c>
      <c r="VMB83" s="248" t="str">
        <f t="shared" si="243"/>
        <v/>
      </c>
      <c r="VMC83" s="248" t="str">
        <f t="shared" si="243"/>
        <v/>
      </c>
      <c r="VMD83" s="248" t="str">
        <f t="shared" si="243"/>
        <v/>
      </c>
      <c r="VME83" s="248" t="str">
        <f t="shared" si="243"/>
        <v/>
      </c>
      <c r="VMF83" s="248" t="str">
        <f t="shared" si="243"/>
        <v/>
      </c>
      <c r="VMG83" s="248" t="str">
        <f t="shared" si="243"/>
        <v/>
      </c>
      <c r="VMH83" s="248" t="str">
        <f t="shared" si="243"/>
        <v/>
      </c>
      <c r="VMI83" s="248" t="str">
        <f t="shared" si="243"/>
        <v/>
      </c>
      <c r="VMJ83" s="248" t="str">
        <f t="shared" si="243"/>
        <v/>
      </c>
      <c r="VMK83" s="248" t="str">
        <f t="shared" si="243"/>
        <v/>
      </c>
      <c r="VML83" s="248" t="str">
        <f t="shared" si="243"/>
        <v/>
      </c>
      <c r="VMM83" s="248" t="str">
        <f t="shared" si="243"/>
        <v/>
      </c>
      <c r="VMN83" s="248" t="str">
        <f t="shared" si="243"/>
        <v/>
      </c>
      <c r="VMO83" s="248" t="str">
        <f t="shared" si="243"/>
        <v/>
      </c>
      <c r="VMP83" s="248" t="str">
        <f t="shared" si="243"/>
        <v/>
      </c>
      <c r="VMQ83" s="248" t="str">
        <f t="shared" si="243"/>
        <v/>
      </c>
      <c r="VMR83" s="248" t="str">
        <f t="shared" si="243"/>
        <v/>
      </c>
      <c r="VMS83" s="248" t="str">
        <f t="shared" si="243"/>
        <v/>
      </c>
      <c r="VMT83" s="248" t="str">
        <f t="shared" si="243"/>
        <v/>
      </c>
      <c r="VMU83" s="248" t="str">
        <f t="shared" si="243"/>
        <v/>
      </c>
      <c r="VMV83" s="248" t="str">
        <f t="shared" si="243"/>
        <v/>
      </c>
      <c r="VMW83" s="248" t="str">
        <f t="shared" si="243"/>
        <v/>
      </c>
      <c r="VMX83" s="248" t="str">
        <f t="shared" si="243"/>
        <v/>
      </c>
      <c r="VMY83" s="248" t="str">
        <f t="shared" si="243"/>
        <v/>
      </c>
      <c r="VMZ83" s="248" t="str">
        <f t="shared" si="243"/>
        <v/>
      </c>
      <c r="VNA83" s="248" t="str">
        <f t="shared" si="243"/>
        <v/>
      </c>
      <c r="VNB83" s="248" t="str">
        <f t="shared" si="243"/>
        <v/>
      </c>
      <c r="VNC83" s="248" t="str">
        <f t="shared" si="243"/>
        <v/>
      </c>
      <c r="VND83" s="248" t="str">
        <f t="shared" si="243"/>
        <v/>
      </c>
      <c r="VNE83" s="248" t="str">
        <f t="shared" si="243"/>
        <v/>
      </c>
      <c r="VNF83" s="248" t="str">
        <f t="shared" si="243"/>
        <v/>
      </c>
      <c r="VNG83" s="248" t="str">
        <f t="shared" si="243"/>
        <v/>
      </c>
      <c r="VNH83" s="248" t="str">
        <f t="shared" si="243"/>
        <v/>
      </c>
      <c r="VNI83" s="248" t="str">
        <f t="shared" si="243"/>
        <v/>
      </c>
      <c r="VNJ83" s="248" t="str">
        <f t="shared" si="243"/>
        <v/>
      </c>
      <c r="VNK83" s="248" t="str">
        <f t="shared" si="243"/>
        <v/>
      </c>
      <c r="VNL83" s="248" t="str">
        <f t="shared" si="243"/>
        <v/>
      </c>
      <c r="VNM83" s="248" t="str">
        <f t="shared" si="243"/>
        <v/>
      </c>
      <c r="VNN83" s="248" t="str">
        <f t="shared" si="243"/>
        <v/>
      </c>
      <c r="VNO83" s="248" t="str">
        <f t="shared" si="243"/>
        <v/>
      </c>
      <c r="VNP83" s="248" t="str">
        <f t="shared" si="243"/>
        <v/>
      </c>
      <c r="VNQ83" s="248" t="str">
        <f t="shared" si="243"/>
        <v/>
      </c>
      <c r="VNR83" s="248" t="str">
        <f t="shared" si="243"/>
        <v/>
      </c>
      <c r="VNS83" s="248" t="str">
        <f t="shared" si="243"/>
        <v/>
      </c>
      <c r="VNT83" s="248" t="str">
        <f t="shared" si="243"/>
        <v/>
      </c>
      <c r="VNU83" s="248" t="str">
        <f t="shared" si="243"/>
        <v/>
      </c>
      <c r="VNV83" s="248" t="str">
        <f t="shared" si="243"/>
        <v/>
      </c>
      <c r="VNW83" s="248" t="str">
        <f t="shared" si="243"/>
        <v/>
      </c>
      <c r="VNX83" s="248" t="str">
        <f t="shared" si="243"/>
        <v/>
      </c>
      <c r="VNY83" s="248" t="str">
        <f t="shared" si="243"/>
        <v/>
      </c>
      <c r="VNZ83" s="248" t="str">
        <f t="shared" si="243"/>
        <v/>
      </c>
      <c r="VOA83" s="248" t="str">
        <f t="shared" ref="VOA83:VQL83" si="244">UPPER(VNY83)</f>
        <v/>
      </c>
      <c r="VOB83" s="248" t="str">
        <f t="shared" si="244"/>
        <v/>
      </c>
      <c r="VOC83" s="248" t="str">
        <f t="shared" si="244"/>
        <v/>
      </c>
      <c r="VOD83" s="248" t="str">
        <f t="shared" si="244"/>
        <v/>
      </c>
      <c r="VOE83" s="248" t="str">
        <f t="shared" si="244"/>
        <v/>
      </c>
      <c r="VOF83" s="248" t="str">
        <f t="shared" si="244"/>
        <v/>
      </c>
      <c r="VOG83" s="248" t="str">
        <f t="shared" si="244"/>
        <v/>
      </c>
      <c r="VOH83" s="248" t="str">
        <f t="shared" si="244"/>
        <v/>
      </c>
      <c r="VOI83" s="248" t="str">
        <f t="shared" si="244"/>
        <v/>
      </c>
      <c r="VOJ83" s="248" t="str">
        <f t="shared" si="244"/>
        <v/>
      </c>
      <c r="VOK83" s="248" t="str">
        <f t="shared" si="244"/>
        <v/>
      </c>
      <c r="VOL83" s="248" t="str">
        <f t="shared" si="244"/>
        <v/>
      </c>
      <c r="VOM83" s="248" t="str">
        <f t="shared" si="244"/>
        <v/>
      </c>
      <c r="VON83" s="248" t="str">
        <f t="shared" si="244"/>
        <v/>
      </c>
      <c r="VOO83" s="248" t="str">
        <f t="shared" si="244"/>
        <v/>
      </c>
      <c r="VOP83" s="248" t="str">
        <f t="shared" si="244"/>
        <v/>
      </c>
      <c r="VOQ83" s="248" t="str">
        <f t="shared" si="244"/>
        <v/>
      </c>
      <c r="VOR83" s="248" t="str">
        <f t="shared" si="244"/>
        <v/>
      </c>
      <c r="VOS83" s="248" t="str">
        <f t="shared" si="244"/>
        <v/>
      </c>
      <c r="VOT83" s="248" t="str">
        <f t="shared" si="244"/>
        <v/>
      </c>
      <c r="VOU83" s="248" t="str">
        <f t="shared" si="244"/>
        <v/>
      </c>
      <c r="VOV83" s="248" t="str">
        <f t="shared" si="244"/>
        <v/>
      </c>
      <c r="VOW83" s="248" t="str">
        <f t="shared" si="244"/>
        <v/>
      </c>
      <c r="VOX83" s="248" t="str">
        <f t="shared" si="244"/>
        <v/>
      </c>
      <c r="VOY83" s="248" t="str">
        <f t="shared" si="244"/>
        <v/>
      </c>
      <c r="VOZ83" s="248" t="str">
        <f t="shared" si="244"/>
        <v/>
      </c>
      <c r="VPA83" s="248" t="str">
        <f t="shared" si="244"/>
        <v/>
      </c>
      <c r="VPB83" s="248" t="str">
        <f t="shared" si="244"/>
        <v/>
      </c>
      <c r="VPC83" s="248" t="str">
        <f t="shared" si="244"/>
        <v/>
      </c>
      <c r="VPD83" s="248" t="str">
        <f t="shared" si="244"/>
        <v/>
      </c>
      <c r="VPE83" s="248" t="str">
        <f t="shared" si="244"/>
        <v/>
      </c>
      <c r="VPF83" s="248" t="str">
        <f t="shared" si="244"/>
        <v/>
      </c>
      <c r="VPG83" s="248" t="str">
        <f t="shared" si="244"/>
        <v/>
      </c>
      <c r="VPH83" s="248" t="str">
        <f t="shared" si="244"/>
        <v/>
      </c>
      <c r="VPI83" s="248" t="str">
        <f t="shared" si="244"/>
        <v/>
      </c>
      <c r="VPJ83" s="248" t="str">
        <f t="shared" si="244"/>
        <v/>
      </c>
      <c r="VPK83" s="248" t="str">
        <f t="shared" si="244"/>
        <v/>
      </c>
      <c r="VPL83" s="248" t="str">
        <f t="shared" si="244"/>
        <v/>
      </c>
      <c r="VPM83" s="248" t="str">
        <f t="shared" si="244"/>
        <v/>
      </c>
      <c r="VPN83" s="248" t="str">
        <f t="shared" si="244"/>
        <v/>
      </c>
      <c r="VPO83" s="248" t="str">
        <f t="shared" si="244"/>
        <v/>
      </c>
      <c r="VPP83" s="248" t="str">
        <f t="shared" si="244"/>
        <v/>
      </c>
      <c r="VPQ83" s="248" t="str">
        <f t="shared" si="244"/>
        <v/>
      </c>
      <c r="VPR83" s="248" t="str">
        <f t="shared" si="244"/>
        <v/>
      </c>
      <c r="VPS83" s="248" t="str">
        <f t="shared" si="244"/>
        <v/>
      </c>
      <c r="VPT83" s="248" t="str">
        <f t="shared" si="244"/>
        <v/>
      </c>
      <c r="VPU83" s="248" t="str">
        <f t="shared" si="244"/>
        <v/>
      </c>
      <c r="VPV83" s="248" t="str">
        <f t="shared" si="244"/>
        <v/>
      </c>
      <c r="VPW83" s="248" t="str">
        <f t="shared" si="244"/>
        <v/>
      </c>
      <c r="VPX83" s="248" t="str">
        <f t="shared" si="244"/>
        <v/>
      </c>
      <c r="VPY83" s="248" t="str">
        <f t="shared" si="244"/>
        <v/>
      </c>
      <c r="VPZ83" s="248" t="str">
        <f t="shared" si="244"/>
        <v/>
      </c>
      <c r="VQA83" s="248" t="str">
        <f t="shared" si="244"/>
        <v/>
      </c>
      <c r="VQB83" s="248" t="str">
        <f t="shared" si="244"/>
        <v/>
      </c>
      <c r="VQC83" s="248" t="str">
        <f t="shared" si="244"/>
        <v/>
      </c>
      <c r="VQD83" s="248" t="str">
        <f t="shared" si="244"/>
        <v/>
      </c>
      <c r="VQE83" s="248" t="str">
        <f t="shared" si="244"/>
        <v/>
      </c>
      <c r="VQF83" s="248" t="str">
        <f t="shared" si="244"/>
        <v/>
      </c>
      <c r="VQG83" s="248" t="str">
        <f t="shared" si="244"/>
        <v/>
      </c>
      <c r="VQH83" s="248" t="str">
        <f t="shared" si="244"/>
        <v/>
      </c>
      <c r="VQI83" s="248" t="str">
        <f t="shared" si="244"/>
        <v/>
      </c>
      <c r="VQJ83" s="248" t="str">
        <f t="shared" si="244"/>
        <v/>
      </c>
      <c r="VQK83" s="248" t="str">
        <f t="shared" si="244"/>
        <v/>
      </c>
      <c r="VQL83" s="248" t="str">
        <f t="shared" si="244"/>
        <v/>
      </c>
      <c r="VQM83" s="248" t="str">
        <f t="shared" ref="VQM83:VSX83" si="245">UPPER(VQK83)</f>
        <v/>
      </c>
      <c r="VQN83" s="248" t="str">
        <f t="shared" si="245"/>
        <v/>
      </c>
      <c r="VQO83" s="248" t="str">
        <f t="shared" si="245"/>
        <v/>
      </c>
      <c r="VQP83" s="248" t="str">
        <f t="shared" si="245"/>
        <v/>
      </c>
      <c r="VQQ83" s="248" t="str">
        <f t="shared" si="245"/>
        <v/>
      </c>
      <c r="VQR83" s="248" t="str">
        <f t="shared" si="245"/>
        <v/>
      </c>
      <c r="VQS83" s="248" t="str">
        <f t="shared" si="245"/>
        <v/>
      </c>
      <c r="VQT83" s="248" t="str">
        <f t="shared" si="245"/>
        <v/>
      </c>
      <c r="VQU83" s="248" t="str">
        <f t="shared" si="245"/>
        <v/>
      </c>
      <c r="VQV83" s="248" t="str">
        <f t="shared" si="245"/>
        <v/>
      </c>
      <c r="VQW83" s="248" t="str">
        <f t="shared" si="245"/>
        <v/>
      </c>
      <c r="VQX83" s="248" t="str">
        <f t="shared" si="245"/>
        <v/>
      </c>
      <c r="VQY83" s="248" t="str">
        <f t="shared" si="245"/>
        <v/>
      </c>
      <c r="VQZ83" s="248" t="str">
        <f t="shared" si="245"/>
        <v/>
      </c>
      <c r="VRA83" s="248" t="str">
        <f t="shared" si="245"/>
        <v/>
      </c>
      <c r="VRB83" s="248" t="str">
        <f t="shared" si="245"/>
        <v/>
      </c>
      <c r="VRC83" s="248" t="str">
        <f t="shared" si="245"/>
        <v/>
      </c>
      <c r="VRD83" s="248" t="str">
        <f t="shared" si="245"/>
        <v/>
      </c>
      <c r="VRE83" s="248" t="str">
        <f t="shared" si="245"/>
        <v/>
      </c>
      <c r="VRF83" s="248" t="str">
        <f t="shared" si="245"/>
        <v/>
      </c>
      <c r="VRG83" s="248" t="str">
        <f t="shared" si="245"/>
        <v/>
      </c>
      <c r="VRH83" s="248" t="str">
        <f t="shared" si="245"/>
        <v/>
      </c>
      <c r="VRI83" s="248" t="str">
        <f t="shared" si="245"/>
        <v/>
      </c>
      <c r="VRJ83" s="248" t="str">
        <f t="shared" si="245"/>
        <v/>
      </c>
      <c r="VRK83" s="248" t="str">
        <f t="shared" si="245"/>
        <v/>
      </c>
      <c r="VRL83" s="248" t="str">
        <f t="shared" si="245"/>
        <v/>
      </c>
      <c r="VRM83" s="248" t="str">
        <f t="shared" si="245"/>
        <v/>
      </c>
      <c r="VRN83" s="248" t="str">
        <f t="shared" si="245"/>
        <v/>
      </c>
      <c r="VRO83" s="248" t="str">
        <f t="shared" si="245"/>
        <v/>
      </c>
      <c r="VRP83" s="248" t="str">
        <f t="shared" si="245"/>
        <v/>
      </c>
      <c r="VRQ83" s="248" t="str">
        <f t="shared" si="245"/>
        <v/>
      </c>
      <c r="VRR83" s="248" t="str">
        <f t="shared" si="245"/>
        <v/>
      </c>
      <c r="VRS83" s="248" t="str">
        <f t="shared" si="245"/>
        <v/>
      </c>
      <c r="VRT83" s="248" t="str">
        <f t="shared" si="245"/>
        <v/>
      </c>
      <c r="VRU83" s="248" t="str">
        <f t="shared" si="245"/>
        <v/>
      </c>
      <c r="VRV83" s="248" t="str">
        <f t="shared" si="245"/>
        <v/>
      </c>
      <c r="VRW83" s="248" t="str">
        <f t="shared" si="245"/>
        <v/>
      </c>
      <c r="VRX83" s="248" t="str">
        <f t="shared" si="245"/>
        <v/>
      </c>
      <c r="VRY83" s="248" t="str">
        <f t="shared" si="245"/>
        <v/>
      </c>
      <c r="VRZ83" s="248" t="str">
        <f t="shared" si="245"/>
        <v/>
      </c>
      <c r="VSA83" s="248" t="str">
        <f t="shared" si="245"/>
        <v/>
      </c>
      <c r="VSB83" s="248" t="str">
        <f t="shared" si="245"/>
        <v/>
      </c>
      <c r="VSC83" s="248" t="str">
        <f t="shared" si="245"/>
        <v/>
      </c>
      <c r="VSD83" s="248" t="str">
        <f t="shared" si="245"/>
        <v/>
      </c>
      <c r="VSE83" s="248" t="str">
        <f t="shared" si="245"/>
        <v/>
      </c>
      <c r="VSF83" s="248" t="str">
        <f t="shared" si="245"/>
        <v/>
      </c>
      <c r="VSG83" s="248" t="str">
        <f t="shared" si="245"/>
        <v/>
      </c>
      <c r="VSH83" s="248" t="str">
        <f t="shared" si="245"/>
        <v/>
      </c>
      <c r="VSI83" s="248" t="str">
        <f t="shared" si="245"/>
        <v/>
      </c>
      <c r="VSJ83" s="248" t="str">
        <f t="shared" si="245"/>
        <v/>
      </c>
      <c r="VSK83" s="248" t="str">
        <f t="shared" si="245"/>
        <v/>
      </c>
      <c r="VSL83" s="248" t="str">
        <f t="shared" si="245"/>
        <v/>
      </c>
      <c r="VSM83" s="248" t="str">
        <f t="shared" si="245"/>
        <v/>
      </c>
      <c r="VSN83" s="248" t="str">
        <f t="shared" si="245"/>
        <v/>
      </c>
      <c r="VSO83" s="248" t="str">
        <f t="shared" si="245"/>
        <v/>
      </c>
      <c r="VSP83" s="248" t="str">
        <f t="shared" si="245"/>
        <v/>
      </c>
      <c r="VSQ83" s="248" t="str">
        <f t="shared" si="245"/>
        <v/>
      </c>
      <c r="VSR83" s="248" t="str">
        <f t="shared" si="245"/>
        <v/>
      </c>
      <c r="VSS83" s="248" t="str">
        <f t="shared" si="245"/>
        <v/>
      </c>
      <c r="VST83" s="248" t="str">
        <f t="shared" si="245"/>
        <v/>
      </c>
      <c r="VSU83" s="248" t="str">
        <f t="shared" si="245"/>
        <v/>
      </c>
      <c r="VSV83" s="248" t="str">
        <f t="shared" si="245"/>
        <v/>
      </c>
      <c r="VSW83" s="248" t="str">
        <f t="shared" si="245"/>
        <v/>
      </c>
      <c r="VSX83" s="248" t="str">
        <f t="shared" si="245"/>
        <v/>
      </c>
      <c r="VSY83" s="248" t="str">
        <f t="shared" ref="VSY83:VVJ83" si="246">UPPER(VSW83)</f>
        <v/>
      </c>
      <c r="VSZ83" s="248" t="str">
        <f t="shared" si="246"/>
        <v/>
      </c>
      <c r="VTA83" s="248" t="str">
        <f t="shared" si="246"/>
        <v/>
      </c>
      <c r="VTB83" s="248" t="str">
        <f t="shared" si="246"/>
        <v/>
      </c>
      <c r="VTC83" s="248" t="str">
        <f t="shared" si="246"/>
        <v/>
      </c>
      <c r="VTD83" s="248" t="str">
        <f t="shared" si="246"/>
        <v/>
      </c>
      <c r="VTE83" s="248" t="str">
        <f t="shared" si="246"/>
        <v/>
      </c>
      <c r="VTF83" s="248" t="str">
        <f t="shared" si="246"/>
        <v/>
      </c>
      <c r="VTG83" s="248" t="str">
        <f t="shared" si="246"/>
        <v/>
      </c>
      <c r="VTH83" s="248" t="str">
        <f t="shared" si="246"/>
        <v/>
      </c>
      <c r="VTI83" s="248" t="str">
        <f t="shared" si="246"/>
        <v/>
      </c>
      <c r="VTJ83" s="248" t="str">
        <f t="shared" si="246"/>
        <v/>
      </c>
      <c r="VTK83" s="248" t="str">
        <f t="shared" si="246"/>
        <v/>
      </c>
      <c r="VTL83" s="248" t="str">
        <f t="shared" si="246"/>
        <v/>
      </c>
      <c r="VTM83" s="248" t="str">
        <f t="shared" si="246"/>
        <v/>
      </c>
      <c r="VTN83" s="248" t="str">
        <f t="shared" si="246"/>
        <v/>
      </c>
      <c r="VTO83" s="248" t="str">
        <f t="shared" si="246"/>
        <v/>
      </c>
      <c r="VTP83" s="248" t="str">
        <f t="shared" si="246"/>
        <v/>
      </c>
      <c r="VTQ83" s="248" t="str">
        <f t="shared" si="246"/>
        <v/>
      </c>
      <c r="VTR83" s="248" t="str">
        <f t="shared" si="246"/>
        <v/>
      </c>
      <c r="VTS83" s="248" t="str">
        <f t="shared" si="246"/>
        <v/>
      </c>
      <c r="VTT83" s="248" t="str">
        <f t="shared" si="246"/>
        <v/>
      </c>
      <c r="VTU83" s="248" t="str">
        <f t="shared" si="246"/>
        <v/>
      </c>
      <c r="VTV83" s="248" t="str">
        <f t="shared" si="246"/>
        <v/>
      </c>
      <c r="VTW83" s="248" t="str">
        <f t="shared" si="246"/>
        <v/>
      </c>
      <c r="VTX83" s="248" t="str">
        <f t="shared" si="246"/>
        <v/>
      </c>
      <c r="VTY83" s="248" t="str">
        <f t="shared" si="246"/>
        <v/>
      </c>
      <c r="VTZ83" s="248" t="str">
        <f t="shared" si="246"/>
        <v/>
      </c>
      <c r="VUA83" s="248" t="str">
        <f t="shared" si="246"/>
        <v/>
      </c>
      <c r="VUB83" s="248" t="str">
        <f t="shared" si="246"/>
        <v/>
      </c>
      <c r="VUC83" s="248" t="str">
        <f t="shared" si="246"/>
        <v/>
      </c>
      <c r="VUD83" s="248" t="str">
        <f t="shared" si="246"/>
        <v/>
      </c>
      <c r="VUE83" s="248" t="str">
        <f t="shared" si="246"/>
        <v/>
      </c>
      <c r="VUF83" s="248" t="str">
        <f t="shared" si="246"/>
        <v/>
      </c>
      <c r="VUG83" s="248" t="str">
        <f t="shared" si="246"/>
        <v/>
      </c>
      <c r="VUH83" s="248" t="str">
        <f t="shared" si="246"/>
        <v/>
      </c>
      <c r="VUI83" s="248" t="str">
        <f t="shared" si="246"/>
        <v/>
      </c>
      <c r="VUJ83" s="248" t="str">
        <f t="shared" si="246"/>
        <v/>
      </c>
      <c r="VUK83" s="248" t="str">
        <f t="shared" si="246"/>
        <v/>
      </c>
      <c r="VUL83" s="248" t="str">
        <f t="shared" si="246"/>
        <v/>
      </c>
      <c r="VUM83" s="248" t="str">
        <f t="shared" si="246"/>
        <v/>
      </c>
      <c r="VUN83" s="248" t="str">
        <f t="shared" si="246"/>
        <v/>
      </c>
      <c r="VUO83" s="248" t="str">
        <f t="shared" si="246"/>
        <v/>
      </c>
      <c r="VUP83" s="248" t="str">
        <f t="shared" si="246"/>
        <v/>
      </c>
      <c r="VUQ83" s="248" t="str">
        <f t="shared" si="246"/>
        <v/>
      </c>
      <c r="VUR83" s="248" t="str">
        <f t="shared" si="246"/>
        <v/>
      </c>
      <c r="VUS83" s="248" t="str">
        <f t="shared" si="246"/>
        <v/>
      </c>
      <c r="VUT83" s="248" t="str">
        <f t="shared" si="246"/>
        <v/>
      </c>
      <c r="VUU83" s="248" t="str">
        <f t="shared" si="246"/>
        <v/>
      </c>
      <c r="VUV83" s="248" t="str">
        <f t="shared" si="246"/>
        <v/>
      </c>
      <c r="VUW83" s="248" t="str">
        <f t="shared" si="246"/>
        <v/>
      </c>
      <c r="VUX83" s="248" t="str">
        <f t="shared" si="246"/>
        <v/>
      </c>
      <c r="VUY83" s="248" t="str">
        <f t="shared" si="246"/>
        <v/>
      </c>
      <c r="VUZ83" s="248" t="str">
        <f t="shared" si="246"/>
        <v/>
      </c>
      <c r="VVA83" s="248" t="str">
        <f t="shared" si="246"/>
        <v/>
      </c>
      <c r="VVB83" s="248" t="str">
        <f t="shared" si="246"/>
        <v/>
      </c>
      <c r="VVC83" s="248" t="str">
        <f t="shared" si="246"/>
        <v/>
      </c>
      <c r="VVD83" s="248" t="str">
        <f t="shared" si="246"/>
        <v/>
      </c>
      <c r="VVE83" s="248" t="str">
        <f t="shared" si="246"/>
        <v/>
      </c>
      <c r="VVF83" s="248" t="str">
        <f t="shared" si="246"/>
        <v/>
      </c>
      <c r="VVG83" s="248" t="str">
        <f t="shared" si="246"/>
        <v/>
      </c>
      <c r="VVH83" s="248" t="str">
        <f t="shared" si="246"/>
        <v/>
      </c>
      <c r="VVI83" s="248" t="str">
        <f t="shared" si="246"/>
        <v/>
      </c>
      <c r="VVJ83" s="248" t="str">
        <f t="shared" si="246"/>
        <v/>
      </c>
      <c r="VVK83" s="248" t="str">
        <f t="shared" ref="VVK83:VXV83" si="247">UPPER(VVI83)</f>
        <v/>
      </c>
      <c r="VVL83" s="248" t="str">
        <f t="shared" si="247"/>
        <v/>
      </c>
      <c r="VVM83" s="248" t="str">
        <f t="shared" si="247"/>
        <v/>
      </c>
      <c r="VVN83" s="248" t="str">
        <f t="shared" si="247"/>
        <v/>
      </c>
      <c r="VVO83" s="248" t="str">
        <f t="shared" si="247"/>
        <v/>
      </c>
      <c r="VVP83" s="248" t="str">
        <f t="shared" si="247"/>
        <v/>
      </c>
      <c r="VVQ83" s="248" t="str">
        <f t="shared" si="247"/>
        <v/>
      </c>
      <c r="VVR83" s="248" t="str">
        <f t="shared" si="247"/>
        <v/>
      </c>
      <c r="VVS83" s="248" t="str">
        <f t="shared" si="247"/>
        <v/>
      </c>
      <c r="VVT83" s="248" t="str">
        <f t="shared" si="247"/>
        <v/>
      </c>
      <c r="VVU83" s="248" t="str">
        <f t="shared" si="247"/>
        <v/>
      </c>
      <c r="VVV83" s="248" t="str">
        <f t="shared" si="247"/>
        <v/>
      </c>
      <c r="VVW83" s="248" t="str">
        <f t="shared" si="247"/>
        <v/>
      </c>
      <c r="VVX83" s="248" t="str">
        <f t="shared" si="247"/>
        <v/>
      </c>
      <c r="VVY83" s="248" t="str">
        <f t="shared" si="247"/>
        <v/>
      </c>
      <c r="VVZ83" s="248" t="str">
        <f t="shared" si="247"/>
        <v/>
      </c>
      <c r="VWA83" s="248" t="str">
        <f t="shared" si="247"/>
        <v/>
      </c>
      <c r="VWB83" s="248" t="str">
        <f t="shared" si="247"/>
        <v/>
      </c>
      <c r="VWC83" s="248" t="str">
        <f t="shared" si="247"/>
        <v/>
      </c>
      <c r="VWD83" s="248" t="str">
        <f t="shared" si="247"/>
        <v/>
      </c>
      <c r="VWE83" s="248" t="str">
        <f t="shared" si="247"/>
        <v/>
      </c>
      <c r="VWF83" s="248" t="str">
        <f t="shared" si="247"/>
        <v/>
      </c>
      <c r="VWG83" s="248" t="str">
        <f t="shared" si="247"/>
        <v/>
      </c>
      <c r="VWH83" s="248" t="str">
        <f t="shared" si="247"/>
        <v/>
      </c>
      <c r="VWI83" s="248" t="str">
        <f t="shared" si="247"/>
        <v/>
      </c>
      <c r="VWJ83" s="248" t="str">
        <f t="shared" si="247"/>
        <v/>
      </c>
      <c r="VWK83" s="248" t="str">
        <f t="shared" si="247"/>
        <v/>
      </c>
      <c r="VWL83" s="248" t="str">
        <f t="shared" si="247"/>
        <v/>
      </c>
      <c r="VWM83" s="248" t="str">
        <f t="shared" si="247"/>
        <v/>
      </c>
      <c r="VWN83" s="248" t="str">
        <f t="shared" si="247"/>
        <v/>
      </c>
      <c r="VWO83" s="248" t="str">
        <f t="shared" si="247"/>
        <v/>
      </c>
      <c r="VWP83" s="248" t="str">
        <f t="shared" si="247"/>
        <v/>
      </c>
      <c r="VWQ83" s="248" t="str">
        <f t="shared" si="247"/>
        <v/>
      </c>
      <c r="VWR83" s="248" t="str">
        <f t="shared" si="247"/>
        <v/>
      </c>
      <c r="VWS83" s="248" t="str">
        <f t="shared" si="247"/>
        <v/>
      </c>
      <c r="VWT83" s="248" t="str">
        <f t="shared" si="247"/>
        <v/>
      </c>
      <c r="VWU83" s="248" t="str">
        <f t="shared" si="247"/>
        <v/>
      </c>
      <c r="VWV83" s="248" t="str">
        <f t="shared" si="247"/>
        <v/>
      </c>
      <c r="VWW83" s="248" t="str">
        <f t="shared" si="247"/>
        <v/>
      </c>
      <c r="VWX83" s="248" t="str">
        <f t="shared" si="247"/>
        <v/>
      </c>
      <c r="VWY83" s="248" t="str">
        <f t="shared" si="247"/>
        <v/>
      </c>
      <c r="VWZ83" s="248" t="str">
        <f t="shared" si="247"/>
        <v/>
      </c>
      <c r="VXA83" s="248" t="str">
        <f t="shared" si="247"/>
        <v/>
      </c>
      <c r="VXB83" s="248" t="str">
        <f t="shared" si="247"/>
        <v/>
      </c>
      <c r="VXC83" s="248" t="str">
        <f t="shared" si="247"/>
        <v/>
      </c>
      <c r="VXD83" s="248" t="str">
        <f t="shared" si="247"/>
        <v/>
      </c>
      <c r="VXE83" s="248" t="str">
        <f t="shared" si="247"/>
        <v/>
      </c>
      <c r="VXF83" s="248" t="str">
        <f t="shared" si="247"/>
        <v/>
      </c>
      <c r="VXG83" s="248" t="str">
        <f t="shared" si="247"/>
        <v/>
      </c>
      <c r="VXH83" s="248" t="str">
        <f t="shared" si="247"/>
        <v/>
      </c>
      <c r="VXI83" s="248" t="str">
        <f t="shared" si="247"/>
        <v/>
      </c>
      <c r="VXJ83" s="248" t="str">
        <f t="shared" si="247"/>
        <v/>
      </c>
      <c r="VXK83" s="248" t="str">
        <f t="shared" si="247"/>
        <v/>
      </c>
      <c r="VXL83" s="248" t="str">
        <f t="shared" si="247"/>
        <v/>
      </c>
      <c r="VXM83" s="248" t="str">
        <f t="shared" si="247"/>
        <v/>
      </c>
      <c r="VXN83" s="248" t="str">
        <f t="shared" si="247"/>
        <v/>
      </c>
      <c r="VXO83" s="248" t="str">
        <f t="shared" si="247"/>
        <v/>
      </c>
      <c r="VXP83" s="248" t="str">
        <f t="shared" si="247"/>
        <v/>
      </c>
      <c r="VXQ83" s="248" t="str">
        <f t="shared" si="247"/>
        <v/>
      </c>
      <c r="VXR83" s="248" t="str">
        <f t="shared" si="247"/>
        <v/>
      </c>
      <c r="VXS83" s="248" t="str">
        <f t="shared" si="247"/>
        <v/>
      </c>
      <c r="VXT83" s="248" t="str">
        <f t="shared" si="247"/>
        <v/>
      </c>
      <c r="VXU83" s="248" t="str">
        <f t="shared" si="247"/>
        <v/>
      </c>
      <c r="VXV83" s="248" t="str">
        <f t="shared" si="247"/>
        <v/>
      </c>
      <c r="VXW83" s="248" t="str">
        <f t="shared" ref="VXW83:WAH83" si="248">UPPER(VXU83)</f>
        <v/>
      </c>
      <c r="VXX83" s="248" t="str">
        <f t="shared" si="248"/>
        <v/>
      </c>
      <c r="VXY83" s="248" t="str">
        <f t="shared" si="248"/>
        <v/>
      </c>
      <c r="VXZ83" s="248" t="str">
        <f t="shared" si="248"/>
        <v/>
      </c>
      <c r="VYA83" s="248" t="str">
        <f t="shared" si="248"/>
        <v/>
      </c>
      <c r="VYB83" s="248" t="str">
        <f t="shared" si="248"/>
        <v/>
      </c>
      <c r="VYC83" s="248" t="str">
        <f t="shared" si="248"/>
        <v/>
      </c>
      <c r="VYD83" s="248" t="str">
        <f t="shared" si="248"/>
        <v/>
      </c>
      <c r="VYE83" s="248" t="str">
        <f t="shared" si="248"/>
        <v/>
      </c>
      <c r="VYF83" s="248" t="str">
        <f t="shared" si="248"/>
        <v/>
      </c>
      <c r="VYG83" s="248" t="str">
        <f t="shared" si="248"/>
        <v/>
      </c>
      <c r="VYH83" s="248" t="str">
        <f t="shared" si="248"/>
        <v/>
      </c>
      <c r="VYI83" s="248" t="str">
        <f t="shared" si="248"/>
        <v/>
      </c>
      <c r="VYJ83" s="248" t="str">
        <f t="shared" si="248"/>
        <v/>
      </c>
      <c r="VYK83" s="248" t="str">
        <f t="shared" si="248"/>
        <v/>
      </c>
      <c r="VYL83" s="248" t="str">
        <f t="shared" si="248"/>
        <v/>
      </c>
      <c r="VYM83" s="248" t="str">
        <f t="shared" si="248"/>
        <v/>
      </c>
      <c r="VYN83" s="248" t="str">
        <f t="shared" si="248"/>
        <v/>
      </c>
      <c r="VYO83" s="248" t="str">
        <f t="shared" si="248"/>
        <v/>
      </c>
      <c r="VYP83" s="248" t="str">
        <f t="shared" si="248"/>
        <v/>
      </c>
      <c r="VYQ83" s="248" t="str">
        <f t="shared" si="248"/>
        <v/>
      </c>
      <c r="VYR83" s="248" t="str">
        <f t="shared" si="248"/>
        <v/>
      </c>
      <c r="VYS83" s="248" t="str">
        <f t="shared" si="248"/>
        <v/>
      </c>
      <c r="VYT83" s="248" t="str">
        <f t="shared" si="248"/>
        <v/>
      </c>
      <c r="VYU83" s="248" t="str">
        <f t="shared" si="248"/>
        <v/>
      </c>
      <c r="VYV83" s="248" t="str">
        <f t="shared" si="248"/>
        <v/>
      </c>
      <c r="VYW83" s="248" t="str">
        <f t="shared" si="248"/>
        <v/>
      </c>
      <c r="VYX83" s="248" t="str">
        <f t="shared" si="248"/>
        <v/>
      </c>
      <c r="VYY83" s="248" t="str">
        <f t="shared" si="248"/>
        <v/>
      </c>
      <c r="VYZ83" s="248" t="str">
        <f t="shared" si="248"/>
        <v/>
      </c>
      <c r="VZA83" s="248" t="str">
        <f t="shared" si="248"/>
        <v/>
      </c>
      <c r="VZB83" s="248" t="str">
        <f t="shared" si="248"/>
        <v/>
      </c>
      <c r="VZC83" s="248" t="str">
        <f t="shared" si="248"/>
        <v/>
      </c>
      <c r="VZD83" s="248" t="str">
        <f t="shared" si="248"/>
        <v/>
      </c>
      <c r="VZE83" s="248" t="str">
        <f t="shared" si="248"/>
        <v/>
      </c>
      <c r="VZF83" s="248" t="str">
        <f t="shared" si="248"/>
        <v/>
      </c>
      <c r="VZG83" s="248" t="str">
        <f t="shared" si="248"/>
        <v/>
      </c>
      <c r="VZH83" s="248" t="str">
        <f t="shared" si="248"/>
        <v/>
      </c>
      <c r="VZI83" s="248" t="str">
        <f t="shared" si="248"/>
        <v/>
      </c>
      <c r="VZJ83" s="248" t="str">
        <f t="shared" si="248"/>
        <v/>
      </c>
      <c r="VZK83" s="248" t="str">
        <f t="shared" si="248"/>
        <v/>
      </c>
      <c r="VZL83" s="248" t="str">
        <f t="shared" si="248"/>
        <v/>
      </c>
      <c r="VZM83" s="248" t="str">
        <f t="shared" si="248"/>
        <v/>
      </c>
      <c r="VZN83" s="248" t="str">
        <f t="shared" si="248"/>
        <v/>
      </c>
      <c r="VZO83" s="248" t="str">
        <f t="shared" si="248"/>
        <v/>
      </c>
      <c r="VZP83" s="248" t="str">
        <f t="shared" si="248"/>
        <v/>
      </c>
      <c r="VZQ83" s="248" t="str">
        <f t="shared" si="248"/>
        <v/>
      </c>
      <c r="VZR83" s="248" t="str">
        <f t="shared" si="248"/>
        <v/>
      </c>
      <c r="VZS83" s="248" t="str">
        <f t="shared" si="248"/>
        <v/>
      </c>
      <c r="VZT83" s="248" t="str">
        <f t="shared" si="248"/>
        <v/>
      </c>
      <c r="VZU83" s="248" t="str">
        <f t="shared" si="248"/>
        <v/>
      </c>
      <c r="VZV83" s="248" t="str">
        <f t="shared" si="248"/>
        <v/>
      </c>
      <c r="VZW83" s="248" t="str">
        <f t="shared" si="248"/>
        <v/>
      </c>
      <c r="VZX83" s="248" t="str">
        <f t="shared" si="248"/>
        <v/>
      </c>
      <c r="VZY83" s="248" t="str">
        <f t="shared" si="248"/>
        <v/>
      </c>
      <c r="VZZ83" s="248" t="str">
        <f t="shared" si="248"/>
        <v/>
      </c>
      <c r="WAA83" s="248" t="str">
        <f t="shared" si="248"/>
        <v/>
      </c>
      <c r="WAB83" s="248" t="str">
        <f t="shared" si="248"/>
        <v/>
      </c>
      <c r="WAC83" s="248" t="str">
        <f t="shared" si="248"/>
        <v/>
      </c>
      <c r="WAD83" s="248" t="str">
        <f t="shared" si="248"/>
        <v/>
      </c>
      <c r="WAE83" s="248" t="str">
        <f t="shared" si="248"/>
        <v/>
      </c>
      <c r="WAF83" s="248" t="str">
        <f t="shared" si="248"/>
        <v/>
      </c>
      <c r="WAG83" s="248" t="str">
        <f t="shared" si="248"/>
        <v/>
      </c>
      <c r="WAH83" s="248" t="str">
        <f t="shared" si="248"/>
        <v/>
      </c>
      <c r="WAI83" s="248" t="str">
        <f t="shared" ref="WAI83:WCT83" si="249">UPPER(WAG83)</f>
        <v/>
      </c>
      <c r="WAJ83" s="248" t="str">
        <f t="shared" si="249"/>
        <v/>
      </c>
      <c r="WAK83" s="248" t="str">
        <f t="shared" si="249"/>
        <v/>
      </c>
      <c r="WAL83" s="248" t="str">
        <f t="shared" si="249"/>
        <v/>
      </c>
      <c r="WAM83" s="248" t="str">
        <f t="shared" si="249"/>
        <v/>
      </c>
      <c r="WAN83" s="248" t="str">
        <f t="shared" si="249"/>
        <v/>
      </c>
      <c r="WAO83" s="248" t="str">
        <f t="shared" si="249"/>
        <v/>
      </c>
      <c r="WAP83" s="248" t="str">
        <f t="shared" si="249"/>
        <v/>
      </c>
      <c r="WAQ83" s="248" t="str">
        <f t="shared" si="249"/>
        <v/>
      </c>
      <c r="WAR83" s="248" t="str">
        <f t="shared" si="249"/>
        <v/>
      </c>
      <c r="WAS83" s="248" t="str">
        <f t="shared" si="249"/>
        <v/>
      </c>
      <c r="WAT83" s="248" t="str">
        <f t="shared" si="249"/>
        <v/>
      </c>
      <c r="WAU83" s="248" t="str">
        <f t="shared" si="249"/>
        <v/>
      </c>
      <c r="WAV83" s="248" t="str">
        <f t="shared" si="249"/>
        <v/>
      </c>
      <c r="WAW83" s="248" t="str">
        <f t="shared" si="249"/>
        <v/>
      </c>
      <c r="WAX83" s="248" t="str">
        <f t="shared" si="249"/>
        <v/>
      </c>
      <c r="WAY83" s="248" t="str">
        <f t="shared" si="249"/>
        <v/>
      </c>
      <c r="WAZ83" s="248" t="str">
        <f t="shared" si="249"/>
        <v/>
      </c>
      <c r="WBA83" s="248" t="str">
        <f t="shared" si="249"/>
        <v/>
      </c>
      <c r="WBB83" s="248" t="str">
        <f t="shared" si="249"/>
        <v/>
      </c>
      <c r="WBC83" s="248" t="str">
        <f t="shared" si="249"/>
        <v/>
      </c>
      <c r="WBD83" s="248" t="str">
        <f t="shared" si="249"/>
        <v/>
      </c>
      <c r="WBE83" s="248" t="str">
        <f t="shared" si="249"/>
        <v/>
      </c>
      <c r="WBF83" s="248" t="str">
        <f t="shared" si="249"/>
        <v/>
      </c>
      <c r="WBG83" s="248" t="str">
        <f t="shared" si="249"/>
        <v/>
      </c>
      <c r="WBH83" s="248" t="str">
        <f t="shared" si="249"/>
        <v/>
      </c>
      <c r="WBI83" s="248" t="str">
        <f t="shared" si="249"/>
        <v/>
      </c>
      <c r="WBJ83" s="248" t="str">
        <f t="shared" si="249"/>
        <v/>
      </c>
      <c r="WBK83" s="248" t="str">
        <f t="shared" si="249"/>
        <v/>
      </c>
      <c r="WBL83" s="248" t="str">
        <f t="shared" si="249"/>
        <v/>
      </c>
      <c r="WBM83" s="248" t="str">
        <f t="shared" si="249"/>
        <v/>
      </c>
      <c r="WBN83" s="248" t="str">
        <f t="shared" si="249"/>
        <v/>
      </c>
      <c r="WBO83" s="248" t="str">
        <f t="shared" si="249"/>
        <v/>
      </c>
      <c r="WBP83" s="248" t="str">
        <f t="shared" si="249"/>
        <v/>
      </c>
      <c r="WBQ83" s="248" t="str">
        <f t="shared" si="249"/>
        <v/>
      </c>
      <c r="WBR83" s="248" t="str">
        <f t="shared" si="249"/>
        <v/>
      </c>
      <c r="WBS83" s="248" t="str">
        <f t="shared" si="249"/>
        <v/>
      </c>
      <c r="WBT83" s="248" t="str">
        <f t="shared" si="249"/>
        <v/>
      </c>
      <c r="WBU83" s="248" t="str">
        <f t="shared" si="249"/>
        <v/>
      </c>
      <c r="WBV83" s="248" t="str">
        <f t="shared" si="249"/>
        <v/>
      </c>
      <c r="WBW83" s="248" t="str">
        <f t="shared" si="249"/>
        <v/>
      </c>
      <c r="WBX83" s="248" t="str">
        <f t="shared" si="249"/>
        <v/>
      </c>
      <c r="WBY83" s="248" t="str">
        <f t="shared" si="249"/>
        <v/>
      </c>
      <c r="WBZ83" s="248" t="str">
        <f t="shared" si="249"/>
        <v/>
      </c>
      <c r="WCA83" s="248" t="str">
        <f t="shared" si="249"/>
        <v/>
      </c>
      <c r="WCB83" s="248" t="str">
        <f t="shared" si="249"/>
        <v/>
      </c>
      <c r="WCC83" s="248" t="str">
        <f t="shared" si="249"/>
        <v/>
      </c>
      <c r="WCD83" s="248" t="str">
        <f t="shared" si="249"/>
        <v/>
      </c>
      <c r="WCE83" s="248" t="str">
        <f t="shared" si="249"/>
        <v/>
      </c>
      <c r="WCF83" s="248" t="str">
        <f t="shared" si="249"/>
        <v/>
      </c>
      <c r="WCG83" s="248" t="str">
        <f t="shared" si="249"/>
        <v/>
      </c>
      <c r="WCH83" s="248" t="str">
        <f t="shared" si="249"/>
        <v/>
      </c>
      <c r="WCI83" s="248" t="str">
        <f t="shared" si="249"/>
        <v/>
      </c>
      <c r="WCJ83" s="248" t="str">
        <f t="shared" si="249"/>
        <v/>
      </c>
      <c r="WCK83" s="248" t="str">
        <f t="shared" si="249"/>
        <v/>
      </c>
      <c r="WCL83" s="248" t="str">
        <f t="shared" si="249"/>
        <v/>
      </c>
      <c r="WCM83" s="248" t="str">
        <f t="shared" si="249"/>
        <v/>
      </c>
      <c r="WCN83" s="248" t="str">
        <f t="shared" si="249"/>
        <v/>
      </c>
      <c r="WCO83" s="248" t="str">
        <f t="shared" si="249"/>
        <v/>
      </c>
      <c r="WCP83" s="248" t="str">
        <f t="shared" si="249"/>
        <v/>
      </c>
      <c r="WCQ83" s="248" t="str">
        <f t="shared" si="249"/>
        <v/>
      </c>
      <c r="WCR83" s="248" t="str">
        <f t="shared" si="249"/>
        <v/>
      </c>
      <c r="WCS83" s="248" t="str">
        <f t="shared" si="249"/>
        <v/>
      </c>
      <c r="WCT83" s="248" t="str">
        <f t="shared" si="249"/>
        <v/>
      </c>
      <c r="WCU83" s="248" t="str">
        <f t="shared" ref="WCU83:WFF83" si="250">UPPER(WCS83)</f>
        <v/>
      </c>
      <c r="WCV83" s="248" t="str">
        <f t="shared" si="250"/>
        <v/>
      </c>
      <c r="WCW83" s="248" t="str">
        <f t="shared" si="250"/>
        <v/>
      </c>
      <c r="WCX83" s="248" t="str">
        <f t="shared" si="250"/>
        <v/>
      </c>
      <c r="WCY83" s="248" t="str">
        <f t="shared" si="250"/>
        <v/>
      </c>
      <c r="WCZ83" s="248" t="str">
        <f t="shared" si="250"/>
        <v/>
      </c>
      <c r="WDA83" s="248" t="str">
        <f t="shared" si="250"/>
        <v/>
      </c>
      <c r="WDB83" s="248" t="str">
        <f t="shared" si="250"/>
        <v/>
      </c>
      <c r="WDC83" s="248" t="str">
        <f t="shared" si="250"/>
        <v/>
      </c>
      <c r="WDD83" s="248" t="str">
        <f t="shared" si="250"/>
        <v/>
      </c>
      <c r="WDE83" s="248" t="str">
        <f t="shared" si="250"/>
        <v/>
      </c>
      <c r="WDF83" s="248" t="str">
        <f t="shared" si="250"/>
        <v/>
      </c>
      <c r="WDG83" s="248" t="str">
        <f t="shared" si="250"/>
        <v/>
      </c>
      <c r="WDH83" s="248" t="str">
        <f t="shared" si="250"/>
        <v/>
      </c>
      <c r="WDI83" s="248" t="str">
        <f t="shared" si="250"/>
        <v/>
      </c>
      <c r="WDJ83" s="248" t="str">
        <f t="shared" si="250"/>
        <v/>
      </c>
      <c r="WDK83" s="248" t="str">
        <f t="shared" si="250"/>
        <v/>
      </c>
      <c r="WDL83" s="248" t="str">
        <f t="shared" si="250"/>
        <v/>
      </c>
      <c r="WDM83" s="248" t="str">
        <f t="shared" si="250"/>
        <v/>
      </c>
      <c r="WDN83" s="248" t="str">
        <f t="shared" si="250"/>
        <v/>
      </c>
      <c r="WDO83" s="248" t="str">
        <f t="shared" si="250"/>
        <v/>
      </c>
      <c r="WDP83" s="248" t="str">
        <f t="shared" si="250"/>
        <v/>
      </c>
      <c r="WDQ83" s="248" t="str">
        <f t="shared" si="250"/>
        <v/>
      </c>
      <c r="WDR83" s="248" t="str">
        <f t="shared" si="250"/>
        <v/>
      </c>
      <c r="WDS83" s="248" t="str">
        <f t="shared" si="250"/>
        <v/>
      </c>
      <c r="WDT83" s="248" t="str">
        <f t="shared" si="250"/>
        <v/>
      </c>
      <c r="WDU83" s="248" t="str">
        <f t="shared" si="250"/>
        <v/>
      </c>
      <c r="WDV83" s="248" t="str">
        <f t="shared" si="250"/>
        <v/>
      </c>
      <c r="WDW83" s="248" t="str">
        <f t="shared" si="250"/>
        <v/>
      </c>
      <c r="WDX83" s="248" t="str">
        <f t="shared" si="250"/>
        <v/>
      </c>
      <c r="WDY83" s="248" t="str">
        <f t="shared" si="250"/>
        <v/>
      </c>
      <c r="WDZ83" s="248" t="str">
        <f t="shared" si="250"/>
        <v/>
      </c>
      <c r="WEA83" s="248" t="str">
        <f t="shared" si="250"/>
        <v/>
      </c>
      <c r="WEB83" s="248" t="str">
        <f t="shared" si="250"/>
        <v/>
      </c>
      <c r="WEC83" s="248" t="str">
        <f t="shared" si="250"/>
        <v/>
      </c>
      <c r="WED83" s="248" t="str">
        <f t="shared" si="250"/>
        <v/>
      </c>
      <c r="WEE83" s="248" t="str">
        <f t="shared" si="250"/>
        <v/>
      </c>
      <c r="WEF83" s="248" t="str">
        <f t="shared" si="250"/>
        <v/>
      </c>
      <c r="WEG83" s="248" t="str">
        <f t="shared" si="250"/>
        <v/>
      </c>
      <c r="WEH83" s="248" t="str">
        <f t="shared" si="250"/>
        <v/>
      </c>
      <c r="WEI83" s="248" t="str">
        <f t="shared" si="250"/>
        <v/>
      </c>
      <c r="WEJ83" s="248" t="str">
        <f t="shared" si="250"/>
        <v/>
      </c>
      <c r="WEK83" s="248" t="str">
        <f t="shared" si="250"/>
        <v/>
      </c>
      <c r="WEL83" s="248" t="str">
        <f t="shared" si="250"/>
        <v/>
      </c>
      <c r="WEM83" s="248" t="str">
        <f t="shared" si="250"/>
        <v/>
      </c>
      <c r="WEN83" s="248" t="str">
        <f t="shared" si="250"/>
        <v/>
      </c>
      <c r="WEO83" s="248" t="str">
        <f t="shared" si="250"/>
        <v/>
      </c>
      <c r="WEP83" s="248" t="str">
        <f t="shared" si="250"/>
        <v/>
      </c>
      <c r="WEQ83" s="248" t="str">
        <f t="shared" si="250"/>
        <v/>
      </c>
      <c r="WER83" s="248" t="str">
        <f t="shared" si="250"/>
        <v/>
      </c>
      <c r="WES83" s="248" t="str">
        <f t="shared" si="250"/>
        <v/>
      </c>
      <c r="WET83" s="248" t="str">
        <f t="shared" si="250"/>
        <v/>
      </c>
      <c r="WEU83" s="248" t="str">
        <f t="shared" si="250"/>
        <v/>
      </c>
      <c r="WEV83" s="248" t="str">
        <f t="shared" si="250"/>
        <v/>
      </c>
      <c r="WEW83" s="248" t="str">
        <f t="shared" si="250"/>
        <v/>
      </c>
      <c r="WEX83" s="248" t="str">
        <f t="shared" si="250"/>
        <v/>
      </c>
      <c r="WEY83" s="248" t="str">
        <f t="shared" si="250"/>
        <v/>
      </c>
      <c r="WEZ83" s="248" t="str">
        <f t="shared" si="250"/>
        <v/>
      </c>
      <c r="WFA83" s="248" t="str">
        <f t="shared" si="250"/>
        <v/>
      </c>
      <c r="WFB83" s="248" t="str">
        <f t="shared" si="250"/>
        <v/>
      </c>
      <c r="WFC83" s="248" t="str">
        <f t="shared" si="250"/>
        <v/>
      </c>
      <c r="WFD83" s="248" t="str">
        <f t="shared" si="250"/>
        <v/>
      </c>
      <c r="WFE83" s="248" t="str">
        <f t="shared" si="250"/>
        <v/>
      </c>
      <c r="WFF83" s="248" t="str">
        <f t="shared" si="250"/>
        <v/>
      </c>
      <c r="WFG83" s="248" t="str">
        <f t="shared" ref="WFG83:WHR83" si="251">UPPER(WFE83)</f>
        <v/>
      </c>
      <c r="WFH83" s="248" t="str">
        <f t="shared" si="251"/>
        <v/>
      </c>
      <c r="WFI83" s="248" t="str">
        <f t="shared" si="251"/>
        <v/>
      </c>
      <c r="WFJ83" s="248" t="str">
        <f t="shared" si="251"/>
        <v/>
      </c>
      <c r="WFK83" s="248" t="str">
        <f t="shared" si="251"/>
        <v/>
      </c>
      <c r="WFL83" s="248" t="str">
        <f t="shared" si="251"/>
        <v/>
      </c>
      <c r="WFM83" s="248" t="str">
        <f t="shared" si="251"/>
        <v/>
      </c>
      <c r="WFN83" s="248" t="str">
        <f t="shared" si="251"/>
        <v/>
      </c>
      <c r="WFO83" s="248" t="str">
        <f t="shared" si="251"/>
        <v/>
      </c>
      <c r="WFP83" s="248" t="str">
        <f t="shared" si="251"/>
        <v/>
      </c>
      <c r="WFQ83" s="248" t="str">
        <f t="shared" si="251"/>
        <v/>
      </c>
      <c r="WFR83" s="248" t="str">
        <f t="shared" si="251"/>
        <v/>
      </c>
      <c r="WFS83" s="248" t="str">
        <f t="shared" si="251"/>
        <v/>
      </c>
      <c r="WFT83" s="248" t="str">
        <f t="shared" si="251"/>
        <v/>
      </c>
      <c r="WFU83" s="248" t="str">
        <f t="shared" si="251"/>
        <v/>
      </c>
      <c r="WFV83" s="248" t="str">
        <f t="shared" si="251"/>
        <v/>
      </c>
      <c r="WFW83" s="248" t="str">
        <f t="shared" si="251"/>
        <v/>
      </c>
      <c r="WFX83" s="248" t="str">
        <f t="shared" si="251"/>
        <v/>
      </c>
      <c r="WFY83" s="248" t="str">
        <f t="shared" si="251"/>
        <v/>
      </c>
      <c r="WFZ83" s="248" t="str">
        <f t="shared" si="251"/>
        <v/>
      </c>
      <c r="WGA83" s="248" t="str">
        <f t="shared" si="251"/>
        <v/>
      </c>
      <c r="WGB83" s="248" t="str">
        <f t="shared" si="251"/>
        <v/>
      </c>
      <c r="WGC83" s="248" t="str">
        <f t="shared" si="251"/>
        <v/>
      </c>
      <c r="WGD83" s="248" t="str">
        <f t="shared" si="251"/>
        <v/>
      </c>
      <c r="WGE83" s="248" t="str">
        <f t="shared" si="251"/>
        <v/>
      </c>
      <c r="WGF83" s="248" t="str">
        <f t="shared" si="251"/>
        <v/>
      </c>
      <c r="WGG83" s="248" t="str">
        <f t="shared" si="251"/>
        <v/>
      </c>
      <c r="WGH83" s="248" t="str">
        <f t="shared" si="251"/>
        <v/>
      </c>
      <c r="WGI83" s="248" t="str">
        <f t="shared" si="251"/>
        <v/>
      </c>
      <c r="WGJ83" s="248" t="str">
        <f t="shared" si="251"/>
        <v/>
      </c>
      <c r="WGK83" s="248" t="str">
        <f t="shared" si="251"/>
        <v/>
      </c>
      <c r="WGL83" s="248" t="str">
        <f t="shared" si="251"/>
        <v/>
      </c>
      <c r="WGM83" s="248" t="str">
        <f t="shared" si="251"/>
        <v/>
      </c>
      <c r="WGN83" s="248" t="str">
        <f t="shared" si="251"/>
        <v/>
      </c>
      <c r="WGO83" s="248" t="str">
        <f t="shared" si="251"/>
        <v/>
      </c>
      <c r="WGP83" s="248" t="str">
        <f t="shared" si="251"/>
        <v/>
      </c>
      <c r="WGQ83" s="248" t="str">
        <f t="shared" si="251"/>
        <v/>
      </c>
      <c r="WGR83" s="248" t="str">
        <f t="shared" si="251"/>
        <v/>
      </c>
      <c r="WGS83" s="248" t="str">
        <f t="shared" si="251"/>
        <v/>
      </c>
      <c r="WGT83" s="248" t="str">
        <f t="shared" si="251"/>
        <v/>
      </c>
      <c r="WGU83" s="248" t="str">
        <f t="shared" si="251"/>
        <v/>
      </c>
      <c r="WGV83" s="248" t="str">
        <f t="shared" si="251"/>
        <v/>
      </c>
      <c r="WGW83" s="248" t="str">
        <f t="shared" si="251"/>
        <v/>
      </c>
      <c r="WGX83" s="248" t="str">
        <f t="shared" si="251"/>
        <v/>
      </c>
      <c r="WGY83" s="248" t="str">
        <f t="shared" si="251"/>
        <v/>
      </c>
      <c r="WGZ83" s="248" t="str">
        <f t="shared" si="251"/>
        <v/>
      </c>
      <c r="WHA83" s="248" t="str">
        <f t="shared" si="251"/>
        <v/>
      </c>
      <c r="WHB83" s="248" t="str">
        <f t="shared" si="251"/>
        <v/>
      </c>
      <c r="WHC83" s="248" t="str">
        <f t="shared" si="251"/>
        <v/>
      </c>
      <c r="WHD83" s="248" t="str">
        <f t="shared" si="251"/>
        <v/>
      </c>
      <c r="WHE83" s="248" t="str">
        <f t="shared" si="251"/>
        <v/>
      </c>
      <c r="WHF83" s="248" t="str">
        <f t="shared" si="251"/>
        <v/>
      </c>
      <c r="WHG83" s="248" t="str">
        <f t="shared" si="251"/>
        <v/>
      </c>
      <c r="WHH83" s="248" t="str">
        <f t="shared" si="251"/>
        <v/>
      </c>
      <c r="WHI83" s="248" t="str">
        <f t="shared" si="251"/>
        <v/>
      </c>
      <c r="WHJ83" s="248" t="str">
        <f t="shared" si="251"/>
        <v/>
      </c>
      <c r="WHK83" s="248" t="str">
        <f t="shared" si="251"/>
        <v/>
      </c>
      <c r="WHL83" s="248" t="str">
        <f t="shared" si="251"/>
        <v/>
      </c>
      <c r="WHM83" s="248" t="str">
        <f t="shared" si="251"/>
        <v/>
      </c>
      <c r="WHN83" s="248" t="str">
        <f t="shared" si="251"/>
        <v/>
      </c>
      <c r="WHO83" s="248" t="str">
        <f t="shared" si="251"/>
        <v/>
      </c>
      <c r="WHP83" s="248" t="str">
        <f t="shared" si="251"/>
        <v/>
      </c>
      <c r="WHQ83" s="248" t="str">
        <f t="shared" si="251"/>
        <v/>
      </c>
      <c r="WHR83" s="248" t="str">
        <f t="shared" si="251"/>
        <v/>
      </c>
      <c r="WHS83" s="248" t="str">
        <f t="shared" ref="WHS83:WKD83" si="252">UPPER(WHQ83)</f>
        <v/>
      </c>
      <c r="WHT83" s="248" t="str">
        <f t="shared" si="252"/>
        <v/>
      </c>
      <c r="WHU83" s="248" t="str">
        <f t="shared" si="252"/>
        <v/>
      </c>
      <c r="WHV83" s="248" t="str">
        <f t="shared" si="252"/>
        <v/>
      </c>
      <c r="WHW83" s="248" t="str">
        <f t="shared" si="252"/>
        <v/>
      </c>
      <c r="WHX83" s="248" t="str">
        <f t="shared" si="252"/>
        <v/>
      </c>
      <c r="WHY83" s="248" t="str">
        <f t="shared" si="252"/>
        <v/>
      </c>
      <c r="WHZ83" s="248" t="str">
        <f t="shared" si="252"/>
        <v/>
      </c>
      <c r="WIA83" s="248" t="str">
        <f t="shared" si="252"/>
        <v/>
      </c>
      <c r="WIB83" s="248" t="str">
        <f t="shared" si="252"/>
        <v/>
      </c>
      <c r="WIC83" s="248" t="str">
        <f t="shared" si="252"/>
        <v/>
      </c>
      <c r="WID83" s="248" t="str">
        <f t="shared" si="252"/>
        <v/>
      </c>
      <c r="WIE83" s="248" t="str">
        <f t="shared" si="252"/>
        <v/>
      </c>
      <c r="WIF83" s="248" t="str">
        <f t="shared" si="252"/>
        <v/>
      </c>
      <c r="WIG83" s="248" t="str">
        <f t="shared" si="252"/>
        <v/>
      </c>
      <c r="WIH83" s="248" t="str">
        <f t="shared" si="252"/>
        <v/>
      </c>
      <c r="WII83" s="248" t="str">
        <f t="shared" si="252"/>
        <v/>
      </c>
      <c r="WIJ83" s="248" t="str">
        <f t="shared" si="252"/>
        <v/>
      </c>
      <c r="WIK83" s="248" t="str">
        <f t="shared" si="252"/>
        <v/>
      </c>
      <c r="WIL83" s="248" t="str">
        <f t="shared" si="252"/>
        <v/>
      </c>
      <c r="WIM83" s="248" t="str">
        <f t="shared" si="252"/>
        <v/>
      </c>
      <c r="WIN83" s="248" t="str">
        <f t="shared" si="252"/>
        <v/>
      </c>
      <c r="WIO83" s="248" t="str">
        <f t="shared" si="252"/>
        <v/>
      </c>
      <c r="WIP83" s="248" t="str">
        <f t="shared" si="252"/>
        <v/>
      </c>
      <c r="WIQ83" s="248" t="str">
        <f t="shared" si="252"/>
        <v/>
      </c>
      <c r="WIR83" s="248" t="str">
        <f t="shared" si="252"/>
        <v/>
      </c>
      <c r="WIS83" s="248" t="str">
        <f t="shared" si="252"/>
        <v/>
      </c>
      <c r="WIT83" s="248" t="str">
        <f t="shared" si="252"/>
        <v/>
      </c>
      <c r="WIU83" s="248" t="str">
        <f t="shared" si="252"/>
        <v/>
      </c>
      <c r="WIV83" s="248" t="str">
        <f t="shared" si="252"/>
        <v/>
      </c>
      <c r="WIW83" s="248" t="str">
        <f t="shared" si="252"/>
        <v/>
      </c>
      <c r="WIX83" s="248" t="str">
        <f t="shared" si="252"/>
        <v/>
      </c>
      <c r="WIY83" s="248" t="str">
        <f t="shared" si="252"/>
        <v/>
      </c>
      <c r="WIZ83" s="248" t="str">
        <f t="shared" si="252"/>
        <v/>
      </c>
      <c r="WJA83" s="248" t="str">
        <f t="shared" si="252"/>
        <v/>
      </c>
      <c r="WJB83" s="248" t="str">
        <f t="shared" si="252"/>
        <v/>
      </c>
      <c r="WJC83" s="248" t="str">
        <f t="shared" si="252"/>
        <v/>
      </c>
      <c r="WJD83" s="248" t="str">
        <f t="shared" si="252"/>
        <v/>
      </c>
      <c r="WJE83" s="248" t="str">
        <f t="shared" si="252"/>
        <v/>
      </c>
      <c r="WJF83" s="248" t="str">
        <f t="shared" si="252"/>
        <v/>
      </c>
      <c r="WJG83" s="248" t="str">
        <f t="shared" si="252"/>
        <v/>
      </c>
      <c r="WJH83" s="248" t="str">
        <f t="shared" si="252"/>
        <v/>
      </c>
      <c r="WJI83" s="248" t="str">
        <f t="shared" si="252"/>
        <v/>
      </c>
      <c r="WJJ83" s="248" t="str">
        <f t="shared" si="252"/>
        <v/>
      </c>
      <c r="WJK83" s="248" t="str">
        <f t="shared" si="252"/>
        <v/>
      </c>
      <c r="WJL83" s="248" t="str">
        <f t="shared" si="252"/>
        <v/>
      </c>
      <c r="WJM83" s="248" t="str">
        <f t="shared" si="252"/>
        <v/>
      </c>
      <c r="WJN83" s="248" t="str">
        <f t="shared" si="252"/>
        <v/>
      </c>
      <c r="WJO83" s="248" t="str">
        <f t="shared" si="252"/>
        <v/>
      </c>
      <c r="WJP83" s="248" t="str">
        <f t="shared" si="252"/>
        <v/>
      </c>
      <c r="WJQ83" s="248" t="str">
        <f t="shared" si="252"/>
        <v/>
      </c>
      <c r="WJR83" s="248" t="str">
        <f t="shared" si="252"/>
        <v/>
      </c>
      <c r="WJS83" s="248" t="str">
        <f t="shared" si="252"/>
        <v/>
      </c>
      <c r="WJT83" s="248" t="str">
        <f t="shared" si="252"/>
        <v/>
      </c>
      <c r="WJU83" s="248" t="str">
        <f t="shared" si="252"/>
        <v/>
      </c>
      <c r="WJV83" s="248" t="str">
        <f t="shared" si="252"/>
        <v/>
      </c>
      <c r="WJW83" s="248" t="str">
        <f t="shared" si="252"/>
        <v/>
      </c>
      <c r="WJX83" s="248" t="str">
        <f t="shared" si="252"/>
        <v/>
      </c>
      <c r="WJY83" s="248" t="str">
        <f t="shared" si="252"/>
        <v/>
      </c>
      <c r="WJZ83" s="248" t="str">
        <f t="shared" si="252"/>
        <v/>
      </c>
      <c r="WKA83" s="248" t="str">
        <f t="shared" si="252"/>
        <v/>
      </c>
      <c r="WKB83" s="248" t="str">
        <f t="shared" si="252"/>
        <v/>
      </c>
      <c r="WKC83" s="248" t="str">
        <f t="shared" si="252"/>
        <v/>
      </c>
      <c r="WKD83" s="248" t="str">
        <f t="shared" si="252"/>
        <v/>
      </c>
      <c r="WKE83" s="248" t="str">
        <f t="shared" ref="WKE83:WMP83" si="253">UPPER(WKC83)</f>
        <v/>
      </c>
      <c r="WKF83" s="248" t="str">
        <f t="shared" si="253"/>
        <v/>
      </c>
      <c r="WKG83" s="248" t="str">
        <f t="shared" si="253"/>
        <v/>
      </c>
      <c r="WKH83" s="248" t="str">
        <f t="shared" si="253"/>
        <v/>
      </c>
      <c r="WKI83" s="248" t="str">
        <f t="shared" si="253"/>
        <v/>
      </c>
      <c r="WKJ83" s="248" t="str">
        <f t="shared" si="253"/>
        <v/>
      </c>
      <c r="WKK83" s="248" t="str">
        <f t="shared" si="253"/>
        <v/>
      </c>
      <c r="WKL83" s="248" t="str">
        <f t="shared" si="253"/>
        <v/>
      </c>
      <c r="WKM83" s="248" t="str">
        <f t="shared" si="253"/>
        <v/>
      </c>
      <c r="WKN83" s="248" t="str">
        <f t="shared" si="253"/>
        <v/>
      </c>
      <c r="WKO83" s="248" t="str">
        <f t="shared" si="253"/>
        <v/>
      </c>
      <c r="WKP83" s="248" t="str">
        <f t="shared" si="253"/>
        <v/>
      </c>
      <c r="WKQ83" s="248" t="str">
        <f t="shared" si="253"/>
        <v/>
      </c>
      <c r="WKR83" s="248" t="str">
        <f t="shared" si="253"/>
        <v/>
      </c>
      <c r="WKS83" s="248" t="str">
        <f t="shared" si="253"/>
        <v/>
      </c>
      <c r="WKT83" s="248" t="str">
        <f t="shared" si="253"/>
        <v/>
      </c>
      <c r="WKU83" s="248" t="str">
        <f t="shared" si="253"/>
        <v/>
      </c>
      <c r="WKV83" s="248" t="str">
        <f t="shared" si="253"/>
        <v/>
      </c>
      <c r="WKW83" s="248" t="str">
        <f t="shared" si="253"/>
        <v/>
      </c>
      <c r="WKX83" s="248" t="str">
        <f t="shared" si="253"/>
        <v/>
      </c>
      <c r="WKY83" s="248" t="str">
        <f t="shared" si="253"/>
        <v/>
      </c>
      <c r="WKZ83" s="248" t="str">
        <f t="shared" si="253"/>
        <v/>
      </c>
      <c r="WLA83" s="248" t="str">
        <f t="shared" si="253"/>
        <v/>
      </c>
      <c r="WLB83" s="248" t="str">
        <f t="shared" si="253"/>
        <v/>
      </c>
      <c r="WLC83" s="248" t="str">
        <f t="shared" si="253"/>
        <v/>
      </c>
      <c r="WLD83" s="248" t="str">
        <f t="shared" si="253"/>
        <v/>
      </c>
      <c r="WLE83" s="248" t="str">
        <f t="shared" si="253"/>
        <v/>
      </c>
      <c r="WLF83" s="248" t="str">
        <f t="shared" si="253"/>
        <v/>
      </c>
      <c r="WLG83" s="248" t="str">
        <f t="shared" si="253"/>
        <v/>
      </c>
      <c r="WLH83" s="248" t="str">
        <f t="shared" si="253"/>
        <v/>
      </c>
      <c r="WLI83" s="248" t="str">
        <f t="shared" si="253"/>
        <v/>
      </c>
      <c r="WLJ83" s="248" t="str">
        <f t="shared" si="253"/>
        <v/>
      </c>
      <c r="WLK83" s="248" t="str">
        <f t="shared" si="253"/>
        <v/>
      </c>
      <c r="WLL83" s="248" t="str">
        <f t="shared" si="253"/>
        <v/>
      </c>
      <c r="WLM83" s="248" t="str">
        <f t="shared" si="253"/>
        <v/>
      </c>
      <c r="WLN83" s="248" t="str">
        <f t="shared" si="253"/>
        <v/>
      </c>
      <c r="WLO83" s="248" t="str">
        <f t="shared" si="253"/>
        <v/>
      </c>
      <c r="WLP83" s="248" t="str">
        <f t="shared" si="253"/>
        <v/>
      </c>
      <c r="WLQ83" s="248" t="str">
        <f t="shared" si="253"/>
        <v/>
      </c>
      <c r="WLR83" s="248" t="str">
        <f t="shared" si="253"/>
        <v/>
      </c>
      <c r="WLS83" s="248" t="str">
        <f t="shared" si="253"/>
        <v/>
      </c>
      <c r="WLT83" s="248" t="str">
        <f t="shared" si="253"/>
        <v/>
      </c>
      <c r="WLU83" s="248" t="str">
        <f t="shared" si="253"/>
        <v/>
      </c>
      <c r="WLV83" s="248" t="str">
        <f t="shared" si="253"/>
        <v/>
      </c>
      <c r="WLW83" s="248" t="str">
        <f t="shared" si="253"/>
        <v/>
      </c>
      <c r="WLX83" s="248" t="str">
        <f t="shared" si="253"/>
        <v/>
      </c>
      <c r="WLY83" s="248" t="str">
        <f t="shared" si="253"/>
        <v/>
      </c>
      <c r="WLZ83" s="248" t="str">
        <f t="shared" si="253"/>
        <v/>
      </c>
      <c r="WMA83" s="248" t="str">
        <f t="shared" si="253"/>
        <v/>
      </c>
      <c r="WMB83" s="248" t="str">
        <f t="shared" si="253"/>
        <v/>
      </c>
      <c r="WMC83" s="248" t="str">
        <f t="shared" si="253"/>
        <v/>
      </c>
      <c r="WMD83" s="248" t="str">
        <f t="shared" si="253"/>
        <v/>
      </c>
      <c r="WME83" s="248" t="str">
        <f t="shared" si="253"/>
        <v/>
      </c>
      <c r="WMF83" s="248" t="str">
        <f t="shared" si="253"/>
        <v/>
      </c>
      <c r="WMG83" s="248" t="str">
        <f t="shared" si="253"/>
        <v/>
      </c>
      <c r="WMH83" s="248" t="str">
        <f t="shared" si="253"/>
        <v/>
      </c>
      <c r="WMI83" s="248" t="str">
        <f t="shared" si="253"/>
        <v/>
      </c>
      <c r="WMJ83" s="248" t="str">
        <f t="shared" si="253"/>
        <v/>
      </c>
      <c r="WMK83" s="248" t="str">
        <f t="shared" si="253"/>
        <v/>
      </c>
      <c r="WML83" s="248" t="str">
        <f t="shared" si="253"/>
        <v/>
      </c>
      <c r="WMM83" s="248" t="str">
        <f t="shared" si="253"/>
        <v/>
      </c>
      <c r="WMN83" s="248" t="str">
        <f t="shared" si="253"/>
        <v/>
      </c>
      <c r="WMO83" s="248" t="str">
        <f t="shared" si="253"/>
        <v/>
      </c>
      <c r="WMP83" s="248" t="str">
        <f t="shared" si="253"/>
        <v/>
      </c>
      <c r="WMQ83" s="248" t="str">
        <f t="shared" ref="WMQ83:WPB83" si="254">UPPER(WMO83)</f>
        <v/>
      </c>
      <c r="WMR83" s="248" t="str">
        <f t="shared" si="254"/>
        <v/>
      </c>
      <c r="WMS83" s="248" t="str">
        <f t="shared" si="254"/>
        <v/>
      </c>
      <c r="WMT83" s="248" t="str">
        <f t="shared" si="254"/>
        <v/>
      </c>
      <c r="WMU83" s="248" t="str">
        <f t="shared" si="254"/>
        <v/>
      </c>
      <c r="WMV83" s="248" t="str">
        <f t="shared" si="254"/>
        <v/>
      </c>
      <c r="WMW83" s="248" t="str">
        <f t="shared" si="254"/>
        <v/>
      </c>
      <c r="WMX83" s="248" t="str">
        <f t="shared" si="254"/>
        <v/>
      </c>
      <c r="WMY83" s="248" t="str">
        <f t="shared" si="254"/>
        <v/>
      </c>
      <c r="WMZ83" s="248" t="str">
        <f t="shared" si="254"/>
        <v/>
      </c>
      <c r="WNA83" s="248" t="str">
        <f t="shared" si="254"/>
        <v/>
      </c>
      <c r="WNB83" s="248" t="str">
        <f t="shared" si="254"/>
        <v/>
      </c>
      <c r="WNC83" s="248" t="str">
        <f t="shared" si="254"/>
        <v/>
      </c>
      <c r="WND83" s="248" t="str">
        <f t="shared" si="254"/>
        <v/>
      </c>
      <c r="WNE83" s="248" t="str">
        <f t="shared" si="254"/>
        <v/>
      </c>
      <c r="WNF83" s="248" t="str">
        <f t="shared" si="254"/>
        <v/>
      </c>
      <c r="WNG83" s="248" t="str">
        <f t="shared" si="254"/>
        <v/>
      </c>
      <c r="WNH83" s="248" t="str">
        <f t="shared" si="254"/>
        <v/>
      </c>
      <c r="WNI83" s="248" t="str">
        <f t="shared" si="254"/>
        <v/>
      </c>
      <c r="WNJ83" s="248" t="str">
        <f t="shared" si="254"/>
        <v/>
      </c>
      <c r="WNK83" s="248" t="str">
        <f t="shared" si="254"/>
        <v/>
      </c>
      <c r="WNL83" s="248" t="str">
        <f t="shared" si="254"/>
        <v/>
      </c>
      <c r="WNM83" s="248" t="str">
        <f t="shared" si="254"/>
        <v/>
      </c>
      <c r="WNN83" s="248" t="str">
        <f t="shared" si="254"/>
        <v/>
      </c>
      <c r="WNO83" s="248" t="str">
        <f t="shared" si="254"/>
        <v/>
      </c>
      <c r="WNP83" s="248" t="str">
        <f t="shared" si="254"/>
        <v/>
      </c>
      <c r="WNQ83" s="248" t="str">
        <f t="shared" si="254"/>
        <v/>
      </c>
      <c r="WNR83" s="248" t="str">
        <f t="shared" si="254"/>
        <v/>
      </c>
      <c r="WNS83" s="248" t="str">
        <f t="shared" si="254"/>
        <v/>
      </c>
      <c r="WNT83" s="248" t="str">
        <f t="shared" si="254"/>
        <v/>
      </c>
      <c r="WNU83" s="248" t="str">
        <f t="shared" si="254"/>
        <v/>
      </c>
      <c r="WNV83" s="248" t="str">
        <f t="shared" si="254"/>
        <v/>
      </c>
      <c r="WNW83" s="248" t="str">
        <f t="shared" si="254"/>
        <v/>
      </c>
      <c r="WNX83" s="248" t="str">
        <f t="shared" si="254"/>
        <v/>
      </c>
      <c r="WNY83" s="248" t="str">
        <f t="shared" si="254"/>
        <v/>
      </c>
      <c r="WNZ83" s="248" t="str">
        <f t="shared" si="254"/>
        <v/>
      </c>
      <c r="WOA83" s="248" t="str">
        <f t="shared" si="254"/>
        <v/>
      </c>
      <c r="WOB83" s="248" t="str">
        <f t="shared" si="254"/>
        <v/>
      </c>
      <c r="WOC83" s="248" t="str">
        <f t="shared" si="254"/>
        <v/>
      </c>
      <c r="WOD83" s="248" t="str">
        <f t="shared" si="254"/>
        <v/>
      </c>
      <c r="WOE83" s="248" t="str">
        <f t="shared" si="254"/>
        <v/>
      </c>
      <c r="WOF83" s="248" t="str">
        <f t="shared" si="254"/>
        <v/>
      </c>
      <c r="WOG83" s="248" t="str">
        <f t="shared" si="254"/>
        <v/>
      </c>
      <c r="WOH83" s="248" t="str">
        <f t="shared" si="254"/>
        <v/>
      </c>
      <c r="WOI83" s="248" t="str">
        <f t="shared" si="254"/>
        <v/>
      </c>
      <c r="WOJ83" s="248" t="str">
        <f t="shared" si="254"/>
        <v/>
      </c>
      <c r="WOK83" s="248" t="str">
        <f t="shared" si="254"/>
        <v/>
      </c>
      <c r="WOL83" s="248" t="str">
        <f t="shared" si="254"/>
        <v/>
      </c>
      <c r="WOM83" s="248" t="str">
        <f t="shared" si="254"/>
        <v/>
      </c>
      <c r="WON83" s="248" t="str">
        <f t="shared" si="254"/>
        <v/>
      </c>
      <c r="WOO83" s="248" t="str">
        <f t="shared" si="254"/>
        <v/>
      </c>
      <c r="WOP83" s="248" t="str">
        <f t="shared" si="254"/>
        <v/>
      </c>
      <c r="WOQ83" s="248" t="str">
        <f t="shared" si="254"/>
        <v/>
      </c>
      <c r="WOR83" s="248" t="str">
        <f t="shared" si="254"/>
        <v/>
      </c>
      <c r="WOS83" s="248" t="str">
        <f t="shared" si="254"/>
        <v/>
      </c>
      <c r="WOT83" s="248" t="str">
        <f t="shared" si="254"/>
        <v/>
      </c>
      <c r="WOU83" s="248" t="str">
        <f t="shared" si="254"/>
        <v/>
      </c>
      <c r="WOV83" s="248" t="str">
        <f t="shared" si="254"/>
        <v/>
      </c>
      <c r="WOW83" s="248" t="str">
        <f t="shared" si="254"/>
        <v/>
      </c>
      <c r="WOX83" s="248" t="str">
        <f t="shared" si="254"/>
        <v/>
      </c>
      <c r="WOY83" s="248" t="str">
        <f t="shared" si="254"/>
        <v/>
      </c>
      <c r="WOZ83" s="248" t="str">
        <f t="shared" si="254"/>
        <v/>
      </c>
      <c r="WPA83" s="248" t="str">
        <f t="shared" si="254"/>
        <v/>
      </c>
      <c r="WPB83" s="248" t="str">
        <f t="shared" si="254"/>
        <v/>
      </c>
      <c r="WPC83" s="248" t="str">
        <f t="shared" ref="WPC83:WRN83" si="255">UPPER(WPA83)</f>
        <v/>
      </c>
      <c r="WPD83" s="248" t="str">
        <f t="shared" si="255"/>
        <v/>
      </c>
      <c r="WPE83" s="248" t="str">
        <f t="shared" si="255"/>
        <v/>
      </c>
      <c r="WPF83" s="248" t="str">
        <f t="shared" si="255"/>
        <v/>
      </c>
      <c r="WPG83" s="248" t="str">
        <f t="shared" si="255"/>
        <v/>
      </c>
      <c r="WPH83" s="248" t="str">
        <f t="shared" si="255"/>
        <v/>
      </c>
      <c r="WPI83" s="248" t="str">
        <f t="shared" si="255"/>
        <v/>
      </c>
      <c r="WPJ83" s="248" t="str">
        <f t="shared" si="255"/>
        <v/>
      </c>
      <c r="WPK83" s="248" t="str">
        <f t="shared" si="255"/>
        <v/>
      </c>
      <c r="WPL83" s="248" t="str">
        <f t="shared" si="255"/>
        <v/>
      </c>
      <c r="WPM83" s="248" t="str">
        <f t="shared" si="255"/>
        <v/>
      </c>
      <c r="WPN83" s="248" t="str">
        <f t="shared" si="255"/>
        <v/>
      </c>
      <c r="WPO83" s="248" t="str">
        <f t="shared" si="255"/>
        <v/>
      </c>
      <c r="WPP83" s="248" t="str">
        <f t="shared" si="255"/>
        <v/>
      </c>
      <c r="WPQ83" s="248" t="str">
        <f t="shared" si="255"/>
        <v/>
      </c>
      <c r="WPR83" s="248" t="str">
        <f t="shared" si="255"/>
        <v/>
      </c>
      <c r="WPS83" s="248" t="str">
        <f t="shared" si="255"/>
        <v/>
      </c>
      <c r="WPT83" s="248" t="str">
        <f t="shared" si="255"/>
        <v/>
      </c>
      <c r="WPU83" s="248" t="str">
        <f t="shared" si="255"/>
        <v/>
      </c>
      <c r="WPV83" s="248" t="str">
        <f t="shared" si="255"/>
        <v/>
      </c>
      <c r="WPW83" s="248" t="str">
        <f t="shared" si="255"/>
        <v/>
      </c>
      <c r="WPX83" s="248" t="str">
        <f t="shared" si="255"/>
        <v/>
      </c>
      <c r="WPY83" s="248" t="str">
        <f t="shared" si="255"/>
        <v/>
      </c>
      <c r="WPZ83" s="248" t="str">
        <f t="shared" si="255"/>
        <v/>
      </c>
      <c r="WQA83" s="248" t="str">
        <f t="shared" si="255"/>
        <v/>
      </c>
      <c r="WQB83" s="248" t="str">
        <f t="shared" si="255"/>
        <v/>
      </c>
      <c r="WQC83" s="248" t="str">
        <f t="shared" si="255"/>
        <v/>
      </c>
      <c r="WQD83" s="248" t="str">
        <f t="shared" si="255"/>
        <v/>
      </c>
      <c r="WQE83" s="248" t="str">
        <f t="shared" si="255"/>
        <v/>
      </c>
      <c r="WQF83" s="248" t="str">
        <f t="shared" si="255"/>
        <v/>
      </c>
      <c r="WQG83" s="248" t="str">
        <f t="shared" si="255"/>
        <v/>
      </c>
      <c r="WQH83" s="248" t="str">
        <f t="shared" si="255"/>
        <v/>
      </c>
      <c r="WQI83" s="248" t="str">
        <f t="shared" si="255"/>
        <v/>
      </c>
      <c r="WQJ83" s="248" t="str">
        <f t="shared" si="255"/>
        <v/>
      </c>
      <c r="WQK83" s="248" t="str">
        <f t="shared" si="255"/>
        <v/>
      </c>
      <c r="WQL83" s="248" t="str">
        <f t="shared" si="255"/>
        <v/>
      </c>
      <c r="WQM83" s="248" t="str">
        <f t="shared" si="255"/>
        <v/>
      </c>
      <c r="WQN83" s="248" t="str">
        <f t="shared" si="255"/>
        <v/>
      </c>
      <c r="WQO83" s="248" t="str">
        <f t="shared" si="255"/>
        <v/>
      </c>
      <c r="WQP83" s="248" t="str">
        <f t="shared" si="255"/>
        <v/>
      </c>
      <c r="WQQ83" s="248" t="str">
        <f t="shared" si="255"/>
        <v/>
      </c>
      <c r="WQR83" s="248" t="str">
        <f t="shared" si="255"/>
        <v/>
      </c>
      <c r="WQS83" s="248" t="str">
        <f t="shared" si="255"/>
        <v/>
      </c>
      <c r="WQT83" s="248" t="str">
        <f t="shared" si="255"/>
        <v/>
      </c>
      <c r="WQU83" s="248" t="str">
        <f t="shared" si="255"/>
        <v/>
      </c>
      <c r="WQV83" s="248" t="str">
        <f t="shared" si="255"/>
        <v/>
      </c>
      <c r="WQW83" s="248" t="str">
        <f t="shared" si="255"/>
        <v/>
      </c>
      <c r="WQX83" s="248" t="str">
        <f t="shared" si="255"/>
        <v/>
      </c>
      <c r="WQY83" s="248" t="str">
        <f t="shared" si="255"/>
        <v/>
      </c>
      <c r="WQZ83" s="248" t="str">
        <f t="shared" si="255"/>
        <v/>
      </c>
      <c r="WRA83" s="248" t="str">
        <f t="shared" si="255"/>
        <v/>
      </c>
      <c r="WRB83" s="248" t="str">
        <f t="shared" si="255"/>
        <v/>
      </c>
      <c r="WRC83" s="248" t="str">
        <f t="shared" si="255"/>
        <v/>
      </c>
      <c r="WRD83" s="248" t="str">
        <f t="shared" si="255"/>
        <v/>
      </c>
      <c r="WRE83" s="248" t="str">
        <f t="shared" si="255"/>
        <v/>
      </c>
      <c r="WRF83" s="248" t="str">
        <f t="shared" si="255"/>
        <v/>
      </c>
      <c r="WRG83" s="248" t="str">
        <f t="shared" si="255"/>
        <v/>
      </c>
      <c r="WRH83" s="248" t="str">
        <f t="shared" si="255"/>
        <v/>
      </c>
      <c r="WRI83" s="248" t="str">
        <f t="shared" si="255"/>
        <v/>
      </c>
      <c r="WRJ83" s="248" t="str">
        <f t="shared" si="255"/>
        <v/>
      </c>
      <c r="WRK83" s="248" t="str">
        <f t="shared" si="255"/>
        <v/>
      </c>
      <c r="WRL83" s="248" t="str">
        <f t="shared" si="255"/>
        <v/>
      </c>
      <c r="WRM83" s="248" t="str">
        <f t="shared" si="255"/>
        <v/>
      </c>
      <c r="WRN83" s="248" t="str">
        <f t="shared" si="255"/>
        <v/>
      </c>
      <c r="WRO83" s="248" t="str">
        <f t="shared" ref="WRO83:WTZ83" si="256">UPPER(WRM83)</f>
        <v/>
      </c>
      <c r="WRP83" s="248" t="str">
        <f t="shared" si="256"/>
        <v/>
      </c>
      <c r="WRQ83" s="248" t="str">
        <f t="shared" si="256"/>
        <v/>
      </c>
      <c r="WRR83" s="248" t="str">
        <f t="shared" si="256"/>
        <v/>
      </c>
      <c r="WRS83" s="248" t="str">
        <f t="shared" si="256"/>
        <v/>
      </c>
      <c r="WRT83" s="248" t="str">
        <f t="shared" si="256"/>
        <v/>
      </c>
      <c r="WRU83" s="248" t="str">
        <f t="shared" si="256"/>
        <v/>
      </c>
      <c r="WRV83" s="248" t="str">
        <f t="shared" si="256"/>
        <v/>
      </c>
      <c r="WRW83" s="248" t="str">
        <f t="shared" si="256"/>
        <v/>
      </c>
      <c r="WRX83" s="248" t="str">
        <f t="shared" si="256"/>
        <v/>
      </c>
      <c r="WRY83" s="248" t="str">
        <f t="shared" si="256"/>
        <v/>
      </c>
      <c r="WRZ83" s="248" t="str">
        <f t="shared" si="256"/>
        <v/>
      </c>
      <c r="WSA83" s="248" t="str">
        <f t="shared" si="256"/>
        <v/>
      </c>
      <c r="WSB83" s="248" t="str">
        <f t="shared" si="256"/>
        <v/>
      </c>
      <c r="WSC83" s="248" t="str">
        <f t="shared" si="256"/>
        <v/>
      </c>
      <c r="WSD83" s="248" t="str">
        <f t="shared" si="256"/>
        <v/>
      </c>
      <c r="WSE83" s="248" t="str">
        <f t="shared" si="256"/>
        <v/>
      </c>
      <c r="WSF83" s="248" t="str">
        <f t="shared" si="256"/>
        <v/>
      </c>
      <c r="WSG83" s="248" t="str">
        <f t="shared" si="256"/>
        <v/>
      </c>
      <c r="WSH83" s="248" t="str">
        <f t="shared" si="256"/>
        <v/>
      </c>
      <c r="WSI83" s="248" t="str">
        <f t="shared" si="256"/>
        <v/>
      </c>
      <c r="WSJ83" s="248" t="str">
        <f t="shared" si="256"/>
        <v/>
      </c>
      <c r="WSK83" s="248" t="str">
        <f t="shared" si="256"/>
        <v/>
      </c>
      <c r="WSL83" s="248" t="str">
        <f t="shared" si="256"/>
        <v/>
      </c>
      <c r="WSM83" s="248" t="str">
        <f t="shared" si="256"/>
        <v/>
      </c>
      <c r="WSN83" s="248" t="str">
        <f t="shared" si="256"/>
        <v/>
      </c>
      <c r="WSO83" s="248" t="str">
        <f t="shared" si="256"/>
        <v/>
      </c>
      <c r="WSP83" s="248" t="str">
        <f t="shared" si="256"/>
        <v/>
      </c>
      <c r="WSQ83" s="248" t="str">
        <f t="shared" si="256"/>
        <v/>
      </c>
      <c r="WSR83" s="248" t="str">
        <f t="shared" si="256"/>
        <v/>
      </c>
      <c r="WSS83" s="248" t="str">
        <f t="shared" si="256"/>
        <v/>
      </c>
      <c r="WST83" s="248" t="str">
        <f t="shared" si="256"/>
        <v/>
      </c>
      <c r="WSU83" s="248" t="str">
        <f t="shared" si="256"/>
        <v/>
      </c>
      <c r="WSV83" s="248" t="str">
        <f t="shared" si="256"/>
        <v/>
      </c>
      <c r="WSW83" s="248" t="str">
        <f t="shared" si="256"/>
        <v/>
      </c>
      <c r="WSX83" s="248" t="str">
        <f t="shared" si="256"/>
        <v/>
      </c>
      <c r="WSY83" s="248" t="str">
        <f t="shared" si="256"/>
        <v/>
      </c>
      <c r="WSZ83" s="248" t="str">
        <f t="shared" si="256"/>
        <v/>
      </c>
      <c r="WTA83" s="248" t="str">
        <f t="shared" si="256"/>
        <v/>
      </c>
      <c r="WTB83" s="248" t="str">
        <f t="shared" si="256"/>
        <v/>
      </c>
      <c r="WTC83" s="248" t="str">
        <f t="shared" si="256"/>
        <v/>
      </c>
      <c r="WTD83" s="248" t="str">
        <f t="shared" si="256"/>
        <v/>
      </c>
      <c r="WTE83" s="248" t="str">
        <f t="shared" si="256"/>
        <v/>
      </c>
      <c r="WTF83" s="248" t="str">
        <f t="shared" si="256"/>
        <v/>
      </c>
      <c r="WTG83" s="248" t="str">
        <f t="shared" si="256"/>
        <v/>
      </c>
      <c r="WTH83" s="248" t="str">
        <f t="shared" si="256"/>
        <v/>
      </c>
      <c r="WTI83" s="248" t="str">
        <f t="shared" si="256"/>
        <v/>
      </c>
      <c r="WTJ83" s="248" t="str">
        <f t="shared" si="256"/>
        <v/>
      </c>
      <c r="WTK83" s="248" t="str">
        <f t="shared" si="256"/>
        <v/>
      </c>
      <c r="WTL83" s="248" t="str">
        <f t="shared" si="256"/>
        <v/>
      </c>
      <c r="WTM83" s="248" t="str">
        <f t="shared" si="256"/>
        <v/>
      </c>
      <c r="WTN83" s="248" t="str">
        <f t="shared" si="256"/>
        <v/>
      </c>
      <c r="WTO83" s="248" t="str">
        <f t="shared" si="256"/>
        <v/>
      </c>
      <c r="WTP83" s="248" t="str">
        <f t="shared" si="256"/>
        <v/>
      </c>
      <c r="WTQ83" s="248" t="str">
        <f t="shared" si="256"/>
        <v/>
      </c>
      <c r="WTR83" s="248" t="str">
        <f t="shared" si="256"/>
        <v/>
      </c>
      <c r="WTS83" s="248" t="str">
        <f t="shared" si="256"/>
        <v/>
      </c>
      <c r="WTT83" s="248" t="str">
        <f t="shared" si="256"/>
        <v/>
      </c>
      <c r="WTU83" s="248" t="str">
        <f t="shared" si="256"/>
        <v/>
      </c>
      <c r="WTV83" s="248" t="str">
        <f t="shared" si="256"/>
        <v/>
      </c>
      <c r="WTW83" s="248" t="str">
        <f t="shared" si="256"/>
        <v/>
      </c>
      <c r="WTX83" s="248" t="str">
        <f t="shared" si="256"/>
        <v/>
      </c>
      <c r="WTY83" s="248" t="str">
        <f t="shared" si="256"/>
        <v/>
      </c>
      <c r="WTZ83" s="248" t="str">
        <f t="shared" si="256"/>
        <v/>
      </c>
      <c r="WUA83" s="248" t="str">
        <f t="shared" ref="WUA83:WWL83" si="257">UPPER(WTY83)</f>
        <v/>
      </c>
      <c r="WUB83" s="248" t="str">
        <f t="shared" si="257"/>
        <v/>
      </c>
      <c r="WUC83" s="248" t="str">
        <f t="shared" si="257"/>
        <v/>
      </c>
      <c r="WUD83" s="248" t="str">
        <f t="shared" si="257"/>
        <v/>
      </c>
      <c r="WUE83" s="248" t="str">
        <f t="shared" si="257"/>
        <v/>
      </c>
      <c r="WUF83" s="248" t="str">
        <f t="shared" si="257"/>
        <v/>
      </c>
      <c r="WUG83" s="248" t="str">
        <f t="shared" si="257"/>
        <v/>
      </c>
      <c r="WUH83" s="248" t="str">
        <f t="shared" si="257"/>
        <v/>
      </c>
      <c r="WUI83" s="248" t="str">
        <f t="shared" si="257"/>
        <v/>
      </c>
      <c r="WUJ83" s="248" t="str">
        <f t="shared" si="257"/>
        <v/>
      </c>
      <c r="WUK83" s="248" t="str">
        <f t="shared" si="257"/>
        <v/>
      </c>
      <c r="WUL83" s="248" t="str">
        <f t="shared" si="257"/>
        <v/>
      </c>
      <c r="WUM83" s="248" t="str">
        <f t="shared" si="257"/>
        <v/>
      </c>
      <c r="WUN83" s="248" t="str">
        <f t="shared" si="257"/>
        <v/>
      </c>
      <c r="WUO83" s="248" t="str">
        <f t="shared" si="257"/>
        <v/>
      </c>
      <c r="WUP83" s="248" t="str">
        <f t="shared" si="257"/>
        <v/>
      </c>
      <c r="WUQ83" s="248" t="str">
        <f t="shared" si="257"/>
        <v/>
      </c>
      <c r="WUR83" s="248" t="str">
        <f t="shared" si="257"/>
        <v/>
      </c>
      <c r="WUS83" s="248" t="str">
        <f t="shared" si="257"/>
        <v/>
      </c>
      <c r="WUT83" s="248" t="str">
        <f t="shared" si="257"/>
        <v/>
      </c>
      <c r="WUU83" s="248" t="str">
        <f t="shared" si="257"/>
        <v/>
      </c>
      <c r="WUV83" s="248" t="str">
        <f t="shared" si="257"/>
        <v/>
      </c>
      <c r="WUW83" s="248" t="str">
        <f t="shared" si="257"/>
        <v/>
      </c>
      <c r="WUX83" s="248" t="str">
        <f t="shared" si="257"/>
        <v/>
      </c>
      <c r="WUY83" s="248" t="str">
        <f t="shared" si="257"/>
        <v/>
      </c>
      <c r="WUZ83" s="248" t="str">
        <f t="shared" si="257"/>
        <v/>
      </c>
      <c r="WVA83" s="248" t="str">
        <f t="shared" si="257"/>
        <v/>
      </c>
      <c r="WVB83" s="248" t="str">
        <f t="shared" si="257"/>
        <v/>
      </c>
      <c r="WVC83" s="248" t="str">
        <f t="shared" si="257"/>
        <v/>
      </c>
      <c r="WVD83" s="248" t="str">
        <f t="shared" si="257"/>
        <v/>
      </c>
      <c r="WVE83" s="248" t="str">
        <f t="shared" si="257"/>
        <v/>
      </c>
      <c r="WVF83" s="248" t="str">
        <f t="shared" si="257"/>
        <v/>
      </c>
      <c r="WVG83" s="248" t="str">
        <f t="shared" si="257"/>
        <v/>
      </c>
      <c r="WVH83" s="248" t="str">
        <f t="shared" si="257"/>
        <v/>
      </c>
      <c r="WVI83" s="248" t="str">
        <f t="shared" si="257"/>
        <v/>
      </c>
      <c r="WVJ83" s="248" t="str">
        <f t="shared" si="257"/>
        <v/>
      </c>
      <c r="WVK83" s="248" t="str">
        <f t="shared" si="257"/>
        <v/>
      </c>
      <c r="WVL83" s="248" t="str">
        <f t="shared" si="257"/>
        <v/>
      </c>
      <c r="WVM83" s="248" t="str">
        <f t="shared" si="257"/>
        <v/>
      </c>
      <c r="WVN83" s="248" t="str">
        <f t="shared" si="257"/>
        <v/>
      </c>
      <c r="WVO83" s="248" t="str">
        <f t="shared" si="257"/>
        <v/>
      </c>
      <c r="WVP83" s="248" t="str">
        <f t="shared" si="257"/>
        <v/>
      </c>
      <c r="WVQ83" s="248" t="str">
        <f t="shared" si="257"/>
        <v/>
      </c>
      <c r="WVR83" s="248" t="str">
        <f t="shared" si="257"/>
        <v/>
      </c>
      <c r="WVS83" s="248" t="str">
        <f t="shared" si="257"/>
        <v/>
      </c>
      <c r="WVT83" s="248" t="str">
        <f t="shared" si="257"/>
        <v/>
      </c>
      <c r="WVU83" s="248" t="str">
        <f t="shared" si="257"/>
        <v/>
      </c>
      <c r="WVV83" s="248" t="str">
        <f t="shared" si="257"/>
        <v/>
      </c>
      <c r="WVW83" s="248" t="str">
        <f t="shared" si="257"/>
        <v/>
      </c>
      <c r="WVX83" s="248" t="str">
        <f t="shared" si="257"/>
        <v/>
      </c>
      <c r="WVY83" s="248" t="str">
        <f t="shared" si="257"/>
        <v/>
      </c>
      <c r="WVZ83" s="248" t="str">
        <f t="shared" si="257"/>
        <v/>
      </c>
      <c r="WWA83" s="248" t="str">
        <f t="shared" si="257"/>
        <v/>
      </c>
      <c r="WWB83" s="248" t="str">
        <f t="shared" si="257"/>
        <v/>
      </c>
      <c r="WWC83" s="248" t="str">
        <f t="shared" si="257"/>
        <v/>
      </c>
      <c r="WWD83" s="248" t="str">
        <f t="shared" si="257"/>
        <v/>
      </c>
      <c r="WWE83" s="248" t="str">
        <f t="shared" si="257"/>
        <v/>
      </c>
      <c r="WWF83" s="248" t="str">
        <f t="shared" si="257"/>
        <v/>
      </c>
      <c r="WWG83" s="248" t="str">
        <f t="shared" si="257"/>
        <v/>
      </c>
      <c r="WWH83" s="248" t="str">
        <f t="shared" si="257"/>
        <v/>
      </c>
      <c r="WWI83" s="248" t="str">
        <f t="shared" si="257"/>
        <v/>
      </c>
      <c r="WWJ83" s="248" t="str">
        <f t="shared" si="257"/>
        <v/>
      </c>
      <c r="WWK83" s="248" t="str">
        <f t="shared" si="257"/>
        <v/>
      </c>
      <c r="WWL83" s="248" t="str">
        <f t="shared" si="257"/>
        <v/>
      </c>
      <c r="WWM83" s="248" t="str">
        <f t="shared" ref="WWM83:WYX83" si="258">UPPER(WWK83)</f>
        <v/>
      </c>
      <c r="WWN83" s="248" t="str">
        <f t="shared" si="258"/>
        <v/>
      </c>
      <c r="WWO83" s="248" t="str">
        <f t="shared" si="258"/>
        <v/>
      </c>
      <c r="WWP83" s="248" t="str">
        <f t="shared" si="258"/>
        <v/>
      </c>
      <c r="WWQ83" s="248" t="str">
        <f t="shared" si="258"/>
        <v/>
      </c>
      <c r="WWR83" s="248" t="str">
        <f t="shared" si="258"/>
        <v/>
      </c>
      <c r="WWS83" s="248" t="str">
        <f t="shared" si="258"/>
        <v/>
      </c>
      <c r="WWT83" s="248" t="str">
        <f t="shared" si="258"/>
        <v/>
      </c>
      <c r="WWU83" s="248" t="str">
        <f t="shared" si="258"/>
        <v/>
      </c>
      <c r="WWV83" s="248" t="str">
        <f t="shared" si="258"/>
        <v/>
      </c>
      <c r="WWW83" s="248" t="str">
        <f t="shared" si="258"/>
        <v/>
      </c>
      <c r="WWX83" s="248" t="str">
        <f t="shared" si="258"/>
        <v/>
      </c>
      <c r="WWY83" s="248" t="str">
        <f t="shared" si="258"/>
        <v/>
      </c>
      <c r="WWZ83" s="248" t="str">
        <f t="shared" si="258"/>
        <v/>
      </c>
      <c r="WXA83" s="248" t="str">
        <f t="shared" si="258"/>
        <v/>
      </c>
      <c r="WXB83" s="248" t="str">
        <f t="shared" si="258"/>
        <v/>
      </c>
      <c r="WXC83" s="248" t="str">
        <f t="shared" si="258"/>
        <v/>
      </c>
      <c r="WXD83" s="248" t="str">
        <f t="shared" si="258"/>
        <v/>
      </c>
      <c r="WXE83" s="248" t="str">
        <f t="shared" si="258"/>
        <v/>
      </c>
      <c r="WXF83" s="248" t="str">
        <f t="shared" si="258"/>
        <v/>
      </c>
      <c r="WXG83" s="248" t="str">
        <f t="shared" si="258"/>
        <v/>
      </c>
      <c r="WXH83" s="248" t="str">
        <f t="shared" si="258"/>
        <v/>
      </c>
      <c r="WXI83" s="248" t="str">
        <f t="shared" si="258"/>
        <v/>
      </c>
      <c r="WXJ83" s="248" t="str">
        <f t="shared" si="258"/>
        <v/>
      </c>
      <c r="WXK83" s="248" t="str">
        <f t="shared" si="258"/>
        <v/>
      </c>
      <c r="WXL83" s="248" t="str">
        <f t="shared" si="258"/>
        <v/>
      </c>
      <c r="WXM83" s="248" t="str">
        <f t="shared" si="258"/>
        <v/>
      </c>
      <c r="WXN83" s="248" t="str">
        <f t="shared" si="258"/>
        <v/>
      </c>
      <c r="WXO83" s="248" t="str">
        <f t="shared" si="258"/>
        <v/>
      </c>
      <c r="WXP83" s="248" t="str">
        <f t="shared" si="258"/>
        <v/>
      </c>
      <c r="WXQ83" s="248" t="str">
        <f t="shared" si="258"/>
        <v/>
      </c>
      <c r="WXR83" s="248" t="str">
        <f t="shared" si="258"/>
        <v/>
      </c>
      <c r="WXS83" s="248" t="str">
        <f t="shared" si="258"/>
        <v/>
      </c>
      <c r="WXT83" s="248" t="str">
        <f t="shared" si="258"/>
        <v/>
      </c>
      <c r="WXU83" s="248" t="str">
        <f t="shared" si="258"/>
        <v/>
      </c>
      <c r="WXV83" s="248" t="str">
        <f t="shared" si="258"/>
        <v/>
      </c>
      <c r="WXW83" s="248" t="str">
        <f t="shared" si="258"/>
        <v/>
      </c>
      <c r="WXX83" s="248" t="str">
        <f t="shared" si="258"/>
        <v/>
      </c>
      <c r="WXY83" s="248" t="str">
        <f t="shared" si="258"/>
        <v/>
      </c>
      <c r="WXZ83" s="248" t="str">
        <f t="shared" si="258"/>
        <v/>
      </c>
      <c r="WYA83" s="248" t="str">
        <f t="shared" si="258"/>
        <v/>
      </c>
      <c r="WYB83" s="248" t="str">
        <f t="shared" si="258"/>
        <v/>
      </c>
      <c r="WYC83" s="248" t="str">
        <f t="shared" si="258"/>
        <v/>
      </c>
      <c r="WYD83" s="248" t="str">
        <f t="shared" si="258"/>
        <v/>
      </c>
      <c r="WYE83" s="248" t="str">
        <f t="shared" si="258"/>
        <v/>
      </c>
      <c r="WYF83" s="248" t="str">
        <f t="shared" si="258"/>
        <v/>
      </c>
      <c r="WYG83" s="248" t="str">
        <f t="shared" si="258"/>
        <v/>
      </c>
      <c r="WYH83" s="248" t="str">
        <f t="shared" si="258"/>
        <v/>
      </c>
      <c r="WYI83" s="248" t="str">
        <f t="shared" si="258"/>
        <v/>
      </c>
      <c r="WYJ83" s="248" t="str">
        <f t="shared" si="258"/>
        <v/>
      </c>
      <c r="WYK83" s="248" t="str">
        <f t="shared" si="258"/>
        <v/>
      </c>
      <c r="WYL83" s="248" t="str">
        <f t="shared" si="258"/>
        <v/>
      </c>
      <c r="WYM83" s="248" t="str">
        <f t="shared" si="258"/>
        <v/>
      </c>
      <c r="WYN83" s="248" t="str">
        <f t="shared" si="258"/>
        <v/>
      </c>
      <c r="WYO83" s="248" t="str">
        <f t="shared" si="258"/>
        <v/>
      </c>
      <c r="WYP83" s="248" t="str">
        <f t="shared" si="258"/>
        <v/>
      </c>
      <c r="WYQ83" s="248" t="str">
        <f t="shared" si="258"/>
        <v/>
      </c>
      <c r="WYR83" s="248" t="str">
        <f t="shared" si="258"/>
        <v/>
      </c>
      <c r="WYS83" s="248" t="str">
        <f t="shared" si="258"/>
        <v/>
      </c>
      <c r="WYT83" s="248" t="str">
        <f t="shared" si="258"/>
        <v/>
      </c>
      <c r="WYU83" s="248" t="str">
        <f t="shared" si="258"/>
        <v/>
      </c>
      <c r="WYV83" s="248" t="str">
        <f t="shared" si="258"/>
        <v/>
      </c>
      <c r="WYW83" s="248" t="str">
        <f t="shared" si="258"/>
        <v/>
      </c>
      <c r="WYX83" s="248" t="str">
        <f t="shared" si="258"/>
        <v/>
      </c>
      <c r="WYY83" s="248" t="str">
        <f t="shared" ref="WYY83:XBJ83" si="259">UPPER(WYW83)</f>
        <v/>
      </c>
      <c r="WYZ83" s="248" t="str">
        <f t="shared" si="259"/>
        <v/>
      </c>
      <c r="WZA83" s="248" t="str">
        <f t="shared" si="259"/>
        <v/>
      </c>
      <c r="WZB83" s="248" t="str">
        <f t="shared" si="259"/>
        <v/>
      </c>
      <c r="WZC83" s="248" t="str">
        <f t="shared" si="259"/>
        <v/>
      </c>
      <c r="WZD83" s="248" t="str">
        <f t="shared" si="259"/>
        <v/>
      </c>
      <c r="WZE83" s="248" t="str">
        <f t="shared" si="259"/>
        <v/>
      </c>
      <c r="WZF83" s="248" t="str">
        <f t="shared" si="259"/>
        <v/>
      </c>
      <c r="WZG83" s="248" t="str">
        <f t="shared" si="259"/>
        <v/>
      </c>
      <c r="WZH83" s="248" t="str">
        <f t="shared" si="259"/>
        <v/>
      </c>
      <c r="WZI83" s="248" t="str">
        <f t="shared" si="259"/>
        <v/>
      </c>
      <c r="WZJ83" s="248" t="str">
        <f t="shared" si="259"/>
        <v/>
      </c>
      <c r="WZK83" s="248" t="str">
        <f t="shared" si="259"/>
        <v/>
      </c>
      <c r="WZL83" s="248" t="str">
        <f t="shared" si="259"/>
        <v/>
      </c>
      <c r="WZM83" s="248" t="str">
        <f t="shared" si="259"/>
        <v/>
      </c>
      <c r="WZN83" s="248" t="str">
        <f t="shared" si="259"/>
        <v/>
      </c>
      <c r="WZO83" s="248" t="str">
        <f t="shared" si="259"/>
        <v/>
      </c>
      <c r="WZP83" s="248" t="str">
        <f t="shared" si="259"/>
        <v/>
      </c>
      <c r="WZQ83" s="248" t="str">
        <f t="shared" si="259"/>
        <v/>
      </c>
      <c r="WZR83" s="248" t="str">
        <f t="shared" si="259"/>
        <v/>
      </c>
      <c r="WZS83" s="248" t="str">
        <f t="shared" si="259"/>
        <v/>
      </c>
      <c r="WZT83" s="248" t="str">
        <f t="shared" si="259"/>
        <v/>
      </c>
      <c r="WZU83" s="248" t="str">
        <f t="shared" si="259"/>
        <v/>
      </c>
      <c r="WZV83" s="248" t="str">
        <f t="shared" si="259"/>
        <v/>
      </c>
      <c r="WZW83" s="248" t="str">
        <f t="shared" si="259"/>
        <v/>
      </c>
      <c r="WZX83" s="248" t="str">
        <f t="shared" si="259"/>
        <v/>
      </c>
      <c r="WZY83" s="248" t="str">
        <f t="shared" si="259"/>
        <v/>
      </c>
      <c r="WZZ83" s="248" t="str">
        <f t="shared" si="259"/>
        <v/>
      </c>
      <c r="XAA83" s="248" t="str">
        <f t="shared" si="259"/>
        <v/>
      </c>
      <c r="XAB83" s="248" t="str">
        <f t="shared" si="259"/>
        <v/>
      </c>
      <c r="XAC83" s="248" t="str">
        <f t="shared" si="259"/>
        <v/>
      </c>
      <c r="XAD83" s="248" t="str">
        <f t="shared" si="259"/>
        <v/>
      </c>
      <c r="XAE83" s="248" t="str">
        <f t="shared" si="259"/>
        <v/>
      </c>
      <c r="XAF83" s="248" t="str">
        <f t="shared" si="259"/>
        <v/>
      </c>
      <c r="XAG83" s="248" t="str">
        <f t="shared" si="259"/>
        <v/>
      </c>
      <c r="XAH83" s="248" t="str">
        <f t="shared" si="259"/>
        <v/>
      </c>
      <c r="XAI83" s="248" t="str">
        <f t="shared" si="259"/>
        <v/>
      </c>
      <c r="XAJ83" s="248" t="str">
        <f t="shared" si="259"/>
        <v/>
      </c>
      <c r="XAK83" s="248" t="str">
        <f t="shared" si="259"/>
        <v/>
      </c>
      <c r="XAL83" s="248" t="str">
        <f t="shared" si="259"/>
        <v/>
      </c>
      <c r="XAM83" s="248" t="str">
        <f t="shared" si="259"/>
        <v/>
      </c>
      <c r="XAN83" s="248" t="str">
        <f t="shared" si="259"/>
        <v/>
      </c>
      <c r="XAO83" s="248" t="str">
        <f t="shared" si="259"/>
        <v/>
      </c>
      <c r="XAP83" s="248" t="str">
        <f t="shared" si="259"/>
        <v/>
      </c>
      <c r="XAQ83" s="248" t="str">
        <f t="shared" si="259"/>
        <v/>
      </c>
      <c r="XAR83" s="248" t="str">
        <f t="shared" si="259"/>
        <v/>
      </c>
      <c r="XAS83" s="248" t="str">
        <f t="shared" si="259"/>
        <v/>
      </c>
      <c r="XAT83" s="248" t="str">
        <f t="shared" si="259"/>
        <v/>
      </c>
      <c r="XAU83" s="248" t="str">
        <f t="shared" si="259"/>
        <v/>
      </c>
      <c r="XAV83" s="248" t="str">
        <f t="shared" si="259"/>
        <v/>
      </c>
      <c r="XAW83" s="248" t="str">
        <f t="shared" si="259"/>
        <v/>
      </c>
      <c r="XAX83" s="248" t="str">
        <f t="shared" si="259"/>
        <v/>
      </c>
      <c r="XAY83" s="248" t="str">
        <f t="shared" si="259"/>
        <v/>
      </c>
      <c r="XAZ83" s="248" t="str">
        <f t="shared" si="259"/>
        <v/>
      </c>
      <c r="XBA83" s="248" t="str">
        <f t="shared" si="259"/>
        <v/>
      </c>
      <c r="XBB83" s="248" t="str">
        <f t="shared" si="259"/>
        <v/>
      </c>
      <c r="XBC83" s="248" t="str">
        <f t="shared" si="259"/>
        <v/>
      </c>
      <c r="XBD83" s="248" t="str">
        <f t="shared" si="259"/>
        <v/>
      </c>
      <c r="XBE83" s="248" t="str">
        <f t="shared" si="259"/>
        <v/>
      </c>
      <c r="XBF83" s="248" t="str">
        <f t="shared" si="259"/>
        <v/>
      </c>
      <c r="XBG83" s="248" t="str">
        <f t="shared" si="259"/>
        <v/>
      </c>
      <c r="XBH83" s="248" t="str">
        <f t="shared" si="259"/>
        <v/>
      </c>
      <c r="XBI83" s="248" t="str">
        <f t="shared" si="259"/>
        <v/>
      </c>
      <c r="XBJ83" s="248" t="str">
        <f t="shared" si="259"/>
        <v/>
      </c>
      <c r="XBK83" s="248" t="str">
        <f t="shared" ref="XBK83:XDV83" si="260">UPPER(XBI83)</f>
        <v/>
      </c>
      <c r="XBL83" s="248" t="str">
        <f t="shared" si="260"/>
        <v/>
      </c>
      <c r="XBM83" s="248" t="str">
        <f t="shared" si="260"/>
        <v/>
      </c>
      <c r="XBN83" s="248" t="str">
        <f t="shared" si="260"/>
        <v/>
      </c>
      <c r="XBO83" s="248" t="str">
        <f t="shared" si="260"/>
        <v/>
      </c>
      <c r="XBP83" s="248" t="str">
        <f t="shared" si="260"/>
        <v/>
      </c>
      <c r="XBQ83" s="248" t="str">
        <f t="shared" si="260"/>
        <v/>
      </c>
      <c r="XBR83" s="248" t="str">
        <f t="shared" si="260"/>
        <v/>
      </c>
      <c r="XBS83" s="248" t="str">
        <f t="shared" si="260"/>
        <v/>
      </c>
      <c r="XBT83" s="248" t="str">
        <f t="shared" si="260"/>
        <v/>
      </c>
      <c r="XBU83" s="248" t="str">
        <f t="shared" si="260"/>
        <v/>
      </c>
      <c r="XBV83" s="248" t="str">
        <f t="shared" si="260"/>
        <v/>
      </c>
      <c r="XBW83" s="248" t="str">
        <f t="shared" si="260"/>
        <v/>
      </c>
      <c r="XBX83" s="248" t="str">
        <f t="shared" si="260"/>
        <v/>
      </c>
      <c r="XBY83" s="248" t="str">
        <f t="shared" si="260"/>
        <v/>
      </c>
      <c r="XBZ83" s="248" t="str">
        <f t="shared" si="260"/>
        <v/>
      </c>
      <c r="XCA83" s="248" t="str">
        <f t="shared" si="260"/>
        <v/>
      </c>
      <c r="XCB83" s="248" t="str">
        <f t="shared" si="260"/>
        <v/>
      </c>
      <c r="XCC83" s="248" t="str">
        <f t="shared" si="260"/>
        <v/>
      </c>
      <c r="XCD83" s="248" t="str">
        <f t="shared" si="260"/>
        <v/>
      </c>
      <c r="XCE83" s="248" t="str">
        <f t="shared" si="260"/>
        <v/>
      </c>
      <c r="XCF83" s="248" t="str">
        <f t="shared" si="260"/>
        <v/>
      </c>
      <c r="XCG83" s="248" t="str">
        <f t="shared" si="260"/>
        <v/>
      </c>
      <c r="XCH83" s="248" t="str">
        <f t="shared" si="260"/>
        <v/>
      </c>
      <c r="XCI83" s="248" t="str">
        <f t="shared" si="260"/>
        <v/>
      </c>
      <c r="XCJ83" s="248" t="str">
        <f t="shared" si="260"/>
        <v/>
      </c>
      <c r="XCK83" s="248" t="str">
        <f t="shared" si="260"/>
        <v/>
      </c>
      <c r="XCL83" s="248" t="str">
        <f t="shared" si="260"/>
        <v/>
      </c>
      <c r="XCM83" s="248" t="str">
        <f t="shared" si="260"/>
        <v/>
      </c>
      <c r="XCN83" s="248" t="str">
        <f t="shared" si="260"/>
        <v/>
      </c>
      <c r="XCO83" s="248" t="str">
        <f t="shared" si="260"/>
        <v/>
      </c>
      <c r="XCP83" s="248" t="str">
        <f t="shared" si="260"/>
        <v/>
      </c>
      <c r="XCQ83" s="248" t="str">
        <f t="shared" si="260"/>
        <v/>
      </c>
      <c r="XCR83" s="248" t="str">
        <f t="shared" si="260"/>
        <v/>
      </c>
      <c r="XCS83" s="248" t="str">
        <f t="shared" si="260"/>
        <v/>
      </c>
      <c r="XCT83" s="248" t="str">
        <f t="shared" si="260"/>
        <v/>
      </c>
      <c r="XCU83" s="248" t="str">
        <f t="shared" si="260"/>
        <v/>
      </c>
      <c r="XCV83" s="248" t="str">
        <f t="shared" si="260"/>
        <v/>
      </c>
      <c r="XCW83" s="248" t="str">
        <f t="shared" si="260"/>
        <v/>
      </c>
      <c r="XCX83" s="248" t="str">
        <f t="shared" si="260"/>
        <v/>
      </c>
      <c r="XCY83" s="248" t="str">
        <f t="shared" si="260"/>
        <v/>
      </c>
      <c r="XCZ83" s="248" t="str">
        <f t="shared" si="260"/>
        <v/>
      </c>
      <c r="XDA83" s="248" t="str">
        <f t="shared" si="260"/>
        <v/>
      </c>
      <c r="XDB83" s="248" t="str">
        <f t="shared" si="260"/>
        <v/>
      </c>
      <c r="XDC83" s="248" t="str">
        <f t="shared" si="260"/>
        <v/>
      </c>
      <c r="XDD83" s="248" t="str">
        <f t="shared" si="260"/>
        <v/>
      </c>
      <c r="XDE83" s="248" t="str">
        <f t="shared" si="260"/>
        <v/>
      </c>
      <c r="XDF83" s="248" t="str">
        <f t="shared" si="260"/>
        <v/>
      </c>
      <c r="XDG83" s="248" t="str">
        <f t="shared" si="260"/>
        <v/>
      </c>
      <c r="XDH83" s="248" t="str">
        <f t="shared" si="260"/>
        <v/>
      </c>
      <c r="XDI83" s="248" t="str">
        <f t="shared" si="260"/>
        <v/>
      </c>
      <c r="XDJ83" s="248" t="str">
        <f t="shared" si="260"/>
        <v/>
      </c>
      <c r="XDK83" s="248" t="str">
        <f t="shared" si="260"/>
        <v/>
      </c>
      <c r="XDL83" s="248" t="str">
        <f t="shared" si="260"/>
        <v/>
      </c>
      <c r="XDM83" s="248" t="str">
        <f t="shared" si="260"/>
        <v/>
      </c>
      <c r="XDN83" s="248" t="str">
        <f t="shared" si="260"/>
        <v/>
      </c>
      <c r="XDO83" s="248" t="str">
        <f t="shared" si="260"/>
        <v/>
      </c>
      <c r="XDP83" s="248" t="str">
        <f t="shared" si="260"/>
        <v/>
      </c>
      <c r="XDQ83" s="248" t="str">
        <f t="shared" si="260"/>
        <v/>
      </c>
      <c r="XDR83" s="248" t="str">
        <f t="shared" si="260"/>
        <v/>
      </c>
      <c r="XDS83" s="248" t="str">
        <f t="shared" si="260"/>
        <v/>
      </c>
      <c r="XDT83" s="248" t="str">
        <f t="shared" si="260"/>
        <v/>
      </c>
      <c r="XDU83" s="248" t="str">
        <f t="shared" si="260"/>
        <v/>
      </c>
      <c r="XDV83" s="248" t="str">
        <f t="shared" si="260"/>
        <v/>
      </c>
      <c r="XDW83" s="248" t="str">
        <f t="shared" ref="XDW83:XEP83" si="261">UPPER(XDU83)</f>
        <v/>
      </c>
      <c r="XDX83" s="248" t="str">
        <f t="shared" si="261"/>
        <v/>
      </c>
      <c r="XDY83" s="248" t="str">
        <f t="shared" si="261"/>
        <v/>
      </c>
      <c r="XDZ83" s="248" t="str">
        <f t="shared" si="261"/>
        <v/>
      </c>
      <c r="XEA83" s="248" t="str">
        <f t="shared" si="261"/>
        <v/>
      </c>
      <c r="XEB83" s="248" t="str">
        <f t="shared" si="261"/>
        <v/>
      </c>
      <c r="XEC83" s="248" t="str">
        <f t="shared" si="261"/>
        <v/>
      </c>
      <c r="XED83" s="248" t="str">
        <f t="shared" si="261"/>
        <v/>
      </c>
      <c r="XEE83" s="248" t="str">
        <f t="shared" si="261"/>
        <v/>
      </c>
      <c r="XEF83" s="248" t="str">
        <f t="shared" si="261"/>
        <v/>
      </c>
      <c r="XEG83" s="248" t="str">
        <f t="shared" si="261"/>
        <v/>
      </c>
      <c r="XEH83" s="248" t="str">
        <f t="shared" si="261"/>
        <v/>
      </c>
      <c r="XEI83" s="248" t="str">
        <f t="shared" si="261"/>
        <v/>
      </c>
      <c r="XEJ83" s="248" t="str">
        <f t="shared" si="261"/>
        <v/>
      </c>
      <c r="XEK83" s="248" t="str">
        <f t="shared" si="261"/>
        <v/>
      </c>
      <c r="XEL83" s="248" t="str">
        <f t="shared" si="261"/>
        <v/>
      </c>
      <c r="XEM83" s="248" t="str">
        <f t="shared" si="261"/>
        <v/>
      </c>
      <c r="XEN83" s="248" t="str">
        <f t="shared" si="261"/>
        <v/>
      </c>
      <c r="XEO83" s="248" t="str">
        <f t="shared" si="261"/>
        <v/>
      </c>
      <c r="XEP83" s="248" t="str">
        <f t="shared" si="261"/>
        <v/>
      </c>
    </row>
    <row r="84" spans="1:16370" ht="15" thickTop="1" thickBot="1" x14ac:dyDescent="0.35">
      <c r="A84" s="234"/>
      <c r="B84" s="234" t="s">
        <v>1062</v>
      </c>
      <c r="D84" s="234" t="s">
        <v>668</v>
      </c>
      <c r="E84" s="235"/>
      <c r="F84" s="235" t="str">
        <f t="shared" si="4"/>
        <v>-</v>
      </c>
      <c r="G84" s="235" t="str">
        <f t="shared" si="5"/>
        <v>-</v>
      </c>
      <c r="H84" s="235"/>
      <c r="I84" s="236"/>
      <c r="J84" s="236"/>
      <c r="K84" s="241" t="str">
        <f ca="1">IF(Table1192[[#This Row],[VALID]],Table1192[[#This Row],[VALID]]-TODAY(),"-")</f>
        <v>-</v>
      </c>
      <c r="L84" s="244"/>
      <c r="M84" s="238"/>
      <c r="N84" s="237"/>
      <c r="O84" s="237"/>
      <c r="P84" s="237"/>
      <c r="Q84" s="250"/>
      <c r="R84" s="238"/>
      <c r="S84" s="237"/>
      <c r="T84" s="237"/>
      <c r="U84" s="237"/>
      <c r="V84" s="250"/>
      <c r="W84" s="239"/>
      <c r="X84" s="237"/>
      <c r="Y84" s="242"/>
      <c r="Z84" s="251"/>
      <c r="AA84" s="243"/>
      <c r="AB84" s="243"/>
      <c r="AC84" s="243"/>
      <c r="AD84" s="243"/>
      <c r="AE84" s="243"/>
      <c r="AF84" s="243"/>
      <c r="AG84" s="243"/>
      <c r="AH84" s="243"/>
      <c r="AI84" s="243"/>
      <c r="AJ84" s="251"/>
    </row>
    <row r="85" spans="1:16370" ht="15" thickTop="1" thickBot="1" x14ac:dyDescent="0.35">
      <c r="A85" s="234"/>
      <c r="B85" s="234" t="s">
        <v>1062</v>
      </c>
      <c r="D85" s="234" t="s">
        <v>687</v>
      </c>
      <c r="E85" s="235"/>
      <c r="F85" s="235" t="str">
        <f t="shared" si="4"/>
        <v>-</v>
      </c>
      <c r="G85" s="235" t="str">
        <f t="shared" si="5"/>
        <v>-</v>
      </c>
      <c r="H85" s="235"/>
      <c r="I85" s="236"/>
      <c r="J85" s="236"/>
      <c r="K85" s="241" t="str">
        <f ca="1">IF(Table1192[[#This Row],[VALID]],Table1192[[#This Row],[VALID]]-TODAY(),"-")</f>
        <v>-</v>
      </c>
      <c r="L85" s="244"/>
      <c r="M85" s="238"/>
      <c r="N85" s="237"/>
      <c r="O85" s="237"/>
      <c r="P85" s="237"/>
      <c r="Q85" s="250"/>
      <c r="R85" s="238"/>
      <c r="S85" s="237"/>
      <c r="T85" s="237"/>
      <c r="U85" s="237"/>
      <c r="V85" s="250"/>
      <c r="W85" s="239"/>
      <c r="X85" s="237"/>
      <c r="Y85" s="242"/>
      <c r="Z85" s="251"/>
      <c r="AA85" s="243"/>
      <c r="AB85" s="243"/>
      <c r="AC85" s="243"/>
      <c r="AD85" s="243"/>
      <c r="AE85" s="243"/>
      <c r="AF85" s="243"/>
      <c r="AG85" s="243"/>
      <c r="AH85" s="243"/>
      <c r="AI85" s="243"/>
      <c r="AJ85" s="251"/>
    </row>
    <row r="86" spans="1:16370" ht="15" thickTop="1" thickBot="1" x14ac:dyDescent="0.35">
      <c r="A86" s="234"/>
      <c r="B86" s="234" t="s">
        <v>1062</v>
      </c>
      <c r="D86" s="234" t="s">
        <v>1177</v>
      </c>
      <c r="E86" s="235"/>
      <c r="F86" s="235" t="str">
        <f t="shared" si="4"/>
        <v>-</v>
      </c>
      <c r="G86" s="235" t="str">
        <f t="shared" si="5"/>
        <v>-</v>
      </c>
      <c r="H86" s="235"/>
      <c r="I86" s="236"/>
      <c r="J86" s="236"/>
      <c r="K86" s="241" t="str">
        <f ca="1">IF(Table1192[[#This Row],[VALID]],Table1192[[#This Row],[VALID]]-TODAY(),"-")</f>
        <v>-</v>
      </c>
      <c r="L86" s="244"/>
      <c r="M86" s="238"/>
      <c r="N86" s="237"/>
      <c r="O86" s="237"/>
      <c r="P86" s="237"/>
      <c r="Q86" s="250"/>
      <c r="R86" s="238"/>
      <c r="S86" s="237"/>
      <c r="T86" s="237"/>
      <c r="U86" s="237"/>
      <c r="V86" s="250"/>
      <c r="W86" s="239"/>
      <c r="X86" s="237"/>
      <c r="Y86" s="242"/>
      <c r="Z86" s="251"/>
      <c r="AA86" s="243"/>
      <c r="AB86" s="243"/>
      <c r="AC86" s="243"/>
      <c r="AD86" s="243"/>
      <c r="AE86" s="243"/>
      <c r="AF86" s="243"/>
      <c r="AG86" s="243"/>
      <c r="AH86" s="243"/>
      <c r="AI86" s="243"/>
      <c r="AJ86" s="251"/>
    </row>
    <row r="87" spans="1:16370" ht="15" thickTop="1" thickBot="1" x14ac:dyDescent="0.35">
      <c r="A87" s="234"/>
      <c r="B87" s="234" t="s">
        <v>1062</v>
      </c>
      <c r="D87" s="234" t="s">
        <v>695</v>
      </c>
      <c r="E87" s="235"/>
      <c r="F87" s="235" t="str">
        <f t="shared" si="4"/>
        <v>-</v>
      </c>
      <c r="G87" s="235" t="str">
        <f t="shared" si="5"/>
        <v>-</v>
      </c>
      <c r="H87" s="235"/>
      <c r="I87" s="236"/>
      <c r="J87" s="236"/>
      <c r="K87" s="241" t="str">
        <f ca="1">IF(Table1192[[#This Row],[VALID]],Table1192[[#This Row],[VALID]]-TODAY(),"-")</f>
        <v>-</v>
      </c>
      <c r="L87" s="244"/>
      <c r="M87" s="238"/>
      <c r="N87" s="237"/>
      <c r="O87" s="237"/>
      <c r="P87" s="237"/>
      <c r="Q87" s="250"/>
      <c r="R87" s="238"/>
      <c r="S87" s="237"/>
      <c r="T87" s="237"/>
      <c r="U87" s="237"/>
      <c r="V87" s="250"/>
      <c r="W87" s="239"/>
      <c r="X87" s="237"/>
      <c r="Y87" s="242"/>
      <c r="Z87" s="251"/>
      <c r="AA87" s="243"/>
      <c r="AB87" s="243"/>
      <c r="AC87" s="243"/>
      <c r="AD87" s="243"/>
      <c r="AE87" s="243"/>
      <c r="AF87" s="243"/>
      <c r="AG87" s="243"/>
      <c r="AH87" s="243"/>
      <c r="AI87" s="243"/>
      <c r="AJ87" s="251"/>
    </row>
    <row r="88" spans="1:16370" ht="15" thickTop="1" thickBot="1" x14ac:dyDescent="0.35">
      <c r="A88" s="234"/>
      <c r="B88" s="234" t="s">
        <v>1062</v>
      </c>
      <c r="D88" s="234" t="s">
        <v>696</v>
      </c>
      <c r="E88" s="235"/>
      <c r="F88" s="235" t="str">
        <f t="shared" si="4"/>
        <v>-</v>
      </c>
      <c r="G88" s="235" t="str">
        <f t="shared" si="5"/>
        <v>-</v>
      </c>
      <c r="H88" s="235"/>
      <c r="I88" s="236"/>
      <c r="J88" s="236"/>
      <c r="K88" s="241" t="str">
        <f ca="1">IF(Table1192[[#This Row],[VALID]],Table1192[[#This Row],[VALID]]-TODAY(),"-")</f>
        <v>-</v>
      </c>
      <c r="L88" s="244"/>
      <c r="M88" s="238"/>
      <c r="N88" s="237"/>
      <c r="O88" s="237"/>
      <c r="P88" s="237"/>
      <c r="Q88" s="250"/>
      <c r="R88" s="238"/>
      <c r="S88" s="237"/>
      <c r="T88" s="237"/>
      <c r="U88" s="237"/>
      <c r="V88" s="250"/>
      <c r="W88" s="239"/>
      <c r="X88" s="237"/>
      <c r="Y88" s="242"/>
      <c r="Z88" s="251"/>
      <c r="AA88" s="243"/>
      <c r="AB88" s="243"/>
      <c r="AC88" s="243"/>
      <c r="AD88" s="243"/>
      <c r="AE88" s="243"/>
      <c r="AF88" s="243"/>
      <c r="AG88" s="243"/>
      <c r="AH88" s="243"/>
      <c r="AI88" s="243"/>
      <c r="AJ88" s="251"/>
    </row>
    <row r="89" spans="1:16370" ht="15" thickTop="1" thickBot="1" x14ac:dyDescent="0.35">
      <c r="A89" s="234"/>
      <c r="B89" s="234" t="s">
        <v>1062</v>
      </c>
      <c r="D89" s="234" t="s">
        <v>698</v>
      </c>
      <c r="E89" s="235"/>
      <c r="F89" s="235" t="str">
        <f t="shared" si="4"/>
        <v>-</v>
      </c>
      <c r="G89" s="235" t="str">
        <f t="shared" si="5"/>
        <v>-</v>
      </c>
      <c r="H89" s="235"/>
      <c r="I89" s="236"/>
      <c r="J89" s="236"/>
      <c r="K89" s="241" t="str">
        <f ca="1">IF(Table1192[[#This Row],[VALID]],Table1192[[#This Row],[VALID]]-TODAY(),"-")</f>
        <v>-</v>
      </c>
      <c r="L89" s="244"/>
      <c r="M89" s="238"/>
      <c r="N89" s="237"/>
      <c r="O89" s="237"/>
      <c r="P89" s="237"/>
      <c r="Q89" s="250"/>
      <c r="R89" s="238"/>
      <c r="S89" s="237"/>
      <c r="T89" s="237"/>
      <c r="U89" s="237"/>
      <c r="V89" s="250"/>
      <c r="W89" s="239"/>
      <c r="X89" s="237"/>
      <c r="Y89" s="242"/>
      <c r="Z89" s="251"/>
      <c r="AA89" s="243"/>
      <c r="AB89" s="243"/>
      <c r="AC89" s="243"/>
      <c r="AD89" s="243"/>
      <c r="AE89" s="243"/>
      <c r="AF89" s="243"/>
      <c r="AG89" s="243"/>
      <c r="AH89" s="243"/>
      <c r="AI89" s="243"/>
      <c r="AJ89" s="251"/>
    </row>
    <row r="90" spans="1:16370" ht="15" thickTop="1" thickBot="1" x14ac:dyDescent="0.35">
      <c r="A90" s="234"/>
      <c r="B90" s="234" t="s">
        <v>1062</v>
      </c>
      <c r="D90" s="234" t="s">
        <v>1108</v>
      </c>
      <c r="E90" s="235"/>
      <c r="F90" s="235" t="str">
        <f t="shared" si="4"/>
        <v>-</v>
      </c>
      <c r="G90" s="235" t="str">
        <f t="shared" si="5"/>
        <v>-</v>
      </c>
      <c r="H90" s="235"/>
      <c r="I90" s="236"/>
      <c r="J90" s="236"/>
      <c r="K90" s="241" t="str">
        <f ca="1">IF(Table1192[[#This Row],[VALID]],Table1192[[#This Row],[VALID]]-TODAY(),"-")</f>
        <v>-</v>
      </c>
      <c r="L90" s="244"/>
      <c r="M90" s="238"/>
      <c r="N90" s="237"/>
      <c r="O90" s="237"/>
      <c r="P90" s="237"/>
      <c r="Q90" s="250"/>
      <c r="R90" s="238"/>
      <c r="S90" s="237"/>
      <c r="T90" s="237"/>
      <c r="U90" s="237"/>
      <c r="V90" s="250"/>
      <c r="W90" s="239"/>
      <c r="X90" s="237"/>
      <c r="Y90" s="242"/>
      <c r="Z90" s="251"/>
      <c r="AA90" s="243"/>
      <c r="AB90" s="243"/>
      <c r="AC90" s="243"/>
      <c r="AD90" s="243"/>
      <c r="AE90" s="243"/>
      <c r="AF90" s="243"/>
      <c r="AG90" s="243"/>
      <c r="AH90" s="243"/>
      <c r="AI90" s="243"/>
      <c r="AJ90" s="251"/>
    </row>
    <row r="91" spans="1:16370" ht="15" thickTop="1" thickBot="1" x14ac:dyDescent="0.35">
      <c r="A91" s="234"/>
      <c r="B91" s="234" t="s">
        <v>1062</v>
      </c>
      <c r="D91" s="234" t="s">
        <v>700</v>
      </c>
      <c r="E91" s="235"/>
      <c r="F91" s="235" t="str">
        <f t="shared" si="4"/>
        <v>-</v>
      </c>
      <c r="G91" s="235" t="str">
        <f t="shared" si="5"/>
        <v>-</v>
      </c>
      <c r="H91" s="235"/>
      <c r="I91" s="236"/>
      <c r="J91" s="236"/>
      <c r="K91" s="241" t="str">
        <f ca="1">IF(Table1192[[#This Row],[VALID]],Table1192[[#This Row],[VALID]]-TODAY(),"-")</f>
        <v>-</v>
      </c>
      <c r="L91" s="244"/>
      <c r="M91" s="238"/>
      <c r="N91" s="237"/>
      <c r="O91" s="237"/>
      <c r="P91" s="237"/>
      <c r="Q91" s="250"/>
      <c r="R91" s="238"/>
      <c r="S91" s="237"/>
      <c r="T91" s="237"/>
      <c r="U91" s="237"/>
      <c r="V91" s="250"/>
      <c r="W91" s="239"/>
      <c r="X91" s="237"/>
      <c r="Y91" s="242"/>
      <c r="Z91" s="251"/>
      <c r="AA91" s="243"/>
      <c r="AB91" s="243"/>
      <c r="AC91" s="243"/>
      <c r="AD91" s="243"/>
      <c r="AE91" s="243"/>
      <c r="AF91" s="243"/>
      <c r="AG91" s="243"/>
      <c r="AH91" s="243"/>
      <c r="AI91" s="243"/>
      <c r="AJ91" s="251"/>
    </row>
    <row r="92" spans="1:16370" ht="15" thickTop="1" thickBot="1" x14ac:dyDescent="0.35">
      <c r="A92" s="234"/>
      <c r="B92" s="234" t="s">
        <v>1062</v>
      </c>
      <c r="D92" s="234" t="s">
        <v>1178</v>
      </c>
      <c r="E92" s="235"/>
      <c r="F92" s="235" t="str">
        <f t="shared" si="4"/>
        <v>-</v>
      </c>
      <c r="G92" s="235" t="str">
        <f t="shared" si="5"/>
        <v>-</v>
      </c>
      <c r="H92" s="235"/>
      <c r="I92" s="236"/>
      <c r="J92" s="236"/>
      <c r="K92" s="241" t="str">
        <f ca="1">IF(Table1192[[#This Row],[VALID]],Table1192[[#This Row],[VALID]]-TODAY(),"-")</f>
        <v>-</v>
      </c>
      <c r="L92" s="244"/>
      <c r="M92" s="238"/>
      <c r="N92" s="237"/>
      <c r="O92" s="237"/>
      <c r="P92" s="237"/>
      <c r="Q92" s="250"/>
      <c r="R92" s="238"/>
      <c r="S92" s="237"/>
      <c r="T92" s="237"/>
      <c r="U92" s="237"/>
      <c r="V92" s="250"/>
      <c r="W92" s="239"/>
      <c r="X92" s="237"/>
      <c r="Y92" s="242"/>
      <c r="Z92" s="251"/>
      <c r="AA92" s="243"/>
      <c r="AB92" s="243"/>
      <c r="AC92" s="243"/>
      <c r="AD92" s="243"/>
      <c r="AE92" s="243"/>
      <c r="AF92" s="243"/>
      <c r="AG92" s="243"/>
      <c r="AH92" s="243"/>
      <c r="AI92" s="776"/>
      <c r="AJ92" s="251"/>
    </row>
    <row r="93" spans="1:16370" ht="15" thickTop="1" thickBot="1" x14ac:dyDescent="0.35">
      <c r="A93" s="234"/>
      <c r="B93" s="234" t="s">
        <v>1062</v>
      </c>
      <c r="D93" s="234" t="s">
        <v>704</v>
      </c>
      <c r="E93" s="235"/>
      <c r="F93" s="235" t="str">
        <f t="shared" si="4"/>
        <v>-</v>
      </c>
      <c r="G93" s="235" t="str">
        <f t="shared" si="5"/>
        <v>-</v>
      </c>
      <c r="H93" s="235"/>
      <c r="I93" s="236"/>
      <c r="J93" s="236"/>
      <c r="K93" s="241" t="str">
        <f ca="1">IF(Table1192[[#This Row],[VALID]],Table1192[[#This Row],[VALID]]-TODAY(),"-")</f>
        <v>-</v>
      </c>
      <c r="L93" s="244"/>
      <c r="M93" s="238"/>
      <c r="N93" s="237"/>
      <c r="O93" s="237"/>
      <c r="P93" s="237"/>
      <c r="Q93" s="250"/>
      <c r="R93" s="238"/>
      <c r="S93" s="237"/>
      <c r="T93" s="237"/>
      <c r="U93" s="237"/>
      <c r="V93" s="250"/>
      <c r="W93" s="239"/>
      <c r="X93" s="237"/>
      <c r="Y93" s="242"/>
      <c r="Z93" s="251"/>
      <c r="AA93" s="243"/>
      <c r="AB93" s="243"/>
      <c r="AC93" s="243"/>
      <c r="AD93" s="243"/>
      <c r="AE93" s="243"/>
      <c r="AF93" s="243"/>
      <c r="AG93" s="243"/>
      <c r="AH93" s="243"/>
      <c r="AI93" s="243"/>
      <c r="AJ93" s="251"/>
    </row>
    <row r="94" spans="1:16370" ht="15" thickTop="1" thickBot="1" x14ac:dyDescent="0.35">
      <c r="A94" s="234"/>
      <c r="B94" s="234" t="s">
        <v>1062</v>
      </c>
      <c r="D94" s="234" t="s">
        <v>1179</v>
      </c>
      <c r="E94" s="235"/>
      <c r="F94" s="235" t="str">
        <f t="shared" si="4"/>
        <v>-</v>
      </c>
      <c r="G94" s="235" t="str">
        <f t="shared" si="5"/>
        <v>-</v>
      </c>
      <c r="H94" s="235"/>
      <c r="I94" s="236"/>
      <c r="J94" s="236"/>
      <c r="K94" s="241" t="str">
        <f ca="1">IF(Table1192[[#This Row],[VALID]],Table1192[[#This Row],[VALID]]-TODAY(),"-")</f>
        <v>-</v>
      </c>
      <c r="L94" s="244"/>
      <c r="M94" s="238"/>
      <c r="N94" s="237"/>
      <c r="O94" s="237"/>
      <c r="P94" s="237"/>
      <c r="Q94" s="250"/>
      <c r="R94" s="238"/>
      <c r="S94" s="237"/>
      <c r="T94" s="237"/>
      <c r="U94" s="237"/>
      <c r="V94" s="250"/>
      <c r="W94" s="239"/>
      <c r="X94" s="237"/>
      <c r="Y94" s="242"/>
      <c r="Z94" s="251"/>
      <c r="AA94" s="243"/>
      <c r="AB94" s="243"/>
      <c r="AC94" s="243"/>
      <c r="AD94" s="243"/>
      <c r="AE94" s="243"/>
      <c r="AF94" s="243"/>
      <c r="AG94" s="243"/>
      <c r="AH94" s="243"/>
      <c r="AI94" s="243"/>
      <c r="AJ94" s="251"/>
    </row>
    <row r="95" spans="1:16370" ht="15" thickTop="1" thickBot="1" x14ac:dyDescent="0.35">
      <c r="A95" s="234"/>
      <c r="B95" s="234" t="s">
        <v>1062</v>
      </c>
      <c r="D95" s="234" t="s">
        <v>718</v>
      </c>
      <c r="E95" s="235"/>
      <c r="F95" s="235" t="str">
        <f t="shared" si="4"/>
        <v>-</v>
      </c>
      <c r="G95" s="235" t="str">
        <f t="shared" si="5"/>
        <v>-</v>
      </c>
      <c r="H95" s="235"/>
      <c r="I95" s="236"/>
      <c r="J95" s="236"/>
      <c r="K95" s="241" t="str">
        <f ca="1">IF(Table1192[[#This Row],[VALID]],Table1192[[#This Row],[VALID]]-TODAY(),"-")</f>
        <v>-</v>
      </c>
      <c r="L95" s="244"/>
      <c r="M95" s="238"/>
      <c r="N95" s="237"/>
      <c r="O95" s="237"/>
      <c r="P95" s="237"/>
      <c r="Q95" s="250"/>
      <c r="R95" s="238"/>
      <c r="S95" s="237"/>
      <c r="T95" s="237"/>
      <c r="U95" s="237"/>
      <c r="V95" s="250"/>
      <c r="W95" s="239"/>
      <c r="X95" s="237"/>
      <c r="Y95" s="242"/>
      <c r="Z95" s="251"/>
      <c r="AA95" s="243"/>
      <c r="AB95" s="243"/>
      <c r="AC95" s="243"/>
      <c r="AD95" s="243"/>
      <c r="AE95" s="243"/>
      <c r="AF95" s="243"/>
      <c r="AG95" s="243"/>
      <c r="AH95" s="243"/>
      <c r="AI95" s="243"/>
      <c r="AJ95" s="251"/>
    </row>
    <row r="96" spans="1:16370" ht="15" thickTop="1" thickBot="1" x14ac:dyDescent="0.35">
      <c r="A96" s="234"/>
      <c r="B96" s="234" t="s">
        <v>1062</v>
      </c>
      <c r="D96" s="234" t="s">
        <v>729</v>
      </c>
      <c r="E96" s="235"/>
      <c r="F96" s="235" t="str">
        <f t="shared" si="4"/>
        <v>-</v>
      </c>
      <c r="G96" s="235" t="str">
        <f t="shared" si="5"/>
        <v>-</v>
      </c>
      <c r="H96" s="235"/>
      <c r="I96" s="236"/>
      <c r="J96" s="236"/>
      <c r="K96" s="241" t="str">
        <f ca="1">IF(Table1192[[#This Row],[VALID]],Table1192[[#This Row],[VALID]]-TODAY(),"-")</f>
        <v>-</v>
      </c>
      <c r="L96" s="244"/>
      <c r="M96" s="238"/>
      <c r="N96" s="237"/>
      <c r="O96" s="237"/>
      <c r="P96" s="237"/>
      <c r="Q96" s="250"/>
      <c r="R96" s="238"/>
      <c r="S96" s="237"/>
      <c r="T96" s="237"/>
      <c r="U96" s="237"/>
      <c r="V96" s="250"/>
      <c r="W96" s="239"/>
      <c r="X96" s="237"/>
      <c r="Y96" s="242"/>
      <c r="Z96" s="251"/>
      <c r="AA96" s="243"/>
      <c r="AB96" s="243"/>
      <c r="AC96" s="243"/>
      <c r="AD96" s="243"/>
      <c r="AE96" s="243"/>
      <c r="AF96" s="243"/>
      <c r="AG96" s="243"/>
      <c r="AH96" s="243"/>
      <c r="AI96" s="243"/>
      <c r="AJ96" s="251"/>
    </row>
    <row r="97" spans="1:36" ht="15" thickTop="1" thickBot="1" x14ac:dyDescent="0.35">
      <c r="A97" s="234"/>
      <c r="B97" s="234" t="s">
        <v>1062</v>
      </c>
      <c r="D97" s="234" t="s">
        <v>1180</v>
      </c>
      <c r="E97" s="235"/>
      <c r="F97" s="235" t="str">
        <f t="shared" si="4"/>
        <v>-</v>
      </c>
      <c r="G97" s="235" t="str">
        <f t="shared" si="5"/>
        <v>-</v>
      </c>
      <c r="H97" s="235"/>
      <c r="I97" s="236"/>
      <c r="J97" s="236"/>
      <c r="K97" s="241" t="str">
        <f ca="1">IF(Table1192[[#This Row],[VALID]],Table1192[[#This Row],[VALID]]-TODAY(),"-")</f>
        <v>-</v>
      </c>
      <c r="L97" s="244"/>
      <c r="M97" s="238"/>
      <c r="N97" s="237"/>
      <c r="O97" s="237"/>
      <c r="P97" s="237"/>
      <c r="Q97" s="250"/>
      <c r="R97" s="238"/>
      <c r="S97" s="237"/>
      <c r="T97" s="237"/>
      <c r="U97" s="237"/>
      <c r="V97" s="250"/>
      <c r="W97" s="239"/>
      <c r="X97" s="237"/>
      <c r="Y97" s="242"/>
      <c r="Z97" s="251"/>
      <c r="AA97" s="243"/>
      <c r="AB97" s="243"/>
      <c r="AC97" s="243"/>
      <c r="AD97" s="243"/>
      <c r="AE97" s="243"/>
      <c r="AF97" s="243"/>
      <c r="AG97" s="243"/>
      <c r="AH97" s="243"/>
      <c r="AI97" s="243"/>
      <c r="AJ97" s="251"/>
    </row>
    <row r="98" spans="1:36" ht="15" thickTop="1" thickBot="1" x14ac:dyDescent="0.35">
      <c r="A98" s="234"/>
      <c r="B98" s="234" t="s">
        <v>1062</v>
      </c>
      <c r="D98" s="234" t="s">
        <v>751</v>
      </c>
      <c r="E98" s="235"/>
      <c r="F98" s="235" t="str">
        <f t="shared" si="4"/>
        <v>-</v>
      </c>
      <c r="G98" s="235" t="str">
        <f t="shared" si="5"/>
        <v>-</v>
      </c>
      <c r="H98" s="235"/>
      <c r="I98" s="236"/>
      <c r="J98" s="236"/>
      <c r="K98" s="241" t="str">
        <f ca="1">IF(Table1192[[#This Row],[VALID]],Table1192[[#This Row],[VALID]]-TODAY(),"-")</f>
        <v>-</v>
      </c>
      <c r="L98" s="244"/>
      <c r="M98" s="238"/>
      <c r="N98" s="237"/>
      <c r="O98" s="237"/>
      <c r="P98" s="237"/>
      <c r="Q98" s="250"/>
      <c r="R98" s="238"/>
      <c r="S98" s="237"/>
      <c r="T98" s="237"/>
      <c r="U98" s="237"/>
      <c r="V98" s="250"/>
      <c r="W98" s="239"/>
      <c r="X98" s="237"/>
      <c r="Y98" s="242"/>
      <c r="Z98" s="251"/>
      <c r="AA98" s="243"/>
      <c r="AB98" s="243"/>
      <c r="AC98" s="243"/>
      <c r="AD98" s="243"/>
      <c r="AE98" s="243"/>
      <c r="AF98" s="243"/>
      <c r="AG98" s="243"/>
      <c r="AH98" s="243"/>
      <c r="AI98" s="243"/>
      <c r="AJ98" s="251"/>
    </row>
    <row r="99" spans="1:36" ht="15" thickTop="1" thickBot="1" x14ac:dyDescent="0.35">
      <c r="A99" s="234"/>
      <c r="B99" s="234" t="s">
        <v>1062</v>
      </c>
      <c r="D99" s="234" t="s">
        <v>754</v>
      </c>
      <c r="E99" s="235"/>
      <c r="F99" s="235" t="str">
        <f t="shared" si="4"/>
        <v>-</v>
      </c>
      <c r="G99" s="235" t="str">
        <f t="shared" si="5"/>
        <v>-</v>
      </c>
      <c r="H99" s="235"/>
      <c r="I99" s="236"/>
      <c r="J99" s="236"/>
      <c r="K99" s="241" t="str">
        <f ca="1">IF(Table1192[[#This Row],[VALID]],Table1192[[#This Row],[VALID]]-TODAY(),"-")</f>
        <v>-</v>
      </c>
      <c r="L99" s="244"/>
      <c r="M99" s="238"/>
      <c r="N99" s="237"/>
      <c r="O99" s="237"/>
      <c r="P99" s="237"/>
      <c r="Q99" s="250"/>
      <c r="R99" s="238"/>
      <c r="S99" s="237"/>
      <c r="T99" s="237"/>
      <c r="U99" s="237"/>
      <c r="V99" s="250"/>
      <c r="W99" s="239"/>
      <c r="X99" s="237"/>
      <c r="Y99" s="242"/>
      <c r="Z99" s="251"/>
      <c r="AA99" s="243"/>
      <c r="AB99" s="243"/>
      <c r="AC99" s="243"/>
      <c r="AD99" s="243"/>
      <c r="AE99" s="243"/>
      <c r="AF99" s="243"/>
      <c r="AG99" s="243"/>
      <c r="AH99" s="243"/>
      <c r="AI99" s="243"/>
      <c r="AJ99" s="251"/>
    </row>
    <row r="100" spans="1:36" ht="15" thickTop="1" thickBot="1" x14ac:dyDescent="0.35">
      <c r="A100" s="234"/>
      <c r="B100" s="234" t="s">
        <v>1062</v>
      </c>
      <c r="D100" s="234" t="s">
        <v>755</v>
      </c>
      <c r="E100" s="235"/>
      <c r="F100" s="235" t="str">
        <f t="shared" si="4"/>
        <v>-</v>
      </c>
      <c r="G100" s="235" t="str">
        <f t="shared" si="5"/>
        <v>-</v>
      </c>
      <c r="H100" s="235"/>
      <c r="I100" s="236"/>
      <c r="J100" s="236"/>
      <c r="K100" s="241" t="str">
        <f ca="1">IF(Table1192[[#This Row],[VALID]],Table1192[[#This Row],[VALID]]-TODAY(),"-")</f>
        <v>-</v>
      </c>
      <c r="L100" s="244"/>
      <c r="M100" s="238"/>
      <c r="N100" s="237"/>
      <c r="O100" s="237"/>
      <c r="P100" s="237"/>
      <c r="Q100" s="250"/>
      <c r="R100" s="238"/>
      <c r="S100" s="237"/>
      <c r="T100" s="237"/>
      <c r="U100" s="237"/>
      <c r="V100" s="250"/>
      <c r="W100" s="239"/>
      <c r="X100" s="237"/>
      <c r="Y100" s="242"/>
      <c r="Z100" s="251"/>
      <c r="AA100" s="243"/>
      <c r="AB100" s="243"/>
      <c r="AC100" s="243"/>
      <c r="AD100" s="243"/>
      <c r="AE100" s="243"/>
      <c r="AF100" s="243"/>
      <c r="AG100" s="243"/>
      <c r="AH100" s="243"/>
      <c r="AI100" s="243"/>
      <c r="AJ100" s="251"/>
    </row>
    <row r="101" spans="1:36" ht="15" thickTop="1" thickBot="1" x14ac:dyDescent="0.35">
      <c r="A101" s="234"/>
      <c r="B101" s="234" t="s">
        <v>1062</v>
      </c>
      <c r="D101" s="234" t="s">
        <v>756</v>
      </c>
      <c r="E101" s="235"/>
      <c r="F101" s="235" t="str">
        <f t="shared" si="4"/>
        <v>-</v>
      </c>
      <c r="G101" s="235" t="str">
        <f t="shared" si="5"/>
        <v>-</v>
      </c>
      <c r="H101" s="235"/>
      <c r="I101" s="236"/>
      <c r="J101" s="236"/>
      <c r="K101" s="241" t="str">
        <f ca="1">IF(Table1192[[#This Row],[VALID]],Table1192[[#This Row],[VALID]]-TODAY(),"-")</f>
        <v>-</v>
      </c>
      <c r="L101" s="244"/>
      <c r="M101" s="238"/>
      <c r="N101" s="237"/>
      <c r="O101" s="237"/>
      <c r="P101" s="237"/>
      <c r="Q101" s="250"/>
      <c r="R101" s="238"/>
      <c r="S101" s="237"/>
      <c r="T101" s="237"/>
      <c r="U101" s="237"/>
      <c r="V101" s="250"/>
      <c r="W101" s="239"/>
      <c r="X101" s="237"/>
      <c r="Y101" s="242"/>
      <c r="Z101" s="251"/>
      <c r="AA101" s="243"/>
      <c r="AB101" s="243"/>
      <c r="AC101" s="243"/>
      <c r="AD101" s="243"/>
      <c r="AE101" s="243"/>
      <c r="AF101" s="243"/>
      <c r="AG101" s="243"/>
      <c r="AH101" s="243"/>
      <c r="AI101" s="243"/>
      <c r="AJ101" s="251"/>
    </row>
    <row r="102" spans="1:36" ht="15" thickTop="1" thickBot="1" x14ac:dyDescent="0.35">
      <c r="A102" s="234"/>
      <c r="B102" s="234" t="s">
        <v>1062</v>
      </c>
      <c r="D102" s="234" t="s">
        <v>757</v>
      </c>
      <c r="E102" s="235"/>
      <c r="F102" s="235" t="str">
        <f t="shared" si="4"/>
        <v>-</v>
      </c>
      <c r="G102" s="235" t="str">
        <f t="shared" si="5"/>
        <v>-</v>
      </c>
      <c r="H102" s="235"/>
      <c r="I102" s="236"/>
      <c r="J102" s="236"/>
      <c r="K102" s="241" t="str">
        <f ca="1">IF(Table1192[[#This Row],[VALID]],Table1192[[#This Row],[VALID]]-TODAY(),"-")</f>
        <v>-</v>
      </c>
      <c r="L102" s="244"/>
      <c r="M102" s="238"/>
      <c r="N102" s="237"/>
      <c r="O102" s="237"/>
      <c r="P102" s="237"/>
      <c r="Q102" s="250"/>
      <c r="R102" s="238"/>
      <c r="S102" s="237"/>
      <c r="T102" s="237"/>
      <c r="U102" s="237"/>
      <c r="V102" s="250"/>
      <c r="W102" s="239"/>
      <c r="X102" s="237"/>
      <c r="Y102" s="242"/>
      <c r="Z102" s="251"/>
      <c r="AA102" s="243"/>
      <c r="AB102" s="243"/>
      <c r="AC102" s="243"/>
      <c r="AD102" s="243"/>
      <c r="AE102" s="243"/>
      <c r="AF102" s="243"/>
      <c r="AG102" s="243"/>
      <c r="AH102" s="243"/>
      <c r="AI102" s="243"/>
      <c r="AJ102" s="251"/>
    </row>
    <row r="103" spans="1:36" ht="15" thickTop="1" thickBot="1" x14ac:dyDescent="0.35">
      <c r="A103" s="234"/>
      <c r="B103" s="234" t="s">
        <v>1062</v>
      </c>
      <c r="D103" s="234" t="s">
        <v>758</v>
      </c>
      <c r="E103" s="235"/>
      <c r="F103" s="235" t="str">
        <f t="shared" si="4"/>
        <v>-</v>
      </c>
      <c r="G103" s="235" t="str">
        <f t="shared" si="5"/>
        <v>-</v>
      </c>
      <c r="H103" s="235"/>
      <c r="I103" s="236"/>
      <c r="J103" s="236"/>
      <c r="K103" s="241" t="str">
        <f ca="1">IF(Table1192[[#This Row],[VALID]],Table1192[[#This Row],[VALID]]-TODAY(),"-")</f>
        <v>-</v>
      </c>
      <c r="L103" s="244"/>
      <c r="M103" s="238"/>
      <c r="N103" s="237"/>
      <c r="O103" s="237"/>
      <c r="P103" s="237"/>
      <c r="Q103" s="250"/>
      <c r="R103" s="238"/>
      <c r="S103" s="237"/>
      <c r="T103" s="237"/>
      <c r="U103" s="237"/>
      <c r="V103" s="250"/>
      <c r="W103" s="239"/>
      <c r="X103" s="237"/>
      <c r="Y103" s="242"/>
      <c r="Z103" s="251"/>
      <c r="AA103" s="243"/>
      <c r="AB103" s="243"/>
      <c r="AC103" s="243"/>
      <c r="AD103" s="243"/>
      <c r="AE103" s="243"/>
      <c r="AF103" s="243"/>
      <c r="AG103" s="243"/>
      <c r="AH103" s="243"/>
      <c r="AI103" s="243"/>
      <c r="AJ103" s="251"/>
    </row>
    <row r="104" spans="1:36" ht="15" thickTop="1" thickBot="1" x14ac:dyDescent="0.35">
      <c r="A104" s="234"/>
      <c r="B104" s="234" t="s">
        <v>1062</v>
      </c>
      <c r="D104" s="234" t="s">
        <v>759</v>
      </c>
      <c r="E104" s="235"/>
      <c r="F104" s="235" t="str">
        <f t="shared" si="4"/>
        <v>-</v>
      </c>
      <c r="G104" s="235" t="str">
        <f t="shared" si="5"/>
        <v>-</v>
      </c>
      <c r="H104" s="235"/>
      <c r="I104" s="236"/>
      <c r="J104" s="236"/>
      <c r="K104" s="241" t="str">
        <f ca="1">IF(Table1192[[#This Row],[VALID]],Table1192[[#This Row],[VALID]]-TODAY(),"-")</f>
        <v>-</v>
      </c>
      <c r="L104" s="244"/>
      <c r="M104" s="238"/>
      <c r="N104" s="237"/>
      <c r="O104" s="237"/>
      <c r="P104" s="237"/>
      <c r="Q104" s="250"/>
      <c r="R104" s="238"/>
      <c r="S104" s="237"/>
      <c r="T104" s="237"/>
      <c r="U104" s="237"/>
      <c r="V104" s="250"/>
      <c r="W104" s="239"/>
      <c r="X104" s="237"/>
      <c r="Y104" s="242"/>
      <c r="Z104" s="251"/>
      <c r="AA104" s="243"/>
      <c r="AB104" s="243"/>
      <c r="AC104" s="243"/>
      <c r="AD104" s="243"/>
      <c r="AE104" s="243"/>
      <c r="AF104" s="243"/>
      <c r="AG104" s="243"/>
      <c r="AH104" s="243"/>
      <c r="AI104" s="243"/>
      <c r="AJ104" s="251"/>
    </row>
    <row r="105" spans="1:36" ht="15" thickTop="1" thickBot="1" x14ac:dyDescent="0.35">
      <c r="A105" s="234"/>
      <c r="B105" s="234" t="s">
        <v>1062</v>
      </c>
      <c r="D105" s="234" t="s">
        <v>1181</v>
      </c>
      <c r="E105" s="235"/>
      <c r="F105" s="235" t="str">
        <f t="shared" si="4"/>
        <v>-</v>
      </c>
      <c r="G105" s="235" t="str">
        <f t="shared" si="5"/>
        <v>-</v>
      </c>
      <c r="H105" s="235"/>
      <c r="I105" s="236"/>
      <c r="J105" s="236"/>
      <c r="K105" s="241" t="str">
        <f ca="1">IF(Table1192[[#This Row],[VALID]],Table1192[[#This Row],[VALID]]-TODAY(),"-")</f>
        <v>-</v>
      </c>
      <c r="L105" s="244"/>
      <c r="M105" s="238"/>
      <c r="N105" s="237"/>
      <c r="O105" s="237"/>
      <c r="P105" s="237"/>
      <c r="Q105" s="250"/>
      <c r="R105" s="238"/>
      <c r="S105" s="237"/>
      <c r="T105" s="237"/>
      <c r="U105" s="237"/>
      <c r="V105" s="250"/>
      <c r="W105" s="239"/>
      <c r="X105" s="237"/>
      <c r="Y105" s="242"/>
      <c r="Z105" s="251"/>
      <c r="AA105" s="243"/>
      <c r="AB105" s="243"/>
      <c r="AC105" s="243"/>
      <c r="AD105" s="243"/>
      <c r="AE105" s="243"/>
      <c r="AF105" s="243"/>
      <c r="AG105" s="243"/>
      <c r="AH105" s="243"/>
      <c r="AI105" s="243"/>
      <c r="AJ105" s="251"/>
    </row>
    <row r="106" spans="1:36" ht="15" thickTop="1" thickBot="1" x14ac:dyDescent="0.35">
      <c r="A106" s="234"/>
      <c r="B106" s="234" t="s">
        <v>1062</v>
      </c>
      <c r="D106" s="234" t="s">
        <v>1182</v>
      </c>
      <c r="E106" s="235"/>
      <c r="F106" s="235" t="str">
        <f t="shared" si="4"/>
        <v>-</v>
      </c>
      <c r="G106" s="235" t="str">
        <f t="shared" si="5"/>
        <v>-</v>
      </c>
      <c r="H106" s="235"/>
      <c r="I106" s="236"/>
      <c r="J106" s="236"/>
      <c r="K106" s="241" t="str">
        <f ca="1">IF(Table1192[[#This Row],[VALID]],Table1192[[#This Row],[VALID]]-TODAY(),"-")</f>
        <v>-</v>
      </c>
      <c r="L106" s="244"/>
      <c r="M106" s="238"/>
      <c r="N106" s="237"/>
      <c r="O106" s="237"/>
      <c r="P106" s="237"/>
      <c r="Q106" s="250"/>
      <c r="R106" s="238"/>
      <c r="S106" s="237"/>
      <c r="T106" s="237"/>
      <c r="U106" s="237"/>
      <c r="V106" s="250"/>
      <c r="W106" s="239"/>
      <c r="X106" s="237"/>
      <c r="Y106" s="242"/>
      <c r="Z106" s="251"/>
      <c r="AA106" s="243"/>
      <c r="AB106" s="243"/>
      <c r="AC106" s="243"/>
      <c r="AD106" s="243"/>
      <c r="AE106" s="243"/>
      <c r="AF106" s="243"/>
      <c r="AG106" s="243"/>
      <c r="AH106" s="243"/>
      <c r="AI106" s="243"/>
      <c r="AJ106" s="251"/>
    </row>
    <row r="107" spans="1:36" ht="15" thickTop="1" thickBot="1" x14ac:dyDescent="0.35">
      <c r="A107" s="234"/>
      <c r="B107" s="234" t="s">
        <v>1062</v>
      </c>
      <c r="D107" s="234" t="s">
        <v>764</v>
      </c>
      <c r="E107" s="235"/>
      <c r="F107" s="235" t="str">
        <f t="shared" si="4"/>
        <v>-</v>
      </c>
      <c r="G107" s="235" t="str">
        <f t="shared" si="5"/>
        <v>-</v>
      </c>
      <c r="H107" s="235"/>
      <c r="I107" s="236"/>
      <c r="J107" s="236"/>
      <c r="K107" s="241" t="str">
        <f ca="1">IF(Table1192[[#This Row],[VALID]],Table1192[[#This Row],[VALID]]-TODAY(),"-")</f>
        <v>-</v>
      </c>
      <c r="L107" s="244"/>
      <c r="M107" s="238"/>
      <c r="N107" s="237"/>
      <c r="O107" s="237"/>
      <c r="P107" s="237"/>
      <c r="Q107" s="250"/>
      <c r="R107" s="238"/>
      <c r="S107" s="237"/>
      <c r="T107" s="237"/>
      <c r="U107" s="237"/>
      <c r="V107" s="250"/>
      <c r="W107" s="239"/>
      <c r="X107" s="237"/>
      <c r="Y107" s="242"/>
      <c r="Z107" s="251"/>
      <c r="AA107" s="243"/>
      <c r="AB107" s="243"/>
      <c r="AC107" s="243"/>
      <c r="AD107" s="243"/>
      <c r="AE107" s="243"/>
      <c r="AF107" s="243"/>
      <c r="AG107" s="243"/>
      <c r="AH107" s="243"/>
      <c r="AI107" s="243"/>
      <c r="AJ107" s="251"/>
    </row>
    <row r="108" spans="1:36" ht="15" thickTop="1" thickBot="1" x14ac:dyDescent="0.35">
      <c r="A108" s="234"/>
      <c r="B108" s="234" t="s">
        <v>1062</v>
      </c>
      <c r="D108" s="234" t="s">
        <v>765</v>
      </c>
      <c r="E108" s="235"/>
      <c r="F108" s="235" t="str">
        <f t="shared" si="4"/>
        <v>-</v>
      </c>
      <c r="G108" s="235" t="str">
        <f t="shared" si="5"/>
        <v>-</v>
      </c>
      <c r="H108" s="235"/>
      <c r="I108" s="236"/>
      <c r="J108" s="236"/>
      <c r="K108" s="241" t="str">
        <f ca="1">IF(Table1192[[#This Row],[VALID]],Table1192[[#This Row],[VALID]]-TODAY(),"-")</f>
        <v>-</v>
      </c>
      <c r="L108" s="244"/>
      <c r="M108" s="238"/>
      <c r="N108" s="237"/>
      <c r="O108" s="237"/>
      <c r="P108" s="237"/>
      <c r="Q108" s="250"/>
      <c r="R108" s="238"/>
      <c r="S108" s="237"/>
      <c r="T108" s="237"/>
      <c r="U108" s="237"/>
      <c r="V108" s="250"/>
      <c r="W108" s="239"/>
      <c r="X108" s="237"/>
      <c r="Y108" s="242"/>
      <c r="Z108" s="251"/>
      <c r="AA108" s="243"/>
      <c r="AB108" s="243"/>
      <c r="AC108" s="243"/>
      <c r="AD108" s="243"/>
      <c r="AE108" s="243"/>
      <c r="AF108" s="243"/>
      <c r="AG108" s="243"/>
      <c r="AH108" s="243"/>
      <c r="AI108" s="243"/>
      <c r="AJ108" s="251"/>
    </row>
    <row r="109" spans="1:36" ht="15" thickTop="1" thickBot="1" x14ac:dyDescent="0.35">
      <c r="A109" s="234"/>
      <c r="B109" s="234" t="s">
        <v>1062</v>
      </c>
      <c r="D109" s="234" t="s">
        <v>768</v>
      </c>
      <c r="E109" s="235"/>
      <c r="F109" s="235" t="str">
        <f t="shared" si="4"/>
        <v>-</v>
      </c>
      <c r="G109" s="235" t="str">
        <f t="shared" si="5"/>
        <v>-</v>
      </c>
      <c r="H109" s="235"/>
      <c r="I109" s="236"/>
      <c r="J109" s="236"/>
      <c r="K109" s="241" t="str">
        <f ca="1">IF(Table1192[[#This Row],[VALID]],Table1192[[#This Row],[VALID]]-TODAY(),"-")</f>
        <v>-</v>
      </c>
      <c r="L109" s="244"/>
      <c r="M109" s="238"/>
      <c r="N109" s="237"/>
      <c r="O109" s="237"/>
      <c r="P109" s="237"/>
      <c r="Q109" s="250"/>
      <c r="R109" s="238"/>
      <c r="S109" s="237"/>
      <c r="T109" s="237"/>
      <c r="U109" s="237"/>
      <c r="V109" s="250"/>
      <c r="W109" s="239"/>
      <c r="X109" s="237"/>
      <c r="Y109" s="242"/>
      <c r="Z109" s="251"/>
      <c r="AA109" s="243"/>
      <c r="AB109" s="243"/>
      <c r="AC109" s="243"/>
      <c r="AD109" s="243"/>
      <c r="AE109" s="243"/>
      <c r="AF109" s="243"/>
      <c r="AG109" s="243"/>
      <c r="AH109" s="243"/>
      <c r="AI109" s="243"/>
      <c r="AJ109" s="251"/>
    </row>
    <row r="110" spans="1:36" ht="15" thickTop="1" thickBot="1" x14ac:dyDescent="0.35">
      <c r="A110" s="234"/>
      <c r="B110" s="234" t="s">
        <v>1062</v>
      </c>
      <c r="D110" s="234" t="s">
        <v>770</v>
      </c>
      <c r="E110" s="235"/>
      <c r="F110" s="235" t="str">
        <f t="shared" si="4"/>
        <v>-</v>
      </c>
      <c r="G110" s="235" t="str">
        <f t="shared" si="5"/>
        <v>-</v>
      </c>
      <c r="H110" s="235"/>
      <c r="I110" s="236"/>
      <c r="J110" s="236"/>
      <c r="K110" s="241" t="str">
        <f ca="1">IF(Table1192[[#This Row],[VALID]],Table1192[[#This Row],[VALID]]-TODAY(),"-")</f>
        <v>-</v>
      </c>
      <c r="L110" s="244"/>
      <c r="M110" s="238"/>
      <c r="N110" s="237"/>
      <c r="O110" s="237"/>
      <c r="P110" s="237"/>
      <c r="Q110" s="250"/>
      <c r="R110" s="238"/>
      <c r="S110" s="237"/>
      <c r="T110" s="237"/>
      <c r="U110" s="237"/>
      <c r="V110" s="250"/>
      <c r="W110" s="239"/>
      <c r="X110" s="237"/>
      <c r="Y110" s="242"/>
      <c r="Z110" s="251"/>
      <c r="AA110" s="243"/>
      <c r="AB110" s="243"/>
      <c r="AC110" s="243"/>
      <c r="AD110" s="243"/>
      <c r="AE110" s="243"/>
      <c r="AF110" s="243"/>
      <c r="AG110" s="243"/>
      <c r="AH110" s="243"/>
      <c r="AI110" s="243"/>
      <c r="AJ110" s="251"/>
    </row>
    <row r="111" spans="1:36" ht="15.6" customHeight="1" thickTop="1" thickBot="1" x14ac:dyDescent="0.35">
      <c r="A111" s="234"/>
      <c r="B111" s="234" t="s">
        <v>1062</v>
      </c>
      <c r="D111" s="234" t="s">
        <v>771</v>
      </c>
      <c r="E111" s="235"/>
      <c r="F111" s="235" t="str">
        <f t="shared" si="4"/>
        <v>-</v>
      </c>
      <c r="G111" s="235" t="str">
        <f t="shared" si="5"/>
        <v>-</v>
      </c>
      <c r="H111" s="235"/>
      <c r="I111" s="236"/>
      <c r="J111" s="236"/>
      <c r="K111" s="241" t="str">
        <f ca="1">IF(Table1192[[#This Row],[VALID]],Table1192[[#This Row],[VALID]]-TODAY(),"-")</f>
        <v>-</v>
      </c>
      <c r="L111" s="244"/>
      <c r="M111" s="238"/>
      <c r="N111" s="237"/>
      <c r="O111" s="237"/>
      <c r="P111" s="237"/>
      <c r="Q111" s="250"/>
      <c r="R111" s="238"/>
      <c r="S111" s="237"/>
      <c r="T111" s="237"/>
      <c r="U111" s="237"/>
      <c r="V111" s="250"/>
      <c r="W111" s="239"/>
      <c r="X111" s="237"/>
      <c r="Y111" s="242"/>
      <c r="Z111" s="251"/>
      <c r="AA111" s="243"/>
      <c r="AB111" s="243"/>
      <c r="AC111" s="243"/>
      <c r="AD111" s="243"/>
      <c r="AE111" s="243"/>
      <c r="AF111" s="243"/>
      <c r="AG111" s="243"/>
      <c r="AH111" s="243"/>
      <c r="AI111" s="243"/>
      <c r="AJ111" s="251"/>
    </row>
    <row r="112" spans="1:36" ht="15" thickTop="1" thickBot="1" x14ac:dyDescent="0.35">
      <c r="A112" s="234"/>
      <c r="B112" s="234" t="s">
        <v>1062</v>
      </c>
      <c r="D112" s="234" t="s">
        <v>772</v>
      </c>
      <c r="E112" s="235"/>
      <c r="F112" s="235" t="str">
        <f t="shared" si="4"/>
        <v>-</v>
      </c>
      <c r="G112" s="235" t="str">
        <f t="shared" si="5"/>
        <v>-</v>
      </c>
      <c r="H112" s="235"/>
      <c r="I112" s="236"/>
      <c r="J112" s="236"/>
      <c r="K112" s="241" t="str">
        <f ca="1">IF(Table1192[[#This Row],[VALID]],Table1192[[#This Row],[VALID]]-TODAY(),"-")</f>
        <v>-</v>
      </c>
      <c r="L112" s="244"/>
      <c r="M112" s="238"/>
      <c r="N112" s="237"/>
      <c r="O112" s="237"/>
      <c r="P112" s="237"/>
      <c r="Q112" s="250"/>
      <c r="R112" s="238"/>
      <c r="S112" s="237"/>
      <c r="T112" s="237"/>
      <c r="U112" s="237"/>
      <c r="V112" s="250"/>
      <c r="W112" s="239"/>
      <c r="X112" s="237"/>
      <c r="Y112" s="242"/>
      <c r="Z112" s="251"/>
      <c r="AA112" s="243"/>
      <c r="AB112" s="243"/>
      <c r="AC112" s="243"/>
      <c r="AD112" s="243"/>
      <c r="AE112" s="243"/>
      <c r="AF112" s="243"/>
      <c r="AG112" s="243"/>
      <c r="AH112" s="243"/>
      <c r="AI112" s="243"/>
      <c r="AJ112" s="251"/>
    </row>
    <row r="113" spans="1:36" ht="15" thickTop="1" thickBot="1" x14ac:dyDescent="0.35">
      <c r="A113" s="234"/>
      <c r="B113" s="234" t="s">
        <v>1062</v>
      </c>
      <c r="D113" s="234" t="s">
        <v>773</v>
      </c>
      <c r="E113" s="235"/>
      <c r="F113" s="235" t="str">
        <f t="shared" si="4"/>
        <v>-</v>
      </c>
      <c r="G113" s="235" t="str">
        <f t="shared" si="5"/>
        <v>-</v>
      </c>
      <c r="H113" s="235"/>
      <c r="I113" s="236"/>
      <c r="J113" s="236"/>
      <c r="K113" s="241" t="str">
        <f ca="1">IF(Table1192[[#This Row],[VALID]],Table1192[[#This Row],[VALID]]-TODAY(),"-")</f>
        <v>-</v>
      </c>
      <c r="L113" s="244"/>
      <c r="M113" s="238"/>
      <c r="N113" s="237"/>
      <c r="O113" s="237"/>
      <c r="P113" s="237"/>
      <c r="Q113" s="250"/>
      <c r="R113" s="238"/>
      <c r="S113" s="237"/>
      <c r="T113" s="237"/>
      <c r="U113" s="237"/>
      <c r="V113" s="250"/>
      <c r="W113" s="239"/>
      <c r="X113" s="237"/>
      <c r="Y113" s="242"/>
      <c r="Z113" s="251"/>
      <c r="AA113" s="243"/>
      <c r="AB113" s="243"/>
      <c r="AC113" s="243"/>
      <c r="AD113" s="243"/>
      <c r="AE113" s="243"/>
      <c r="AF113" s="243"/>
      <c r="AG113" s="243"/>
      <c r="AH113" s="243"/>
      <c r="AI113" s="243"/>
      <c r="AJ113" s="251"/>
    </row>
    <row r="114" spans="1:36" ht="15" thickTop="1" thickBot="1" x14ac:dyDescent="0.35">
      <c r="A114" s="234"/>
      <c r="B114" s="234" t="s">
        <v>1062</v>
      </c>
      <c r="D114" s="234" t="s">
        <v>774</v>
      </c>
      <c r="E114" s="235"/>
      <c r="F114" s="235" t="str">
        <f t="shared" si="4"/>
        <v>-</v>
      </c>
      <c r="G114" s="235" t="str">
        <f t="shared" si="5"/>
        <v>-</v>
      </c>
      <c r="H114" s="235"/>
      <c r="I114" s="236"/>
      <c r="J114" s="236"/>
      <c r="K114" s="241" t="str">
        <f ca="1">IF(Table1192[[#This Row],[VALID]],Table1192[[#This Row],[VALID]]-TODAY(),"-")</f>
        <v>-</v>
      </c>
      <c r="L114" s="244"/>
      <c r="M114" s="238"/>
      <c r="N114" s="237"/>
      <c r="O114" s="237"/>
      <c r="P114" s="237"/>
      <c r="Q114" s="250"/>
      <c r="R114" s="238"/>
      <c r="S114" s="237"/>
      <c r="T114" s="237"/>
      <c r="U114" s="237"/>
      <c r="V114" s="250"/>
      <c r="W114" s="239"/>
      <c r="X114" s="237"/>
      <c r="Y114" s="242"/>
      <c r="Z114" s="251"/>
      <c r="AA114" s="243"/>
      <c r="AB114" s="243"/>
      <c r="AC114" s="243"/>
      <c r="AD114" s="243"/>
      <c r="AE114" s="243"/>
      <c r="AF114" s="243"/>
      <c r="AG114" s="243"/>
      <c r="AH114" s="243"/>
      <c r="AI114" s="243"/>
      <c r="AJ114" s="251"/>
    </row>
    <row r="115" spans="1:36" ht="15" thickTop="1" thickBot="1" x14ac:dyDescent="0.35">
      <c r="A115" s="234"/>
      <c r="B115" s="234" t="s">
        <v>1235</v>
      </c>
      <c r="D115" s="234" t="s">
        <v>432</v>
      </c>
      <c r="E115" s="235"/>
      <c r="F115" s="235" t="str">
        <f t="shared" si="4"/>
        <v>-</v>
      </c>
      <c r="G115" s="235" t="str">
        <f t="shared" si="5"/>
        <v>-</v>
      </c>
      <c r="H115" s="235"/>
      <c r="I115" s="236"/>
      <c r="J115" s="236"/>
      <c r="K115" s="241" t="str">
        <f ca="1">IF(Table1192[[#This Row],[VALID]],Table1192[[#This Row],[VALID]]-TODAY(),"-")</f>
        <v>-</v>
      </c>
      <c r="L115" s="244"/>
      <c r="M115" s="238"/>
      <c r="N115" s="237"/>
      <c r="O115" s="237"/>
      <c r="P115" s="237"/>
      <c r="Q115" s="250"/>
      <c r="R115" s="238"/>
      <c r="S115" s="237"/>
      <c r="T115" s="237"/>
      <c r="U115" s="237"/>
      <c r="V115" s="250"/>
      <c r="W115" s="239"/>
      <c r="X115" s="237"/>
      <c r="Y115" s="242"/>
      <c r="Z115" s="251"/>
      <c r="AA115" s="243"/>
      <c r="AB115" s="243"/>
      <c r="AC115" s="243"/>
      <c r="AD115" s="243"/>
      <c r="AE115" s="243"/>
      <c r="AF115" s="243"/>
      <c r="AG115" s="243"/>
      <c r="AH115" s="243"/>
      <c r="AI115" s="243"/>
      <c r="AJ115" s="251"/>
    </row>
    <row r="116" spans="1:36" ht="15" thickTop="1" thickBot="1" x14ac:dyDescent="0.35">
      <c r="A116" s="234"/>
      <c r="B116" s="234" t="s">
        <v>1235</v>
      </c>
      <c r="D116" s="234" t="s">
        <v>448</v>
      </c>
      <c r="E116" s="235"/>
      <c r="F116" s="235" t="str">
        <f t="shared" si="4"/>
        <v>-</v>
      </c>
      <c r="G116" s="235" t="str">
        <f t="shared" si="5"/>
        <v>-</v>
      </c>
      <c r="H116" s="235"/>
      <c r="I116" s="236"/>
      <c r="J116" s="236"/>
      <c r="K116" s="241" t="str">
        <f ca="1">IF(Table1192[[#This Row],[VALID]],Table1192[[#This Row],[VALID]]-TODAY(),"-")</f>
        <v>-</v>
      </c>
      <c r="L116" s="244"/>
      <c r="M116" s="238"/>
      <c r="N116" s="237"/>
      <c r="O116" s="237"/>
      <c r="P116" s="237"/>
      <c r="Q116" s="250"/>
      <c r="R116" s="238"/>
      <c r="S116" s="237"/>
      <c r="T116" s="237"/>
      <c r="U116" s="237"/>
      <c r="V116" s="250"/>
      <c r="W116" s="239"/>
      <c r="X116" s="237"/>
      <c r="Y116" s="242"/>
      <c r="Z116" s="251"/>
      <c r="AA116" s="243"/>
      <c r="AB116" s="243"/>
      <c r="AC116" s="243"/>
      <c r="AD116" s="243"/>
      <c r="AE116" s="243"/>
      <c r="AF116" s="243"/>
      <c r="AG116" s="243"/>
      <c r="AH116" s="243"/>
      <c r="AI116" s="243"/>
      <c r="AJ116" s="251"/>
    </row>
    <row r="117" spans="1:36" ht="15" thickTop="1" thickBot="1" x14ac:dyDescent="0.35">
      <c r="A117" s="234"/>
      <c r="B117" s="234" t="s">
        <v>1235</v>
      </c>
      <c r="D117" s="234" t="s">
        <v>455</v>
      </c>
      <c r="E117" s="235"/>
      <c r="F117" s="235" t="str">
        <f t="shared" si="4"/>
        <v>-</v>
      </c>
      <c r="G117" s="235" t="str">
        <f t="shared" si="5"/>
        <v>-</v>
      </c>
      <c r="H117" s="235"/>
      <c r="I117" s="236"/>
      <c r="J117" s="236"/>
      <c r="K117" s="241" t="str">
        <f ca="1">IF(Table1192[[#This Row],[VALID]],Table1192[[#This Row],[VALID]]-TODAY(),"-")</f>
        <v>-</v>
      </c>
      <c r="L117" s="244"/>
      <c r="M117" s="238"/>
      <c r="N117" s="237"/>
      <c r="O117" s="237"/>
      <c r="P117" s="237"/>
      <c r="Q117" s="250"/>
      <c r="R117" s="238"/>
      <c r="S117" s="237"/>
      <c r="T117" s="237"/>
      <c r="U117" s="237"/>
      <c r="V117" s="250"/>
      <c r="W117" s="239"/>
      <c r="X117" s="237"/>
      <c r="Y117" s="242"/>
      <c r="Z117" s="251"/>
      <c r="AA117" s="243"/>
      <c r="AB117" s="243"/>
      <c r="AC117" s="243"/>
      <c r="AD117" s="243"/>
      <c r="AE117" s="243"/>
      <c r="AF117" s="243"/>
      <c r="AG117" s="243"/>
      <c r="AH117" s="243"/>
      <c r="AI117" s="243"/>
      <c r="AJ117" s="251"/>
    </row>
    <row r="118" spans="1:36" ht="15" thickTop="1" thickBot="1" x14ac:dyDescent="0.35">
      <c r="A118" s="234"/>
      <c r="B118" s="234" t="s">
        <v>1235</v>
      </c>
      <c r="D118" s="234" t="s">
        <v>1163</v>
      </c>
      <c r="E118" s="235"/>
      <c r="F118" s="235" t="str">
        <f t="shared" si="4"/>
        <v>-</v>
      </c>
      <c r="G118" s="235" t="str">
        <f t="shared" si="5"/>
        <v>-</v>
      </c>
      <c r="H118" s="235"/>
      <c r="I118" s="236"/>
      <c r="J118" s="236"/>
      <c r="K118" s="241" t="str">
        <f ca="1">IF(Table1192[[#This Row],[VALID]],Table1192[[#This Row],[VALID]]-TODAY(),"-")</f>
        <v>-</v>
      </c>
      <c r="L118" s="244"/>
      <c r="M118" s="238"/>
      <c r="N118" s="237"/>
      <c r="O118" s="237"/>
      <c r="P118" s="237"/>
      <c r="Q118" s="250"/>
      <c r="R118" s="238"/>
      <c r="S118" s="237"/>
      <c r="T118" s="237"/>
      <c r="U118" s="237"/>
      <c r="V118" s="250"/>
      <c r="W118" s="239"/>
      <c r="X118" s="237"/>
      <c r="Y118" s="242"/>
      <c r="Z118" s="251"/>
      <c r="AA118" s="243"/>
      <c r="AB118" s="243"/>
      <c r="AC118" s="243"/>
      <c r="AD118" s="243"/>
      <c r="AE118" s="243"/>
      <c r="AF118" s="243"/>
      <c r="AG118" s="243"/>
      <c r="AH118" s="243"/>
      <c r="AI118" s="243"/>
      <c r="AJ118" s="251"/>
    </row>
    <row r="119" spans="1:36" ht="15" thickTop="1" thickBot="1" x14ac:dyDescent="0.35">
      <c r="A119" s="234"/>
      <c r="B119" s="234" t="s">
        <v>1307</v>
      </c>
      <c r="D119" s="234" t="s">
        <v>596</v>
      </c>
      <c r="E119" s="235"/>
      <c r="F119" s="235" t="str">
        <f t="shared" si="4"/>
        <v>-</v>
      </c>
      <c r="G119" s="235" t="str">
        <f t="shared" si="5"/>
        <v>-</v>
      </c>
      <c r="H119" s="235"/>
      <c r="I119" s="236"/>
      <c r="J119" s="236"/>
      <c r="K119" s="241" t="str">
        <f ca="1">IF(Table1192[[#This Row],[VALID]],Table1192[[#This Row],[VALID]]-TODAY(),"-")</f>
        <v>-</v>
      </c>
      <c r="L119" s="244"/>
      <c r="M119" s="238"/>
      <c r="N119" s="237"/>
      <c r="O119" s="237"/>
      <c r="P119" s="237"/>
      <c r="Q119" s="250"/>
      <c r="R119" s="238"/>
      <c r="S119" s="237"/>
      <c r="T119" s="237"/>
      <c r="U119" s="237"/>
      <c r="V119" s="250"/>
      <c r="W119" s="239"/>
      <c r="X119" s="237"/>
      <c r="Y119" s="242"/>
      <c r="Z119" s="251"/>
      <c r="AA119" s="243"/>
      <c r="AB119" s="243"/>
      <c r="AC119" s="243"/>
      <c r="AD119" s="243"/>
      <c r="AE119" s="243"/>
      <c r="AF119" s="243"/>
      <c r="AG119" s="243"/>
      <c r="AH119" s="243"/>
      <c r="AI119" s="243"/>
      <c r="AJ119" s="251"/>
    </row>
    <row r="120" spans="1:36" ht="15" thickTop="1" thickBot="1" x14ac:dyDescent="0.35">
      <c r="A120" s="234"/>
      <c r="B120" s="234" t="s">
        <v>1307</v>
      </c>
      <c r="D120" s="234" t="s">
        <v>645</v>
      </c>
      <c r="E120" s="235"/>
      <c r="F120" s="235" t="str">
        <f t="shared" si="4"/>
        <v>-</v>
      </c>
      <c r="G120" s="235" t="str">
        <f t="shared" si="5"/>
        <v>-</v>
      </c>
      <c r="H120" s="235"/>
      <c r="I120" s="236"/>
      <c r="J120" s="236"/>
      <c r="K120" s="241" t="str">
        <f ca="1">IF(Table1192[[#This Row],[VALID]],Table1192[[#This Row],[VALID]]-TODAY(),"-")</f>
        <v>-</v>
      </c>
      <c r="L120" s="244"/>
      <c r="M120" s="238"/>
      <c r="N120" s="237"/>
      <c r="O120" s="237"/>
      <c r="P120" s="237"/>
      <c r="Q120" s="250"/>
      <c r="R120" s="238"/>
      <c r="S120" s="237"/>
      <c r="T120" s="237"/>
      <c r="U120" s="237"/>
      <c r="V120" s="250"/>
      <c r="W120" s="239"/>
      <c r="X120" s="237"/>
      <c r="Y120" s="242"/>
      <c r="Z120" s="251"/>
      <c r="AA120" s="243"/>
      <c r="AB120" s="243"/>
      <c r="AC120" s="243"/>
      <c r="AD120" s="243"/>
      <c r="AE120" s="243"/>
      <c r="AF120" s="243"/>
      <c r="AG120" s="243"/>
      <c r="AH120" s="243"/>
      <c r="AI120" s="243"/>
      <c r="AJ120" s="251"/>
    </row>
    <row r="121" spans="1:36" ht="15" thickTop="1" thickBot="1" x14ac:dyDescent="0.35">
      <c r="A121" s="234"/>
      <c r="B121" s="234" t="s">
        <v>1292</v>
      </c>
      <c r="D121" s="234" t="s">
        <v>661</v>
      </c>
      <c r="E121" s="235"/>
      <c r="F121" s="235" t="str">
        <f t="shared" si="4"/>
        <v>-</v>
      </c>
      <c r="G121" s="235" t="str">
        <f t="shared" si="5"/>
        <v>-</v>
      </c>
      <c r="H121" s="235"/>
      <c r="I121" s="236"/>
      <c r="J121" s="236"/>
      <c r="K121" s="241" t="str">
        <f ca="1">IF(Table1192[[#This Row],[VALID]],Table1192[[#This Row],[VALID]]-TODAY(),"-")</f>
        <v>-</v>
      </c>
      <c r="L121" s="244"/>
      <c r="M121" s="238"/>
      <c r="N121" s="237"/>
      <c r="O121" s="237"/>
      <c r="P121" s="237"/>
      <c r="Q121" s="250"/>
      <c r="R121" s="238"/>
      <c r="S121" s="237"/>
      <c r="T121" s="237"/>
      <c r="U121" s="237"/>
      <c r="V121" s="250"/>
      <c r="W121" s="239"/>
      <c r="X121" s="237"/>
      <c r="Y121" s="242"/>
      <c r="Z121" s="251"/>
      <c r="AA121" s="243"/>
      <c r="AB121" s="243"/>
      <c r="AC121" s="243"/>
      <c r="AD121" s="243"/>
      <c r="AE121" s="243"/>
      <c r="AF121" s="243"/>
      <c r="AG121" s="243"/>
      <c r="AH121" s="243"/>
      <c r="AI121" s="243"/>
      <c r="AJ121" s="251"/>
    </row>
    <row r="122" spans="1:36" ht="15" thickTop="1" thickBot="1" x14ac:dyDescent="0.35">
      <c r="A122" s="234"/>
      <c r="B122" s="234" t="s">
        <v>1292</v>
      </c>
      <c r="D122" s="234" t="s">
        <v>663</v>
      </c>
      <c r="E122" s="235"/>
      <c r="F122" s="235" t="str">
        <f t="shared" si="4"/>
        <v>-</v>
      </c>
      <c r="G122" s="235" t="str">
        <f t="shared" si="5"/>
        <v>-</v>
      </c>
      <c r="H122" s="235"/>
      <c r="I122" s="236"/>
      <c r="J122" s="236"/>
      <c r="K122" s="241" t="str">
        <f ca="1">IF(Table1192[[#This Row],[VALID]],Table1192[[#This Row],[VALID]]-TODAY(),"-")</f>
        <v>-</v>
      </c>
      <c r="L122" s="244"/>
      <c r="M122" s="238"/>
      <c r="N122" s="237"/>
      <c r="O122" s="237"/>
      <c r="P122" s="237"/>
      <c r="Q122" s="250"/>
      <c r="R122" s="238"/>
      <c r="S122" s="237"/>
      <c r="T122" s="237"/>
      <c r="U122" s="237"/>
      <c r="V122" s="250"/>
      <c r="W122" s="239"/>
      <c r="X122" s="237"/>
      <c r="Y122" s="242"/>
      <c r="Z122" s="251"/>
      <c r="AA122" s="243"/>
      <c r="AB122" s="243"/>
      <c r="AC122" s="243"/>
      <c r="AD122" s="243"/>
      <c r="AE122" s="243"/>
      <c r="AF122" s="243"/>
      <c r="AG122" s="243"/>
      <c r="AH122" s="243"/>
      <c r="AI122" s="243"/>
      <c r="AJ122" s="251"/>
    </row>
    <row r="123" spans="1:36" ht="15" thickTop="1" thickBot="1" x14ac:dyDescent="0.35">
      <c r="A123" s="234"/>
      <c r="B123" s="234" t="s">
        <v>1269</v>
      </c>
      <c r="D123" s="234" t="s">
        <v>520</v>
      </c>
      <c r="E123" s="235"/>
      <c r="F123" s="235" t="str">
        <f t="shared" si="4"/>
        <v>-</v>
      </c>
      <c r="G123" s="235" t="str">
        <f t="shared" si="5"/>
        <v>-</v>
      </c>
      <c r="H123" s="235"/>
      <c r="I123" s="236"/>
      <c r="J123" s="236"/>
      <c r="K123" s="241" t="str">
        <f ca="1">IF(Table1192[[#This Row],[VALID]],Table1192[[#This Row],[VALID]]-TODAY(),"-")</f>
        <v>-</v>
      </c>
      <c r="L123" s="244"/>
      <c r="M123" s="238"/>
      <c r="N123" s="237"/>
      <c r="O123" s="237"/>
      <c r="P123" s="237"/>
      <c r="Q123" s="250"/>
      <c r="R123" s="238"/>
      <c r="S123" s="237"/>
      <c r="T123" s="237"/>
      <c r="U123" s="237"/>
      <c r="V123" s="250"/>
      <c r="W123" s="239"/>
      <c r="X123" s="237"/>
      <c r="Y123" s="242"/>
      <c r="Z123" s="251"/>
      <c r="AA123" s="243"/>
      <c r="AB123" s="243"/>
      <c r="AC123" s="243"/>
      <c r="AD123" s="243"/>
      <c r="AE123" s="243"/>
      <c r="AF123" s="243"/>
      <c r="AG123" s="243"/>
      <c r="AH123" s="243"/>
      <c r="AI123" s="243"/>
      <c r="AJ123" s="251"/>
    </row>
    <row r="124" spans="1:36" ht="15" thickTop="1" thickBot="1" x14ac:dyDescent="0.35">
      <c r="A124" s="234"/>
      <c r="B124" s="234" t="s">
        <v>1269</v>
      </c>
      <c r="D124" s="234" t="s">
        <v>593</v>
      </c>
      <c r="E124" s="235"/>
      <c r="F124" s="235" t="str">
        <f t="shared" si="4"/>
        <v>-</v>
      </c>
      <c r="G124" s="235" t="str">
        <f t="shared" si="5"/>
        <v>-</v>
      </c>
      <c r="H124" s="235"/>
      <c r="I124" s="236"/>
      <c r="J124" s="236"/>
      <c r="K124" s="241" t="str">
        <f ca="1">IF(Table1192[[#This Row],[VALID]],Table1192[[#This Row],[VALID]]-TODAY(),"-")</f>
        <v>-</v>
      </c>
      <c r="L124" s="244"/>
      <c r="M124" s="238"/>
      <c r="N124" s="237"/>
      <c r="O124" s="237"/>
      <c r="P124" s="237"/>
      <c r="Q124" s="250"/>
      <c r="R124" s="238"/>
      <c r="S124" s="237"/>
      <c r="T124" s="237"/>
      <c r="U124" s="237"/>
      <c r="V124" s="250"/>
      <c r="W124" s="239"/>
      <c r="X124" s="237"/>
      <c r="Y124" s="242"/>
      <c r="Z124" s="251"/>
      <c r="AA124" s="243"/>
      <c r="AB124" s="243"/>
      <c r="AC124" s="243"/>
      <c r="AD124" s="243"/>
      <c r="AE124" s="243"/>
      <c r="AF124" s="243"/>
      <c r="AG124" s="243"/>
      <c r="AH124" s="243"/>
      <c r="AI124" s="243"/>
      <c r="AJ124" s="251"/>
    </row>
    <row r="125" spans="1:36" ht="15" thickTop="1" thickBot="1" x14ac:dyDescent="0.35">
      <c r="A125" s="234"/>
      <c r="B125" s="234" t="s">
        <v>1301</v>
      </c>
      <c r="D125" s="234" t="s">
        <v>1205</v>
      </c>
      <c r="E125" s="235"/>
      <c r="F125" s="235" t="str">
        <f t="shared" si="4"/>
        <v>-</v>
      </c>
      <c r="G125" s="235" t="str">
        <f t="shared" si="5"/>
        <v>-</v>
      </c>
      <c r="H125" s="235"/>
      <c r="I125" s="236"/>
      <c r="J125" s="236"/>
      <c r="K125" s="241" t="str">
        <f ca="1">IF(Table1192[[#This Row],[VALID]],Table1192[[#This Row],[VALID]]-TODAY(),"-")</f>
        <v>-</v>
      </c>
      <c r="L125" s="244"/>
      <c r="M125" s="238"/>
      <c r="N125" s="237"/>
      <c r="O125" s="237"/>
      <c r="P125" s="237"/>
      <c r="Q125" s="250"/>
      <c r="R125" s="238"/>
      <c r="S125" s="237"/>
      <c r="T125" s="237"/>
      <c r="U125" s="237"/>
      <c r="V125" s="250"/>
      <c r="W125" s="239"/>
      <c r="X125" s="237"/>
      <c r="Y125" s="242"/>
      <c r="Z125" s="251"/>
      <c r="AA125" s="243"/>
      <c r="AB125" s="243"/>
      <c r="AC125" s="243"/>
      <c r="AD125" s="243"/>
      <c r="AE125" s="243"/>
      <c r="AF125" s="243"/>
      <c r="AG125" s="243"/>
      <c r="AH125" s="243"/>
      <c r="AI125" s="243"/>
      <c r="AJ125" s="251"/>
    </row>
    <row r="126" spans="1:36" ht="15" thickTop="1" thickBot="1" x14ac:dyDescent="0.35">
      <c r="A126" s="234"/>
      <c r="B126" s="234" t="s">
        <v>1301</v>
      </c>
      <c r="D126" s="234" t="s">
        <v>1206</v>
      </c>
      <c r="E126" s="235"/>
      <c r="F126" s="235" t="str">
        <f t="shared" si="4"/>
        <v>-</v>
      </c>
      <c r="G126" s="235" t="str">
        <f t="shared" si="5"/>
        <v>-</v>
      </c>
      <c r="H126" s="235"/>
      <c r="I126" s="236"/>
      <c r="J126" s="236"/>
      <c r="K126" s="241" t="str">
        <f ca="1">IF(Table1192[[#This Row],[VALID]],Table1192[[#This Row],[VALID]]-TODAY(),"-")</f>
        <v>-</v>
      </c>
      <c r="L126" s="244"/>
      <c r="M126" s="238"/>
      <c r="N126" s="237"/>
      <c r="O126" s="237"/>
      <c r="P126" s="237"/>
      <c r="Q126" s="250"/>
      <c r="R126" s="238"/>
      <c r="S126" s="237"/>
      <c r="T126" s="237"/>
      <c r="U126" s="237"/>
      <c r="V126" s="250"/>
      <c r="W126" s="239"/>
      <c r="X126" s="237"/>
      <c r="Y126" s="242"/>
      <c r="Z126" s="251"/>
      <c r="AA126" s="243"/>
      <c r="AB126" s="243"/>
      <c r="AC126" s="243"/>
      <c r="AD126" s="243"/>
      <c r="AE126" s="243"/>
      <c r="AF126" s="243"/>
      <c r="AG126" s="243"/>
      <c r="AH126" s="243"/>
      <c r="AI126" s="243"/>
      <c r="AJ126" s="251"/>
    </row>
    <row r="127" spans="1:36" ht="15" thickTop="1" thickBot="1" x14ac:dyDescent="0.35">
      <c r="A127" s="234"/>
      <c r="B127" s="234" t="s">
        <v>1257</v>
      </c>
      <c r="D127" s="234" t="s">
        <v>481</v>
      </c>
      <c r="E127" s="235"/>
      <c r="F127" s="235" t="str">
        <f t="shared" si="4"/>
        <v>-</v>
      </c>
      <c r="G127" s="235" t="str">
        <f t="shared" si="5"/>
        <v>-</v>
      </c>
      <c r="H127" s="235"/>
      <c r="I127" s="236"/>
      <c r="J127" s="236"/>
      <c r="K127" s="241" t="str">
        <f ca="1">IF(Table1192[[#This Row],[VALID]],Table1192[[#This Row],[VALID]]-TODAY(),"-")</f>
        <v>-</v>
      </c>
      <c r="L127" s="244"/>
      <c r="M127" s="238"/>
      <c r="N127" s="237"/>
      <c r="O127" s="237"/>
      <c r="P127" s="237"/>
      <c r="Q127" s="250"/>
      <c r="R127" s="238"/>
      <c r="S127" s="237"/>
      <c r="T127" s="237"/>
      <c r="U127" s="237"/>
      <c r="V127" s="250"/>
      <c r="W127" s="239"/>
      <c r="X127" s="237"/>
      <c r="Y127" s="242"/>
      <c r="Z127" s="251"/>
      <c r="AA127" s="243"/>
      <c r="AB127" s="243"/>
      <c r="AC127" s="243"/>
      <c r="AD127" s="243"/>
      <c r="AE127" s="243"/>
      <c r="AF127" s="243"/>
      <c r="AG127" s="243"/>
      <c r="AH127" s="243"/>
      <c r="AI127" s="243"/>
      <c r="AJ127" s="251"/>
    </row>
    <row r="128" spans="1:36" ht="15" thickTop="1" thickBot="1" x14ac:dyDescent="0.35">
      <c r="A128" s="234"/>
      <c r="B128" s="234" t="s">
        <v>1248</v>
      </c>
      <c r="D128" s="234" t="s">
        <v>458</v>
      </c>
      <c r="E128" s="235"/>
      <c r="F128" s="235" t="str">
        <f t="shared" si="4"/>
        <v>-</v>
      </c>
      <c r="G128" s="235" t="str">
        <f t="shared" si="5"/>
        <v>-</v>
      </c>
      <c r="H128" s="235"/>
      <c r="I128" s="236"/>
      <c r="J128" s="236"/>
      <c r="K128" s="241" t="str">
        <f ca="1">IF(Table1192[[#This Row],[VALID]],Table1192[[#This Row],[VALID]]-TODAY(),"-")</f>
        <v>-</v>
      </c>
      <c r="L128" s="244"/>
      <c r="M128" s="238"/>
      <c r="N128" s="237"/>
      <c r="O128" s="237"/>
      <c r="P128" s="237"/>
      <c r="Q128" s="250"/>
      <c r="R128" s="238"/>
      <c r="S128" s="237"/>
      <c r="T128" s="237"/>
      <c r="U128" s="237"/>
      <c r="V128" s="250"/>
      <c r="W128" s="239"/>
      <c r="X128" s="237"/>
      <c r="Y128" s="242"/>
      <c r="Z128" s="251"/>
      <c r="AA128" s="243"/>
      <c r="AB128" s="243"/>
      <c r="AC128" s="243"/>
      <c r="AD128" s="243"/>
      <c r="AE128" s="243"/>
      <c r="AF128" s="243"/>
      <c r="AG128" s="243"/>
      <c r="AH128" s="243"/>
      <c r="AI128" s="243"/>
      <c r="AJ128" s="251"/>
    </row>
    <row r="129" spans="1:36" ht="15" thickTop="1" thickBot="1" x14ac:dyDescent="0.35">
      <c r="A129" s="234"/>
      <c r="B129" s="234" t="s">
        <v>1266</v>
      </c>
      <c r="D129" s="234" t="s">
        <v>509</v>
      </c>
      <c r="E129" s="235"/>
      <c r="F129" s="235" t="str">
        <f t="shared" si="4"/>
        <v>-</v>
      </c>
      <c r="G129" s="235" t="str">
        <f t="shared" si="5"/>
        <v>-</v>
      </c>
      <c r="H129" s="235"/>
      <c r="I129" s="236"/>
      <c r="J129" s="236"/>
      <c r="K129" s="241" t="str">
        <f ca="1">IF(Table1192[[#This Row],[VALID]],Table1192[[#This Row],[VALID]]-TODAY(),"-")</f>
        <v>-</v>
      </c>
      <c r="L129" s="244"/>
      <c r="M129" s="238"/>
      <c r="N129" s="237"/>
      <c r="O129" s="237"/>
      <c r="P129" s="237"/>
      <c r="Q129" s="250"/>
      <c r="R129" s="238"/>
      <c r="S129" s="237"/>
      <c r="T129" s="237"/>
      <c r="U129" s="237"/>
      <c r="V129" s="250"/>
      <c r="W129" s="239"/>
      <c r="X129" s="237"/>
      <c r="Y129" s="242"/>
      <c r="Z129" s="251"/>
      <c r="AA129" s="243"/>
      <c r="AB129" s="243"/>
      <c r="AC129" s="243"/>
      <c r="AD129" s="243"/>
      <c r="AE129" s="243"/>
      <c r="AF129" s="243"/>
      <c r="AG129" s="243"/>
      <c r="AH129" s="243"/>
      <c r="AI129" s="243"/>
      <c r="AJ129" s="251"/>
    </row>
    <row r="130" spans="1:36" ht="15" thickTop="1" thickBot="1" x14ac:dyDescent="0.35">
      <c r="A130" s="234"/>
      <c r="B130" s="234" t="s">
        <v>1266</v>
      </c>
      <c r="D130" s="234" t="s">
        <v>589</v>
      </c>
      <c r="E130" s="235"/>
      <c r="F130" s="235" t="str">
        <f t="shared" si="4"/>
        <v>-</v>
      </c>
      <c r="G130" s="235" t="str">
        <f t="shared" si="5"/>
        <v>-</v>
      </c>
      <c r="H130" s="235"/>
      <c r="I130" s="236"/>
      <c r="J130" s="236"/>
      <c r="K130" s="241" t="str">
        <f ca="1">IF(Table1192[[#This Row],[VALID]],Table1192[[#This Row],[VALID]]-TODAY(),"-")</f>
        <v>-</v>
      </c>
      <c r="L130" s="244"/>
      <c r="M130" s="238"/>
      <c r="N130" s="237"/>
      <c r="O130" s="237"/>
      <c r="P130" s="237"/>
      <c r="Q130" s="250"/>
      <c r="R130" s="238"/>
      <c r="S130" s="237"/>
      <c r="T130" s="237"/>
      <c r="U130" s="237"/>
      <c r="V130" s="250"/>
      <c r="W130" s="239"/>
      <c r="X130" s="237"/>
      <c r="Y130" s="242"/>
      <c r="Z130" s="251"/>
      <c r="AA130" s="243"/>
      <c r="AB130" s="243"/>
      <c r="AC130" s="243"/>
      <c r="AD130" s="243"/>
      <c r="AE130" s="243"/>
      <c r="AF130" s="243"/>
      <c r="AG130" s="243"/>
      <c r="AH130" s="243"/>
      <c r="AI130" s="243"/>
      <c r="AJ130" s="251"/>
    </row>
    <row r="131" spans="1:36" ht="15" thickTop="1" thickBot="1" x14ac:dyDescent="0.35">
      <c r="A131" s="234"/>
      <c r="B131" s="234" t="s">
        <v>1266</v>
      </c>
      <c r="D131" s="234" t="s">
        <v>659</v>
      </c>
      <c r="E131" s="235"/>
      <c r="F131" s="235" t="str">
        <f t="shared" si="4"/>
        <v>-</v>
      </c>
      <c r="G131" s="235" t="str">
        <f t="shared" si="5"/>
        <v>-</v>
      </c>
      <c r="H131" s="235"/>
      <c r="I131" s="236"/>
      <c r="J131" s="236"/>
      <c r="K131" s="241" t="str">
        <f ca="1">IF(Table1192[[#This Row],[VALID]],Table1192[[#This Row],[VALID]]-TODAY(),"-")</f>
        <v>-</v>
      </c>
      <c r="L131" s="244"/>
      <c r="M131" s="238"/>
      <c r="N131" s="237"/>
      <c r="O131" s="237"/>
      <c r="P131" s="237"/>
      <c r="Q131" s="250"/>
      <c r="R131" s="238"/>
      <c r="S131" s="237"/>
      <c r="T131" s="237"/>
      <c r="U131" s="237"/>
      <c r="V131" s="250"/>
      <c r="W131" s="239"/>
      <c r="X131" s="237"/>
      <c r="Y131" s="242"/>
      <c r="Z131" s="251"/>
      <c r="AA131" s="243"/>
      <c r="AB131" s="243"/>
      <c r="AC131" s="243"/>
      <c r="AD131" s="243"/>
      <c r="AE131" s="243"/>
      <c r="AF131" s="243"/>
      <c r="AG131" s="243"/>
      <c r="AH131" s="243"/>
      <c r="AI131" s="243"/>
      <c r="AJ131" s="251"/>
    </row>
    <row r="132" spans="1:36" ht="15" thickTop="1" thickBot="1" x14ac:dyDescent="0.35">
      <c r="A132" s="234"/>
      <c r="B132" s="234" t="s">
        <v>1222</v>
      </c>
      <c r="D132" s="234" t="s">
        <v>411</v>
      </c>
      <c r="E132" s="235"/>
      <c r="F132" s="235" t="str">
        <f t="shared" ref="F132:F195" si="262">IF(M132,SUM(M132:P132,W132:X132),"-")</f>
        <v>-</v>
      </c>
      <c r="G132" s="235" t="str">
        <f t="shared" ref="G132:G195" si="263">IF(R132,SUM(R132:U132,W132:X132),"-")</f>
        <v>-</v>
      </c>
      <c r="H132" s="235"/>
      <c r="I132" s="236"/>
      <c r="J132" s="236"/>
      <c r="K132" s="241" t="str">
        <f ca="1">IF(Table1192[[#This Row],[VALID]],Table1192[[#This Row],[VALID]]-TODAY(),"-")</f>
        <v>-</v>
      </c>
      <c r="L132" s="244"/>
      <c r="M132" s="238"/>
      <c r="N132" s="237"/>
      <c r="O132" s="237"/>
      <c r="P132" s="237"/>
      <c r="Q132" s="250"/>
      <c r="R132" s="238"/>
      <c r="S132" s="237"/>
      <c r="T132" s="237"/>
      <c r="U132" s="237"/>
      <c r="V132" s="250"/>
      <c r="W132" s="239"/>
      <c r="X132" s="237"/>
      <c r="Y132" s="242"/>
      <c r="Z132" s="251"/>
      <c r="AA132" s="243"/>
      <c r="AB132" s="243"/>
      <c r="AC132" s="243"/>
      <c r="AD132" s="243"/>
      <c r="AE132" s="243"/>
      <c r="AF132" s="243"/>
      <c r="AG132" s="243"/>
      <c r="AH132" s="243"/>
      <c r="AI132" s="243"/>
      <c r="AJ132" s="251"/>
    </row>
    <row r="133" spans="1:36" ht="15" thickTop="1" thickBot="1" x14ac:dyDescent="0.35">
      <c r="A133" s="234"/>
      <c r="B133" s="234" t="s">
        <v>1222</v>
      </c>
      <c r="D133" s="234" t="s">
        <v>412</v>
      </c>
      <c r="E133" s="235"/>
      <c r="F133" s="235" t="str">
        <f t="shared" si="262"/>
        <v>-</v>
      </c>
      <c r="G133" s="235" t="str">
        <f t="shared" si="263"/>
        <v>-</v>
      </c>
      <c r="H133" s="235"/>
      <c r="I133" s="236"/>
      <c r="J133" s="236"/>
      <c r="K133" s="241" t="str">
        <f ca="1">IF(Table1192[[#This Row],[VALID]],Table1192[[#This Row],[VALID]]-TODAY(),"-")</f>
        <v>-</v>
      </c>
      <c r="L133" s="244"/>
      <c r="M133" s="238"/>
      <c r="N133" s="237"/>
      <c r="O133" s="237"/>
      <c r="P133" s="237"/>
      <c r="Q133" s="250"/>
      <c r="R133" s="238"/>
      <c r="S133" s="237"/>
      <c r="T133" s="237"/>
      <c r="U133" s="237"/>
      <c r="V133" s="250"/>
      <c r="W133" s="239"/>
      <c r="X133" s="237"/>
      <c r="Y133" s="242"/>
      <c r="Z133" s="251"/>
      <c r="AA133" s="243"/>
      <c r="AB133" s="243"/>
      <c r="AC133" s="243"/>
      <c r="AD133" s="243"/>
      <c r="AE133" s="243"/>
      <c r="AF133" s="243"/>
      <c r="AG133" s="243"/>
      <c r="AH133" s="243"/>
      <c r="AI133" s="243"/>
      <c r="AJ133" s="251"/>
    </row>
    <row r="134" spans="1:36" ht="15" thickTop="1" thickBot="1" x14ac:dyDescent="0.35">
      <c r="A134" s="234"/>
      <c r="B134" s="234" t="s">
        <v>1222</v>
      </c>
      <c r="D134" s="234" t="s">
        <v>475</v>
      </c>
      <c r="E134" s="235"/>
      <c r="F134" s="235" t="str">
        <f t="shared" si="262"/>
        <v>-</v>
      </c>
      <c r="G134" s="235" t="str">
        <f t="shared" si="263"/>
        <v>-</v>
      </c>
      <c r="H134" s="235"/>
      <c r="I134" s="236"/>
      <c r="J134" s="236"/>
      <c r="K134" s="241" t="str">
        <f ca="1">IF(Table1192[[#This Row],[VALID]],Table1192[[#This Row],[VALID]]-TODAY(),"-")</f>
        <v>-</v>
      </c>
      <c r="L134" s="244"/>
      <c r="M134" s="238"/>
      <c r="N134" s="237"/>
      <c r="O134" s="237"/>
      <c r="P134" s="237"/>
      <c r="Q134" s="250"/>
      <c r="R134" s="238"/>
      <c r="S134" s="237"/>
      <c r="T134" s="237"/>
      <c r="U134" s="237"/>
      <c r="V134" s="250"/>
      <c r="W134" s="239"/>
      <c r="X134" s="237"/>
      <c r="Y134" s="242"/>
      <c r="Z134" s="251"/>
      <c r="AA134" s="243"/>
      <c r="AB134" s="243"/>
      <c r="AC134" s="243"/>
      <c r="AD134" s="243"/>
      <c r="AE134" s="243"/>
      <c r="AF134" s="243"/>
      <c r="AG134" s="243"/>
      <c r="AH134" s="243"/>
      <c r="AI134" s="243"/>
      <c r="AJ134" s="251"/>
    </row>
    <row r="135" spans="1:36" ht="15" thickTop="1" thickBot="1" x14ac:dyDescent="0.35">
      <c r="A135" s="234"/>
      <c r="B135" s="234" t="s">
        <v>1222</v>
      </c>
      <c r="D135" s="234" t="s">
        <v>654</v>
      </c>
      <c r="E135" s="235"/>
      <c r="F135" s="235" t="str">
        <f t="shared" si="262"/>
        <v>-</v>
      </c>
      <c r="G135" s="235" t="str">
        <f t="shared" si="263"/>
        <v>-</v>
      </c>
      <c r="H135" s="235"/>
      <c r="I135" s="236"/>
      <c r="J135" s="236"/>
      <c r="K135" s="241" t="str">
        <f ca="1">IF(Table1192[[#This Row],[VALID]],Table1192[[#This Row],[VALID]]-TODAY(),"-")</f>
        <v>-</v>
      </c>
      <c r="L135" s="244"/>
      <c r="M135" s="238"/>
      <c r="N135" s="237"/>
      <c r="O135" s="237"/>
      <c r="P135" s="237"/>
      <c r="Q135" s="250"/>
      <c r="R135" s="238"/>
      <c r="S135" s="237"/>
      <c r="T135" s="237"/>
      <c r="U135" s="237"/>
      <c r="V135" s="250"/>
      <c r="W135" s="239"/>
      <c r="X135" s="237"/>
      <c r="Y135" s="242"/>
      <c r="Z135" s="251"/>
      <c r="AA135" s="243"/>
      <c r="AB135" s="243"/>
      <c r="AC135" s="243"/>
      <c r="AD135" s="243"/>
      <c r="AE135" s="243"/>
      <c r="AF135" s="243"/>
      <c r="AG135" s="243"/>
      <c r="AH135" s="243"/>
      <c r="AI135" s="243"/>
      <c r="AJ135" s="251"/>
    </row>
    <row r="136" spans="1:36" ht="15" thickTop="1" thickBot="1" x14ac:dyDescent="0.35">
      <c r="A136" s="234"/>
      <c r="B136" s="234" t="s">
        <v>1217</v>
      </c>
      <c r="D136" s="234" t="s">
        <v>404</v>
      </c>
      <c r="E136" s="235"/>
      <c r="F136" s="235" t="str">
        <f t="shared" si="262"/>
        <v>-</v>
      </c>
      <c r="G136" s="235" t="str">
        <f t="shared" si="263"/>
        <v>-</v>
      </c>
      <c r="H136" s="235"/>
      <c r="I136" s="236"/>
      <c r="J136" s="236"/>
      <c r="K136" s="241" t="str">
        <f ca="1">IF(Table1192[[#This Row],[VALID]],Table1192[[#This Row],[VALID]]-TODAY(),"-")</f>
        <v>-</v>
      </c>
      <c r="L136" s="244"/>
      <c r="M136" s="238"/>
      <c r="N136" s="237"/>
      <c r="O136" s="237"/>
      <c r="P136" s="237"/>
      <c r="Q136" s="250"/>
      <c r="R136" s="238"/>
      <c r="S136" s="237"/>
      <c r="T136" s="237"/>
      <c r="U136" s="237"/>
      <c r="V136" s="250"/>
      <c r="W136" s="239"/>
      <c r="X136" s="237"/>
      <c r="Y136" s="242"/>
      <c r="Z136" s="251"/>
      <c r="AA136" s="243"/>
      <c r="AB136" s="243"/>
      <c r="AC136" s="243"/>
      <c r="AD136" s="243"/>
      <c r="AE136" s="243"/>
      <c r="AF136" s="243"/>
      <c r="AG136" s="243"/>
      <c r="AH136" s="243"/>
      <c r="AI136" s="243"/>
      <c r="AJ136" s="251"/>
    </row>
    <row r="137" spans="1:36" ht="15" thickTop="1" thickBot="1" x14ac:dyDescent="0.35">
      <c r="A137" s="234"/>
      <c r="B137" s="234" t="s">
        <v>1285</v>
      </c>
      <c r="D137" s="234" t="s">
        <v>595</v>
      </c>
      <c r="E137" s="235"/>
      <c r="F137" s="235" t="str">
        <f t="shared" si="262"/>
        <v>-</v>
      </c>
      <c r="G137" s="235" t="str">
        <f t="shared" si="263"/>
        <v>-</v>
      </c>
      <c r="H137" s="235"/>
      <c r="I137" s="236"/>
      <c r="J137" s="236"/>
      <c r="K137" s="241" t="str">
        <f ca="1">IF(Table1192[[#This Row],[VALID]],Table1192[[#This Row],[VALID]]-TODAY(),"-")</f>
        <v>-</v>
      </c>
      <c r="L137" s="244"/>
      <c r="M137" s="238"/>
      <c r="N137" s="237"/>
      <c r="O137" s="237"/>
      <c r="P137" s="237"/>
      <c r="Q137" s="250"/>
      <c r="R137" s="238"/>
      <c r="S137" s="237"/>
      <c r="T137" s="237"/>
      <c r="U137" s="237"/>
      <c r="V137" s="250"/>
      <c r="W137" s="239"/>
      <c r="X137" s="237"/>
      <c r="Y137" s="242"/>
      <c r="Z137" s="251"/>
      <c r="AA137" s="243"/>
      <c r="AB137" s="243"/>
      <c r="AC137" s="243"/>
      <c r="AD137" s="243"/>
      <c r="AE137" s="243"/>
      <c r="AF137" s="243"/>
      <c r="AG137" s="243"/>
      <c r="AH137" s="243"/>
      <c r="AI137" s="243"/>
      <c r="AJ137" s="251"/>
    </row>
    <row r="138" spans="1:36" ht="15" thickTop="1" thickBot="1" x14ac:dyDescent="0.35">
      <c r="A138" s="234"/>
      <c r="B138" s="234" t="s">
        <v>1270</v>
      </c>
      <c r="D138" s="234" t="s">
        <v>522</v>
      </c>
      <c r="E138" s="235"/>
      <c r="F138" s="235" t="str">
        <f t="shared" si="262"/>
        <v>-</v>
      </c>
      <c r="G138" s="235" t="str">
        <f t="shared" si="263"/>
        <v>-</v>
      </c>
      <c r="H138" s="235"/>
      <c r="I138" s="236"/>
      <c r="J138" s="236"/>
      <c r="K138" s="241" t="str">
        <f ca="1">IF(Table1192[[#This Row],[VALID]],Table1192[[#This Row],[VALID]]-TODAY(),"-")</f>
        <v>-</v>
      </c>
      <c r="L138" s="244"/>
      <c r="M138" s="238"/>
      <c r="N138" s="237"/>
      <c r="O138" s="237"/>
      <c r="P138" s="237"/>
      <c r="Q138" s="250"/>
      <c r="R138" s="238"/>
      <c r="S138" s="237"/>
      <c r="T138" s="237"/>
      <c r="U138" s="237"/>
      <c r="V138" s="250"/>
      <c r="W138" s="239"/>
      <c r="X138" s="237"/>
      <c r="Y138" s="242"/>
      <c r="Z138" s="251"/>
      <c r="AA138" s="243"/>
      <c r="AB138" s="243"/>
      <c r="AC138" s="243"/>
      <c r="AD138" s="243"/>
      <c r="AE138" s="243"/>
      <c r="AF138" s="243"/>
      <c r="AG138" s="243"/>
      <c r="AH138" s="243"/>
      <c r="AI138" s="243"/>
      <c r="AJ138" s="251"/>
    </row>
    <row r="139" spans="1:36" ht="15" thickTop="1" thickBot="1" x14ac:dyDescent="0.35">
      <c r="A139" s="234"/>
      <c r="B139" s="234" t="s">
        <v>1260</v>
      </c>
      <c r="D139" s="234" t="s">
        <v>491</v>
      </c>
      <c r="E139" s="235"/>
      <c r="F139" s="235" t="str">
        <f t="shared" si="262"/>
        <v>-</v>
      </c>
      <c r="G139" s="235" t="str">
        <f t="shared" si="263"/>
        <v>-</v>
      </c>
      <c r="H139" s="235"/>
      <c r="I139" s="236"/>
      <c r="J139" s="236"/>
      <c r="K139" s="241" t="str">
        <f ca="1">IF(Table1192[[#This Row],[VALID]],Table1192[[#This Row],[VALID]]-TODAY(),"-")</f>
        <v>-</v>
      </c>
      <c r="L139" s="244"/>
      <c r="M139" s="238"/>
      <c r="N139" s="237"/>
      <c r="O139" s="237"/>
      <c r="P139" s="237"/>
      <c r="Q139" s="250"/>
      <c r="R139" s="238"/>
      <c r="S139" s="237"/>
      <c r="T139" s="237"/>
      <c r="U139" s="237"/>
      <c r="V139" s="250"/>
      <c r="W139" s="239"/>
      <c r="X139" s="237"/>
      <c r="Y139" s="242"/>
      <c r="Z139" s="251"/>
      <c r="AA139" s="243"/>
      <c r="AB139" s="243"/>
      <c r="AC139" s="243"/>
      <c r="AD139" s="243"/>
      <c r="AE139" s="243"/>
      <c r="AF139" s="243"/>
      <c r="AG139" s="243"/>
      <c r="AH139" s="243"/>
      <c r="AI139" s="243"/>
      <c r="AJ139" s="251"/>
    </row>
    <row r="140" spans="1:36" ht="15" thickTop="1" thickBot="1" x14ac:dyDescent="0.35">
      <c r="A140" s="234"/>
      <c r="B140" s="234" t="s">
        <v>1260</v>
      </c>
      <c r="D140" s="234" t="s">
        <v>572</v>
      </c>
      <c r="E140" s="235"/>
      <c r="F140" s="235" t="str">
        <f t="shared" si="262"/>
        <v>-</v>
      </c>
      <c r="G140" s="235" t="str">
        <f t="shared" si="263"/>
        <v>-</v>
      </c>
      <c r="H140" s="235"/>
      <c r="I140" s="236"/>
      <c r="J140" s="236"/>
      <c r="K140" s="241" t="str">
        <f ca="1">IF(Table1192[[#This Row],[VALID]],Table1192[[#This Row],[VALID]]-TODAY(),"-")</f>
        <v>-</v>
      </c>
      <c r="L140" s="244"/>
      <c r="M140" s="238"/>
      <c r="N140" s="237"/>
      <c r="O140" s="237"/>
      <c r="P140" s="237"/>
      <c r="Q140" s="250"/>
      <c r="R140" s="238"/>
      <c r="S140" s="237"/>
      <c r="T140" s="237"/>
      <c r="U140" s="237"/>
      <c r="V140" s="250"/>
      <c r="W140" s="239"/>
      <c r="X140" s="237"/>
      <c r="Y140" s="242"/>
      <c r="Z140" s="251"/>
      <c r="AA140" s="243"/>
      <c r="AB140" s="243"/>
      <c r="AC140" s="243"/>
      <c r="AD140" s="243"/>
      <c r="AE140" s="243"/>
      <c r="AF140" s="243"/>
      <c r="AG140" s="243"/>
      <c r="AH140" s="243"/>
      <c r="AI140" s="243"/>
      <c r="AJ140" s="251"/>
    </row>
    <row r="141" spans="1:36" ht="15" thickTop="1" thickBot="1" x14ac:dyDescent="0.35">
      <c r="A141" s="234"/>
      <c r="B141" s="234" t="s">
        <v>1260</v>
      </c>
      <c r="D141" s="234" t="s">
        <v>594</v>
      </c>
      <c r="E141" s="235"/>
      <c r="F141" s="235" t="str">
        <f t="shared" si="262"/>
        <v>-</v>
      </c>
      <c r="G141" s="235" t="str">
        <f t="shared" si="263"/>
        <v>-</v>
      </c>
      <c r="H141" s="235"/>
      <c r="I141" s="236"/>
      <c r="J141" s="236"/>
      <c r="K141" s="241" t="str">
        <f ca="1">IF(Table1192[[#This Row],[VALID]],Table1192[[#This Row],[VALID]]-TODAY(),"-")</f>
        <v>-</v>
      </c>
      <c r="L141" s="244"/>
      <c r="M141" s="238"/>
      <c r="N141" s="237"/>
      <c r="O141" s="237"/>
      <c r="P141" s="237"/>
      <c r="Q141" s="250"/>
      <c r="R141" s="238"/>
      <c r="S141" s="237"/>
      <c r="T141" s="237"/>
      <c r="U141" s="237"/>
      <c r="V141" s="250"/>
      <c r="W141" s="239"/>
      <c r="X141" s="237"/>
      <c r="Y141" s="242"/>
      <c r="Z141" s="251"/>
      <c r="AA141" s="243"/>
      <c r="AB141" s="243"/>
      <c r="AC141" s="243"/>
      <c r="AD141" s="243"/>
      <c r="AE141" s="243"/>
      <c r="AF141" s="243"/>
      <c r="AG141" s="243"/>
      <c r="AH141" s="243"/>
      <c r="AI141" s="243"/>
      <c r="AJ141" s="251"/>
    </row>
    <row r="142" spans="1:36" ht="15" thickTop="1" thickBot="1" x14ac:dyDescent="0.35">
      <c r="A142" s="234"/>
      <c r="B142" s="234" t="s">
        <v>1281</v>
      </c>
      <c r="D142" s="234" t="s">
        <v>575</v>
      </c>
      <c r="E142" s="235"/>
      <c r="F142" s="235" t="str">
        <f t="shared" si="262"/>
        <v>-</v>
      </c>
      <c r="G142" s="235" t="str">
        <f t="shared" si="263"/>
        <v>-</v>
      </c>
      <c r="H142" s="235"/>
      <c r="I142" s="236"/>
      <c r="J142" s="236"/>
      <c r="K142" s="241" t="str">
        <f ca="1">IF(Table1192[[#This Row],[VALID]],Table1192[[#This Row],[VALID]]-TODAY(),"-")</f>
        <v>-</v>
      </c>
      <c r="L142" s="244"/>
      <c r="M142" s="238"/>
      <c r="N142" s="237"/>
      <c r="O142" s="237"/>
      <c r="P142" s="237"/>
      <c r="Q142" s="250"/>
      <c r="R142" s="238"/>
      <c r="S142" s="237"/>
      <c r="T142" s="237"/>
      <c r="U142" s="237"/>
      <c r="V142" s="250"/>
      <c r="W142" s="239"/>
      <c r="X142" s="237"/>
      <c r="Y142" s="242"/>
      <c r="Z142" s="251"/>
      <c r="AA142" s="243"/>
      <c r="AB142" s="243"/>
      <c r="AC142" s="243"/>
      <c r="AD142" s="243"/>
      <c r="AE142" s="243"/>
      <c r="AF142" s="243"/>
      <c r="AG142" s="243"/>
      <c r="AH142" s="243"/>
      <c r="AI142" s="243"/>
      <c r="AJ142" s="251"/>
    </row>
    <row r="143" spans="1:36" ht="15" thickTop="1" thickBot="1" x14ac:dyDescent="0.35">
      <c r="A143" s="234"/>
      <c r="B143" s="234" t="s">
        <v>1243</v>
      </c>
      <c r="D143" s="234" t="s">
        <v>445</v>
      </c>
      <c r="E143" s="235"/>
      <c r="F143" s="235" t="str">
        <f t="shared" si="262"/>
        <v>-</v>
      </c>
      <c r="G143" s="235" t="str">
        <f t="shared" si="263"/>
        <v>-</v>
      </c>
      <c r="H143" s="235"/>
      <c r="I143" s="236"/>
      <c r="J143" s="236"/>
      <c r="K143" s="241" t="str">
        <f ca="1">IF(Table1192[[#This Row],[VALID]],Table1192[[#This Row],[VALID]]-TODAY(),"-")</f>
        <v>-</v>
      </c>
      <c r="L143" s="244"/>
      <c r="M143" s="238"/>
      <c r="N143" s="237"/>
      <c r="O143" s="237"/>
      <c r="P143" s="237"/>
      <c r="Q143" s="250"/>
      <c r="R143" s="238"/>
      <c r="S143" s="237"/>
      <c r="T143" s="237"/>
      <c r="U143" s="237"/>
      <c r="V143" s="250"/>
      <c r="W143" s="239"/>
      <c r="X143" s="237"/>
      <c r="Y143" s="242"/>
      <c r="Z143" s="251"/>
      <c r="AA143" s="243"/>
      <c r="AB143" s="243"/>
      <c r="AC143" s="243"/>
      <c r="AD143" s="243"/>
      <c r="AE143" s="243"/>
      <c r="AF143" s="243"/>
      <c r="AG143" s="243"/>
      <c r="AH143" s="243"/>
      <c r="AI143" s="243"/>
      <c r="AJ143" s="251"/>
    </row>
    <row r="144" spans="1:36" ht="15" thickTop="1" thickBot="1" x14ac:dyDescent="0.35">
      <c r="A144" s="234"/>
      <c r="B144" s="234" t="s">
        <v>1243</v>
      </c>
      <c r="D144" s="234" t="s">
        <v>519</v>
      </c>
      <c r="E144" s="235"/>
      <c r="F144" s="235" t="str">
        <f t="shared" si="262"/>
        <v>-</v>
      </c>
      <c r="G144" s="235" t="str">
        <f t="shared" si="263"/>
        <v>-</v>
      </c>
      <c r="H144" s="235"/>
      <c r="I144" s="236"/>
      <c r="J144" s="236"/>
      <c r="K144" s="241" t="str">
        <f ca="1">IF(Table1192[[#This Row],[VALID]],Table1192[[#This Row],[VALID]]-TODAY(),"-")</f>
        <v>-</v>
      </c>
      <c r="L144" s="244"/>
      <c r="M144" s="238"/>
      <c r="N144" s="237"/>
      <c r="O144" s="237"/>
      <c r="P144" s="237"/>
      <c r="Q144" s="250"/>
      <c r="R144" s="238"/>
      <c r="S144" s="237"/>
      <c r="T144" s="237"/>
      <c r="U144" s="237"/>
      <c r="V144" s="250"/>
      <c r="W144" s="239"/>
      <c r="X144" s="237"/>
      <c r="Y144" s="242"/>
      <c r="Z144" s="251"/>
      <c r="AA144" s="243"/>
      <c r="AB144" s="243"/>
      <c r="AC144" s="243"/>
      <c r="AD144" s="243"/>
      <c r="AE144" s="243"/>
      <c r="AF144" s="243"/>
      <c r="AG144" s="243"/>
      <c r="AH144" s="243"/>
      <c r="AI144" s="243"/>
      <c r="AJ144" s="251"/>
    </row>
    <row r="145" spans="1:36" ht="15" thickTop="1" thickBot="1" x14ac:dyDescent="0.35">
      <c r="A145" s="234"/>
      <c r="B145" s="234" t="s">
        <v>1218</v>
      </c>
      <c r="D145" s="234" t="s">
        <v>405</v>
      </c>
      <c r="E145" s="235"/>
      <c r="F145" s="235" t="str">
        <f t="shared" si="262"/>
        <v>-</v>
      </c>
      <c r="G145" s="235" t="str">
        <f t="shared" si="263"/>
        <v>-</v>
      </c>
      <c r="H145" s="235"/>
      <c r="I145" s="236"/>
      <c r="J145" s="236"/>
      <c r="K145" s="241" t="str">
        <f ca="1">IF(Table1192[[#This Row],[VALID]],Table1192[[#This Row],[VALID]]-TODAY(),"-")</f>
        <v>-</v>
      </c>
      <c r="L145" s="244"/>
      <c r="M145" s="238"/>
      <c r="N145" s="237"/>
      <c r="O145" s="237"/>
      <c r="P145" s="237"/>
      <c r="Q145" s="250"/>
      <c r="R145" s="238"/>
      <c r="S145" s="237"/>
      <c r="T145" s="237"/>
      <c r="U145" s="237"/>
      <c r="V145" s="250"/>
      <c r="W145" s="239"/>
      <c r="X145" s="237"/>
      <c r="Y145" s="242"/>
      <c r="Z145" s="251"/>
      <c r="AA145" s="243"/>
      <c r="AB145" s="243"/>
      <c r="AC145" s="243"/>
      <c r="AD145" s="243"/>
      <c r="AE145" s="243"/>
      <c r="AF145" s="243"/>
      <c r="AG145" s="243"/>
      <c r="AH145" s="243"/>
      <c r="AI145" s="243"/>
      <c r="AJ145" s="251"/>
    </row>
    <row r="146" spans="1:36" ht="15" thickTop="1" thickBot="1" x14ac:dyDescent="0.35">
      <c r="A146" s="234"/>
      <c r="B146" s="234" t="s">
        <v>1218</v>
      </c>
      <c r="D146" s="234" t="s">
        <v>721</v>
      </c>
      <c r="E146" s="235"/>
      <c r="F146" s="235" t="str">
        <f t="shared" si="262"/>
        <v>-</v>
      </c>
      <c r="G146" s="235" t="str">
        <f t="shared" si="263"/>
        <v>-</v>
      </c>
      <c r="H146" s="235"/>
      <c r="I146" s="236"/>
      <c r="J146" s="236"/>
      <c r="K146" s="241" t="str">
        <f ca="1">IF(Table1192[[#This Row],[VALID]],Table1192[[#This Row],[VALID]]-TODAY(),"-")</f>
        <v>-</v>
      </c>
      <c r="L146" s="244"/>
      <c r="M146" s="238"/>
      <c r="N146" s="237"/>
      <c r="O146" s="237"/>
      <c r="P146" s="237"/>
      <c r="Q146" s="250"/>
      <c r="R146" s="238"/>
      <c r="S146" s="237"/>
      <c r="T146" s="237"/>
      <c r="U146" s="237"/>
      <c r="V146" s="250"/>
      <c r="W146" s="239"/>
      <c r="X146" s="237"/>
      <c r="Y146" s="242"/>
      <c r="Z146" s="251"/>
      <c r="AA146" s="243"/>
      <c r="AB146" s="243"/>
      <c r="AC146" s="243"/>
      <c r="AD146" s="243"/>
      <c r="AE146" s="243"/>
      <c r="AF146" s="243"/>
      <c r="AG146" s="243"/>
      <c r="AH146" s="243"/>
      <c r="AI146" s="243"/>
      <c r="AJ146" s="251"/>
    </row>
    <row r="147" spans="1:36" ht="15" thickTop="1" thickBot="1" x14ac:dyDescent="0.35">
      <c r="A147" s="234"/>
      <c r="B147" s="234" t="s">
        <v>1271</v>
      </c>
      <c r="D147" s="234" t="s">
        <v>523</v>
      </c>
      <c r="E147" s="235"/>
      <c r="F147" s="235" t="str">
        <f t="shared" si="262"/>
        <v>-</v>
      </c>
      <c r="G147" s="235" t="str">
        <f t="shared" si="263"/>
        <v>-</v>
      </c>
      <c r="H147" s="235"/>
      <c r="I147" s="236"/>
      <c r="J147" s="236"/>
      <c r="K147" s="241" t="str">
        <f ca="1">IF(Table1192[[#This Row],[VALID]],Table1192[[#This Row],[VALID]]-TODAY(),"-")</f>
        <v>-</v>
      </c>
      <c r="L147" s="244"/>
      <c r="M147" s="238"/>
      <c r="N147" s="237"/>
      <c r="O147" s="237"/>
      <c r="P147" s="237"/>
      <c r="Q147" s="250"/>
      <c r="R147" s="238"/>
      <c r="S147" s="237"/>
      <c r="T147" s="237"/>
      <c r="U147" s="237"/>
      <c r="V147" s="250"/>
      <c r="W147" s="239"/>
      <c r="X147" s="237"/>
      <c r="Y147" s="242"/>
      <c r="Z147" s="251"/>
      <c r="AA147" s="243"/>
      <c r="AB147" s="243"/>
      <c r="AC147" s="243"/>
      <c r="AD147" s="243"/>
      <c r="AE147" s="243"/>
      <c r="AF147" s="243"/>
      <c r="AG147" s="243"/>
      <c r="AH147" s="243"/>
      <c r="AI147" s="243"/>
      <c r="AJ147" s="251"/>
    </row>
    <row r="148" spans="1:36" ht="15" thickTop="1" thickBot="1" x14ac:dyDescent="0.35">
      <c r="A148" s="234"/>
      <c r="B148" s="234" t="s">
        <v>1271</v>
      </c>
      <c r="D148" s="234" t="s">
        <v>644</v>
      </c>
      <c r="E148" s="235"/>
      <c r="F148" s="235" t="str">
        <f t="shared" si="262"/>
        <v>-</v>
      </c>
      <c r="G148" s="235" t="str">
        <f t="shared" si="263"/>
        <v>-</v>
      </c>
      <c r="H148" s="235"/>
      <c r="I148" s="236"/>
      <c r="J148" s="236"/>
      <c r="K148" s="241" t="str">
        <f ca="1">IF(Table1192[[#This Row],[VALID]],Table1192[[#This Row],[VALID]]-TODAY(),"-")</f>
        <v>-</v>
      </c>
      <c r="L148" s="244"/>
      <c r="M148" s="238"/>
      <c r="N148" s="237"/>
      <c r="O148" s="237"/>
      <c r="P148" s="237"/>
      <c r="Q148" s="250"/>
      <c r="R148" s="238"/>
      <c r="S148" s="237"/>
      <c r="T148" s="237"/>
      <c r="U148" s="237"/>
      <c r="V148" s="250"/>
      <c r="W148" s="239"/>
      <c r="X148" s="237"/>
      <c r="Y148" s="242"/>
      <c r="Z148" s="251"/>
      <c r="AA148" s="243"/>
      <c r="AB148" s="243"/>
      <c r="AC148" s="243"/>
      <c r="AD148" s="243"/>
      <c r="AE148" s="243"/>
      <c r="AF148" s="243"/>
      <c r="AG148" s="243"/>
      <c r="AH148" s="243"/>
      <c r="AI148" s="243"/>
      <c r="AJ148" s="251"/>
    </row>
    <row r="149" spans="1:36" ht="15" thickTop="1" thickBot="1" x14ac:dyDescent="0.35">
      <c r="A149" s="234"/>
      <c r="B149" s="234" t="s">
        <v>1271</v>
      </c>
      <c r="D149" s="234" t="s">
        <v>728</v>
      </c>
      <c r="E149" s="235"/>
      <c r="F149" s="235" t="str">
        <f t="shared" si="262"/>
        <v>-</v>
      </c>
      <c r="G149" s="235" t="str">
        <f t="shared" si="263"/>
        <v>-</v>
      </c>
      <c r="H149" s="235"/>
      <c r="I149" s="236"/>
      <c r="J149" s="236"/>
      <c r="K149" s="241" t="str">
        <f ca="1">IF(Table1192[[#This Row],[VALID]],Table1192[[#This Row],[VALID]]-TODAY(),"-")</f>
        <v>-</v>
      </c>
      <c r="L149" s="244"/>
      <c r="M149" s="238"/>
      <c r="N149" s="237"/>
      <c r="O149" s="237"/>
      <c r="P149" s="237"/>
      <c r="Q149" s="250"/>
      <c r="R149" s="238"/>
      <c r="S149" s="237"/>
      <c r="T149" s="237"/>
      <c r="U149" s="237"/>
      <c r="V149" s="250"/>
      <c r="W149" s="239"/>
      <c r="X149" s="237"/>
      <c r="Y149" s="242"/>
      <c r="Z149" s="251"/>
      <c r="AA149" s="243"/>
      <c r="AB149" s="243"/>
      <c r="AC149" s="243"/>
      <c r="AD149" s="243"/>
      <c r="AE149" s="243"/>
      <c r="AF149" s="243"/>
      <c r="AG149" s="243"/>
      <c r="AH149" s="243"/>
      <c r="AI149" s="243"/>
      <c r="AJ149" s="251"/>
    </row>
    <row r="150" spans="1:36" ht="15" thickTop="1" thickBot="1" x14ac:dyDescent="0.35">
      <c r="A150" s="234"/>
      <c r="B150" s="234" t="s">
        <v>1294</v>
      </c>
      <c r="D150" s="234" t="s">
        <v>664</v>
      </c>
      <c r="E150" s="235"/>
      <c r="F150" s="235" t="str">
        <f t="shared" si="262"/>
        <v>-</v>
      </c>
      <c r="G150" s="235" t="str">
        <f t="shared" si="263"/>
        <v>-</v>
      </c>
      <c r="H150" s="235"/>
      <c r="I150" s="236"/>
      <c r="J150" s="236"/>
      <c r="K150" s="241" t="str">
        <f ca="1">IF(Table1192[[#This Row],[VALID]],Table1192[[#This Row],[VALID]]-TODAY(),"-")</f>
        <v>-</v>
      </c>
      <c r="L150" s="244"/>
      <c r="M150" s="238"/>
      <c r="N150" s="237"/>
      <c r="O150" s="237"/>
      <c r="P150" s="237"/>
      <c r="Q150" s="250"/>
      <c r="R150" s="238"/>
      <c r="S150" s="237"/>
      <c r="T150" s="237"/>
      <c r="U150" s="237"/>
      <c r="V150" s="250"/>
      <c r="W150" s="239"/>
      <c r="X150" s="237"/>
      <c r="Y150" s="242"/>
      <c r="Z150" s="251"/>
      <c r="AA150" s="243"/>
      <c r="AB150" s="243"/>
      <c r="AC150" s="243"/>
      <c r="AD150" s="243"/>
      <c r="AE150" s="243"/>
      <c r="AF150" s="243"/>
      <c r="AG150" s="243"/>
      <c r="AH150" s="243"/>
      <c r="AI150" s="243"/>
      <c r="AJ150" s="251"/>
    </row>
    <row r="151" spans="1:36" ht="15" thickTop="1" thickBot="1" x14ac:dyDescent="0.35">
      <c r="A151" s="234"/>
      <c r="B151" s="234" t="s">
        <v>1251</v>
      </c>
      <c r="D151" s="234" t="s">
        <v>470</v>
      </c>
      <c r="E151" s="235"/>
      <c r="F151" s="235" t="str">
        <f t="shared" si="262"/>
        <v>-</v>
      </c>
      <c r="G151" s="235" t="str">
        <f t="shared" si="263"/>
        <v>-</v>
      </c>
      <c r="H151" s="235"/>
      <c r="I151" s="236"/>
      <c r="J151" s="236"/>
      <c r="K151" s="241" t="str">
        <f ca="1">IF(Table1192[[#This Row],[VALID]],Table1192[[#This Row],[VALID]]-TODAY(),"-")</f>
        <v>-</v>
      </c>
      <c r="L151" s="244"/>
      <c r="M151" s="238"/>
      <c r="N151" s="237"/>
      <c r="O151" s="237"/>
      <c r="P151" s="237"/>
      <c r="Q151" s="250"/>
      <c r="R151" s="238"/>
      <c r="S151" s="237"/>
      <c r="T151" s="237"/>
      <c r="U151" s="237"/>
      <c r="V151" s="250"/>
      <c r="W151" s="239"/>
      <c r="X151" s="237"/>
      <c r="Y151" s="242"/>
      <c r="Z151" s="251"/>
      <c r="AA151" s="243"/>
      <c r="AB151" s="243"/>
      <c r="AC151" s="243"/>
      <c r="AD151" s="243"/>
      <c r="AE151" s="243"/>
      <c r="AF151" s="243"/>
      <c r="AG151" s="243"/>
      <c r="AH151" s="243"/>
      <c r="AI151" s="243"/>
      <c r="AJ151" s="251"/>
    </row>
    <row r="152" spans="1:36" ht="15" thickTop="1" thickBot="1" x14ac:dyDescent="0.35">
      <c r="A152" s="234"/>
      <c r="B152" s="234" t="s">
        <v>1251</v>
      </c>
      <c r="D152" s="234" t="s">
        <v>585</v>
      </c>
      <c r="E152" s="235"/>
      <c r="F152" s="235" t="str">
        <f t="shared" si="262"/>
        <v>-</v>
      </c>
      <c r="G152" s="235" t="str">
        <f t="shared" si="263"/>
        <v>-</v>
      </c>
      <c r="H152" s="235"/>
      <c r="I152" s="236"/>
      <c r="J152" s="236"/>
      <c r="K152" s="241" t="str">
        <f ca="1">IF(Table1192[[#This Row],[VALID]],Table1192[[#This Row],[VALID]]-TODAY(),"-")</f>
        <v>-</v>
      </c>
      <c r="L152" s="244"/>
      <c r="M152" s="238"/>
      <c r="N152" s="237"/>
      <c r="O152" s="237"/>
      <c r="P152" s="237"/>
      <c r="Q152" s="250"/>
      <c r="R152" s="238"/>
      <c r="S152" s="237"/>
      <c r="T152" s="237"/>
      <c r="U152" s="237"/>
      <c r="V152" s="250"/>
      <c r="W152" s="239"/>
      <c r="X152" s="237"/>
      <c r="Y152" s="242"/>
      <c r="Z152" s="251"/>
      <c r="AA152" s="243"/>
      <c r="AB152" s="243"/>
      <c r="AC152" s="243"/>
      <c r="AD152" s="243"/>
      <c r="AE152" s="243"/>
      <c r="AF152" s="243"/>
      <c r="AG152" s="243"/>
      <c r="AH152" s="243"/>
      <c r="AI152" s="243"/>
      <c r="AJ152" s="251"/>
    </row>
    <row r="153" spans="1:36" ht="15" thickTop="1" thickBot="1" x14ac:dyDescent="0.35">
      <c r="A153" s="234"/>
      <c r="B153" s="234" t="s">
        <v>1293</v>
      </c>
      <c r="D153" s="234" t="s">
        <v>662</v>
      </c>
      <c r="E153" s="235"/>
      <c r="F153" s="235" t="str">
        <f t="shared" si="262"/>
        <v>-</v>
      </c>
      <c r="G153" s="235" t="str">
        <f t="shared" si="263"/>
        <v>-</v>
      </c>
      <c r="H153" s="235"/>
      <c r="I153" s="236"/>
      <c r="J153" s="236"/>
      <c r="K153" s="241" t="str">
        <f ca="1">IF(Table1192[[#This Row],[VALID]],Table1192[[#This Row],[VALID]]-TODAY(),"-")</f>
        <v>-</v>
      </c>
      <c r="L153" s="244"/>
      <c r="M153" s="238"/>
      <c r="N153" s="237"/>
      <c r="O153" s="237"/>
      <c r="P153" s="237"/>
      <c r="Q153" s="250"/>
      <c r="R153" s="238"/>
      <c r="S153" s="237"/>
      <c r="T153" s="237"/>
      <c r="U153" s="237"/>
      <c r="V153" s="250"/>
      <c r="W153" s="239"/>
      <c r="X153" s="237"/>
      <c r="Y153" s="242"/>
      <c r="Z153" s="251"/>
      <c r="AA153" s="243"/>
      <c r="AB153" s="243"/>
      <c r="AC153" s="243"/>
      <c r="AD153" s="243"/>
      <c r="AE153" s="243"/>
      <c r="AF153" s="243"/>
      <c r="AG153" s="243"/>
      <c r="AH153" s="243"/>
      <c r="AI153" s="243"/>
      <c r="AJ153" s="251"/>
    </row>
    <row r="154" spans="1:36" ht="15" thickTop="1" thickBot="1" x14ac:dyDescent="0.35">
      <c r="A154" s="234"/>
      <c r="B154" s="234" t="s">
        <v>1272</v>
      </c>
      <c r="D154" s="234" t="s">
        <v>527</v>
      </c>
      <c r="E154" s="235"/>
      <c r="F154" s="235" t="str">
        <f t="shared" si="262"/>
        <v>-</v>
      </c>
      <c r="G154" s="235" t="str">
        <f t="shared" si="263"/>
        <v>-</v>
      </c>
      <c r="H154" s="235"/>
      <c r="I154" s="236"/>
      <c r="J154" s="236"/>
      <c r="K154" s="241" t="str">
        <f ca="1">IF(Table1192[[#This Row],[VALID]],Table1192[[#This Row],[VALID]]-TODAY(),"-")</f>
        <v>-</v>
      </c>
      <c r="L154" s="244"/>
      <c r="M154" s="238"/>
      <c r="N154" s="237"/>
      <c r="O154" s="237"/>
      <c r="P154" s="237"/>
      <c r="Q154" s="250"/>
      <c r="R154" s="238"/>
      <c r="S154" s="237"/>
      <c r="T154" s="237"/>
      <c r="U154" s="237"/>
      <c r="V154" s="250"/>
      <c r="W154" s="239"/>
      <c r="X154" s="237"/>
      <c r="Y154" s="242"/>
      <c r="Z154" s="251"/>
      <c r="AA154" s="243"/>
      <c r="AB154" s="243"/>
      <c r="AC154" s="243"/>
      <c r="AD154" s="243"/>
      <c r="AE154" s="243"/>
      <c r="AF154" s="243"/>
      <c r="AG154" s="243"/>
      <c r="AH154" s="243"/>
      <c r="AI154" s="243"/>
      <c r="AJ154" s="251"/>
    </row>
    <row r="155" spans="1:36" ht="15" thickTop="1" thickBot="1" x14ac:dyDescent="0.35">
      <c r="A155" s="234"/>
      <c r="B155" s="234" t="s">
        <v>1244</v>
      </c>
      <c r="D155" s="234" t="s">
        <v>447</v>
      </c>
      <c r="E155" s="235"/>
      <c r="F155" s="235" t="str">
        <f t="shared" si="262"/>
        <v>-</v>
      </c>
      <c r="G155" s="235" t="str">
        <f t="shared" si="263"/>
        <v>-</v>
      </c>
      <c r="H155" s="235"/>
      <c r="I155" s="236"/>
      <c r="J155" s="236"/>
      <c r="K155" s="241" t="str">
        <f ca="1">IF(Table1192[[#This Row],[VALID]],Table1192[[#This Row],[VALID]]-TODAY(),"-")</f>
        <v>-</v>
      </c>
      <c r="L155" s="244"/>
      <c r="M155" s="238"/>
      <c r="N155" s="237"/>
      <c r="O155" s="237"/>
      <c r="P155" s="237"/>
      <c r="Q155" s="250"/>
      <c r="R155" s="238"/>
      <c r="S155" s="237"/>
      <c r="T155" s="237"/>
      <c r="U155" s="237"/>
      <c r="V155" s="250"/>
      <c r="W155" s="239"/>
      <c r="X155" s="237"/>
      <c r="Y155" s="242"/>
      <c r="Z155" s="251"/>
      <c r="AA155" s="243"/>
      <c r="AB155" s="243"/>
      <c r="AC155" s="243"/>
      <c r="AD155" s="243"/>
      <c r="AE155" s="243"/>
      <c r="AF155" s="243"/>
      <c r="AG155" s="243"/>
      <c r="AH155" s="243"/>
      <c r="AI155" s="243"/>
      <c r="AJ155" s="251"/>
    </row>
    <row r="156" spans="1:36" ht="15" thickTop="1" thickBot="1" x14ac:dyDescent="0.35">
      <c r="A156" s="234"/>
      <c r="B156" s="234" t="s">
        <v>1233</v>
      </c>
      <c r="D156" s="234" t="s">
        <v>426</v>
      </c>
      <c r="E156" s="235"/>
      <c r="F156" s="235" t="str">
        <f t="shared" si="262"/>
        <v>-</v>
      </c>
      <c r="G156" s="235" t="str">
        <f t="shared" si="263"/>
        <v>-</v>
      </c>
      <c r="H156" s="235"/>
      <c r="I156" s="236"/>
      <c r="J156" s="236"/>
      <c r="K156" s="241" t="str">
        <f ca="1">IF(Table1192[[#This Row],[VALID]],Table1192[[#This Row],[VALID]]-TODAY(),"-")</f>
        <v>-</v>
      </c>
      <c r="L156" s="244"/>
      <c r="M156" s="238"/>
      <c r="N156" s="237"/>
      <c r="O156" s="237"/>
      <c r="P156" s="237"/>
      <c r="Q156" s="250"/>
      <c r="R156" s="238"/>
      <c r="S156" s="237"/>
      <c r="T156" s="237"/>
      <c r="U156" s="237"/>
      <c r="V156" s="250"/>
      <c r="W156" s="239"/>
      <c r="X156" s="237"/>
      <c r="Y156" s="242"/>
      <c r="Z156" s="251"/>
      <c r="AA156" s="243"/>
      <c r="AB156" s="243"/>
      <c r="AC156" s="243"/>
      <c r="AD156" s="243"/>
      <c r="AE156" s="243"/>
      <c r="AF156" s="243"/>
      <c r="AG156" s="243"/>
      <c r="AH156" s="243"/>
      <c r="AI156" s="243"/>
      <c r="AJ156" s="251"/>
    </row>
    <row r="157" spans="1:36" ht="15" thickTop="1" thickBot="1" x14ac:dyDescent="0.35">
      <c r="A157" s="234"/>
      <c r="B157" s="234" t="s">
        <v>1233</v>
      </c>
      <c r="D157" s="234" t="s">
        <v>434</v>
      </c>
      <c r="E157" s="235"/>
      <c r="F157" s="235" t="str">
        <f t="shared" si="262"/>
        <v>-</v>
      </c>
      <c r="G157" s="235" t="str">
        <f t="shared" si="263"/>
        <v>-</v>
      </c>
      <c r="H157" s="235"/>
      <c r="I157" s="236"/>
      <c r="J157" s="236"/>
      <c r="K157" s="241" t="str">
        <f ca="1">IF(Table1192[[#This Row],[VALID]],Table1192[[#This Row],[VALID]]-TODAY(),"-")</f>
        <v>-</v>
      </c>
      <c r="L157" s="244"/>
      <c r="M157" s="238"/>
      <c r="N157" s="237"/>
      <c r="O157" s="237"/>
      <c r="P157" s="237"/>
      <c r="Q157" s="250"/>
      <c r="R157" s="238"/>
      <c r="S157" s="237"/>
      <c r="T157" s="237"/>
      <c r="U157" s="237"/>
      <c r="V157" s="250"/>
      <c r="W157" s="239"/>
      <c r="X157" s="237"/>
      <c r="Y157" s="242"/>
      <c r="Z157" s="251"/>
      <c r="AA157" s="243"/>
      <c r="AB157" s="243"/>
      <c r="AC157" s="243"/>
      <c r="AD157" s="243"/>
      <c r="AE157" s="243"/>
      <c r="AF157" s="243"/>
      <c r="AG157" s="243"/>
      <c r="AH157" s="243"/>
      <c r="AI157" s="243"/>
      <c r="AJ157" s="251"/>
    </row>
    <row r="158" spans="1:36" ht="15" thickTop="1" thickBot="1" x14ac:dyDescent="0.35">
      <c r="A158" s="234"/>
      <c r="B158" s="234" t="s">
        <v>1233</v>
      </c>
      <c r="D158" s="234" t="s">
        <v>439</v>
      </c>
      <c r="E158" s="235"/>
      <c r="F158" s="235" t="str">
        <f t="shared" si="262"/>
        <v>-</v>
      </c>
      <c r="G158" s="235" t="str">
        <f t="shared" si="263"/>
        <v>-</v>
      </c>
      <c r="H158" s="235"/>
      <c r="I158" s="236"/>
      <c r="J158" s="236"/>
      <c r="K158" s="241" t="str">
        <f ca="1">IF(Table1192[[#This Row],[VALID]],Table1192[[#This Row],[VALID]]-TODAY(),"-")</f>
        <v>-</v>
      </c>
      <c r="L158" s="244"/>
      <c r="M158" s="238"/>
      <c r="N158" s="237"/>
      <c r="O158" s="237"/>
      <c r="P158" s="237"/>
      <c r="Q158" s="250"/>
      <c r="R158" s="238"/>
      <c r="S158" s="237"/>
      <c r="T158" s="237"/>
      <c r="U158" s="237"/>
      <c r="V158" s="250"/>
      <c r="W158" s="239"/>
      <c r="X158" s="237"/>
      <c r="Y158" s="242"/>
      <c r="Z158" s="251"/>
      <c r="AA158" s="243"/>
      <c r="AB158" s="243"/>
      <c r="AC158" s="243"/>
      <c r="AD158" s="243"/>
      <c r="AE158" s="243"/>
      <c r="AF158" s="243"/>
      <c r="AG158" s="243"/>
      <c r="AH158" s="243"/>
      <c r="AI158" s="243"/>
      <c r="AJ158" s="251"/>
    </row>
    <row r="159" spans="1:36" ht="15" thickTop="1" thickBot="1" x14ac:dyDescent="0.35">
      <c r="A159" s="234"/>
      <c r="B159" s="234" t="s">
        <v>1233</v>
      </c>
      <c r="D159" s="234" t="s">
        <v>544</v>
      </c>
      <c r="E159" s="235"/>
      <c r="F159" s="235" t="str">
        <f t="shared" si="262"/>
        <v>-</v>
      </c>
      <c r="G159" s="235" t="str">
        <f t="shared" si="263"/>
        <v>-</v>
      </c>
      <c r="H159" s="235"/>
      <c r="I159" s="236"/>
      <c r="J159" s="236"/>
      <c r="K159" s="241" t="str">
        <f ca="1">IF(Table1192[[#This Row],[VALID]],Table1192[[#This Row],[VALID]]-TODAY(),"-")</f>
        <v>-</v>
      </c>
      <c r="L159" s="244"/>
      <c r="M159" s="238"/>
      <c r="N159" s="237"/>
      <c r="O159" s="237"/>
      <c r="P159" s="237"/>
      <c r="Q159" s="250"/>
      <c r="R159" s="238"/>
      <c r="S159" s="237"/>
      <c r="T159" s="237"/>
      <c r="U159" s="237"/>
      <c r="V159" s="250"/>
      <c r="W159" s="239"/>
      <c r="X159" s="237"/>
      <c r="Y159" s="242"/>
      <c r="Z159" s="251"/>
      <c r="AA159" s="243"/>
      <c r="AB159" s="243"/>
      <c r="AC159" s="243"/>
      <c r="AD159" s="243"/>
      <c r="AE159" s="243"/>
      <c r="AF159" s="243"/>
      <c r="AG159" s="243"/>
      <c r="AH159" s="243"/>
      <c r="AI159" s="243"/>
      <c r="AJ159" s="251"/>
    </row>
    <row r="160" spans="1:36" ht="15" thickTop="1" thickBot="1" x14ac:dyDescent="0.35">
      <c r="A160" s="234"/>
      <c r="B160" s="234" t="s">
        <v>1233</v>
      </c>
      <c r="D160" s="234" t="s">
        <v>636</v>
      </c>
      <c r="E160" s="235"/>
      <c r="F160" s="235" t="str">
        <f t="shared" si="262"/>
        <v>-</v>
      </c>
      <c r="G160" s="235" t="str">
        <f t="shared" si="263"/>
        <v>-</v>
      </c>
      <c r="H160" s="235"/>
      <c r="I160" s="236"/>
      <c r="J160" s="236"/>
      <c r="K160" s="241" t="str">
        <f ca="1">IF(Table1192[[#This Row],[VALID]],Table1192[[#This Row],[VALID]]-TODAY(),"-")</f>
        <v>-</v>
      </c>
      <c r="L160" s="244"/>
      <c r="M160" s="238"/>
      <c r="N160" s="237"/>
      <c r="O160" s="237"/>
      <c r="P160" s="237"/>
      <c r="Q160" s="250"/>
      <c r="R160" s="238"/>
      <c r="S160" s="237"/>
      <c r="T160" s="237"/>
      <c r="U160" s="237"/>
      <c r="V160" s="250"/>
      <c r="W160" s="239"/>
      <c r="X160" s="237"/>
      <c r="Y160" s="242"/>
      <c r="Z160" s="251"/>
      <c r="AA160" s="243"/>
      <c r="AB160" s="243"/>
      <c r="AC160" s="243"/>
      <c r="AD160" s="243"/>
      <c r="AE160" s="243"/>
      <c r="AF160" s="243"/>
      <c r="AG160" s="243"/>
      <c r="AH160" s="243"/>
      <c r="AI160" s="243"/>
      <c r="AJ160" s="251"/>
    </row>
    <row r="161" spans="1:36" ht="15" thickTop="1" thickBot="1" x14ac:dyDescent="0.35">
      <c r="A161" s="234"/>
      <c r="B161" s="234" t="s">
        <v>1233</v>
      </c>
      <c r="D161" s="234" t="s">
        <v>637</v>
      </c>
      <c r="E161" s="235"/>
      <c r="F161" s="235" t="str">
        <f t="shared" si="262"/>
        <v>-</v>
      </c>
      <c r="G161" s="235" t="str">
        <f t="shared" si="263"/>
        <v>-</v>
      </c>
      <c r="H161" s="235"/>
      <c r="I161" s="236"/>
      <c r="J161" s="236"/>
      <c r="K161" s="241" t="str">
        <f ca="1">IF(Table1192[[#This Row],[VALID]],Table1192[[#This Row],[VALID]]-TODAY(),"-")</f>
        <v>-</v>
      </c>
      <c r="L161" s="244"/>
      <c r="M161" s="238"/>
      <c r="N161" s="237"/>
      <c r="O161" s="237"/>
      <c r="P161" s="237"/>
      <c r="Q161" s="250"/>
      <c r="R161" s="238"/>
      <c r="S161" s="237"/>
      <c r="T161" s="237"/>
      <c r="U161" s="237"/>
      <c r="V161" s="250"/>
      <c r="W161" s="239"/>
      <c r="X161" s="237"/>
      <c r="Y161" s="242"/>
      <c r="Z161" s="251"/>
      <c r="AA161" s="243"/>
      <c r="AB161" s="243"/>
      <c r="AC161" s="243"/>
      <c r="AD161" s="243"/>
      <c r="AE161" s="243"/>
      <c r="AF161" s="243"/>
      <c r="AG161" s="243"/>
      <c r="AH161" s="243"/>
      <c r="AI161" s="243"/>
      <c r="AJ161" s="251"/>
    </row>
    <row r="162" spans="1:36" ht="15" thickTop="1" thickBot="1" x14ac:dyDescent="0.35">
      <c r="A162" s="234"/>
      <c r="B162" s="234" t="s">
        <v>1233</v>
      </c>
      <c r="D162" s="234" t="s">
        <v>646</v>
      </c>
      <c r="E162" s="235"/>
      <c r="F162" s="235" t="str">
        <f t="shared" si="262"/>
        <v>-</v>
      </c>
      <c r="G162" s="235" t="str">
        <f t="shared" si="263"/>
        <v>-</v>
      </c>
      <c r="H162" s="235"/>
      <c r="I162" s="236"/>
      <c r="J162" s="236"/>
      <c r="K162" s="241" t="str">
        <f ca="1">IF(Table1192[[#This Row],[VALID]],Table1192[[#This Row],[VALID]]-TODAY(),"-")</f>
        <v>-</v>
      </c>
      <c r="L162" s="244"/>
      <c r="M162" s="238"/>
      <c r="N162" s="237"/>
      <c r="O162" s="237"/>
      <c r="P162" s="237"/>
      <c r="Q162" s="250"/>
      <c r="R162" s="238"/>
      <c r="S162" s="237"/>
      <c r="T162" s="237"/>
      <c r="U162" s="237"/>
      <c r="V162" s="250"/>
      <c r="W162" s="239"/>
      <c r="X162" s="237"/>
      <c r="Y162" s="242"/>
      <c r="Z162" s="251"/>
      <c r="AA162" s="243"/>
      <c r="AB162" s="243"/>
      <c r="AC162" s="243"/>
      <c r="AD162" s="243"/>
      <c r="AE162" s="243"/>
      <c r="AF162" s="243"/>
      <c r="AG162" s="243"/>
      <c r="AH162" s="243"/>
      <c r="AI162" s="243"/>
      <c r="AJ162" s="251"/>
    </row>
    <row r="163" spans="1:36" ht="15" thickTop="1" thickBot="1" x14ac:dyDescent="0.35">
      <c r="A163" s="234"/>
      <c r="B163" s="234" t="s">
        <v>1233</v>
      </c>
      <c r="D163" s="234" t="s">
        <v>692</v>
      </c>
      <c r="E163" s="235"/>
      <c r="F163" s="235" t="str">
        <f t="shared" si="262"/>
        <v>-</v>
      </c>
      <c r="G163" s="235" t="str">
        <f t="shared" si="263"/>
        <v>-</v>
      </c>
      <c r="H163" s="235"/>
      <c r="I163" s="236"/>
      <c r="J163" s="236"/>
      <c r="K163" s="241" t="str">
        <f ca="1">IF(Table1192[[#This Row],[VALID]],Table1192[[#This Row],[VALID]]-TODAY(),"-")</f>
        <v>-</v>
      </c>
      <c r="L163" s="244"/>
      <c r="M163" s="238"/>
      <c r="N163" s="237"/>
      <c r="O163" s="237"/>
      <c r="P163" s="237"/>
      <c r="Q163" s="250"/>
      <c r="R163" s="238"/>
      <c r="S163" s="237"/>
      <c r="T163" s="237"/>
      <c r="U163" s="237"/>
      <c r="V163" s="250"/>
      <c r="W163" s="239"/>
      <c r="X163" s="237"/>
      <c r="Y163" s="242"/>
      <c r="Z163" s="251"/>
      <c r="AA163" s="243"/>
      <c r="AB163" s="243"/>
      <c r="AC163" s="243"/>
      <c r="AD163" s="243"/>
      <c r="AE163" s="243"/>
      <c r="AF163" s="243"/>
      <c r="AG163" s="243"/>
      <c r="AH163" s="243"/>
      <c r="AI163" s="243"/>
      <c r="AJ163" s="251"/>
    </row>
    <row r="164" spans="1:36" ht="15" thickTop="1" thickBot="1" x14ac:dyDescent="0.35">
      <c r="A164" s="234"/>
      <c r="B164" s="234" t="s">
        <v>1233</v>
      </c>
      <c r="D164" s="234" t="s">
        <v>716</v>
      </c>
      <c r="E164" s="235"/>
      <c r="F164" s="235" t="str">
        <f t="shared" si="262"/>
        <v>-</v>
      </c>
      <c r="G164" s="235" t="str">
        <f t="shared" si="263"/>
        <v>-</v>
      </c>
      <c r="H164" s="235"/>
      <c r="I164" s="236"/>
      <c r="J164" s="236"/>
      <c r="K164" s="241" t="str">
        <f ca="1">IF(Table1192[[#This Row],[VALID]],Table1192[[#This Row],[VALID]]-TODAY(),"-")</f>
        <v>-</v>
      </c>
      <c r="L164" s="244"/>
      <c r="M164" s="238"/>
      <c r="N164" s="237"/>
      <c r="O164" s="237"/>
      <c r="P164" s="237"/>
      <c r="Q164" s="250"/>
      <c r="R164" s="238"/>
      <c r="S164" s="237"/>
      <c r="T164" s="237"/>
      <c r="U164" s="237"/>
      <c r="V164" s="250"/>
      <c r="W164" s="239"/>
      <c r="X164" s="237"/>
      <c r="Y164" s="242"/>
      <c r="Z164" s="251"/>
      <c r="AA164" s="243"/>
      <c r="AB164" s="243"/>
      <c r="AC164" s="243"/>
      <c r="AD164" s="243"/>
      <c r="AE164" s="243"/>
      <c r="AF164" s="243"/>
      <c r="AG164" s="243"/>
      <c r="AH164" s="243"/>
      <c r="AI164" s="243"/>
      <c r="AJ164" s="251"/>
    </row>
    <row r="165" spans="1:36" ht="15" thickTop="1" thickBot="1" x14ac:dyDescent="0.35">
      <c r="A165" s="234"/>
      <c r="B165" s="234" t="s">
        <v>1304</v>
      </c>
      <c r="D165" s="234" t="s">
        <v>428</v>
      </c>
      <c r="E165" s="235"/>
      <c r="F165" s="235" t="str">
        <f t="shared" si="262"/>
        <v>-</v>
      </c>
      <c r="G165" s="235" t="str">
        <f t="shared" si="263"/>
        <v>-</v>
      </c>
      <c r="H165" s="235"/>
      <c r="I165" s="236"/>
      <c r="J165" s="236"/>
      <c r="K165" s="241" t="str">
        <f ca="1">IF(Table1192[[#This Row],[VALID]],Table1192[[#This Row],[VALID]]-TODAY(),"-")</f>
        <v>-</v>
      </c>
      <c r="L165" s="244"/>
      <c r="M165" s="238"/>
      <c r="N165" s="237"/>
      <c r="O165" s="237"/>
      <c r="P165" s="237"/>
      <c r="Q165" s="250"/>
      <c r="R165" s="238"/>
      <c r="S165" s="237"/>
      <c r="T165" s="237"/>
      <c r="U165" s="237"/>
      <c r="V165" s="250"/>
      <c r="W165" s="239"/>
      <c r="X165" s="237"/>
      <c r="Y165" s="242"/>
      <c r="Z165" s="251"/>
      <c r="AA165" s="243"/>
      <c r="AB165" s="243"/>
      <c r="AC165" s="243"/>
      <c r="AD165" s="243"/>
      <c r="AE165" s="243"/>
      <c r="AF165" s="243"/>
      <c r="AG165" s="243"/>
      <c r="AH165" s="243"/>
      <c r="AI165" s="243"/>
      <c r="AJ165" s="251"/>
    </row>
    <row r="166" spans="1:36" ht="15" thickTop="1" thickBot="1" x14ac:dyDescent="0.35">
      <c r="A166" s="234"/>
      <c r="B166" s="234" t="s">
        <v>1304</v>
      </c>
      <c r="D166" s="234" t="s">
        <v>1214</v>
      </c>
      <c r="E166" s="235"/>
      <c r="F166" s="235" t="str">
        <f t="shared" si="262"/>
        <v>-</v>
      </c>
      <c r="G166" s="235" t="str">
        <f t="shared" si="263"/>
        <v>-</v>
      </c>
      <c r="H166" s="235"/>
      <c r="I166" s="236"/>
      <c r="J166" s="236"/>
      <c r="K166" s="241" t="str">
        <f ca="1">IF(Table1192[[#This Row],[VALID]],Table1192[[#This Row],[VALID]]-TODAY(),"-")</f>
        <v>-</v>
      </c>
      <c r="L166" s="244"/>
      <c r="M166" s="238"/>
      <c r="N166" s="237"/>
      <c r="O166" s="237"/>
      <c r="P166" s="237"/>
      <c r="Q166" s="250"/>
      <c r="R166" s="238"/>
      <c r="S166" s="237"/>
      <c r="T166" s="237"/>
      <c r="U166" s="237"/>
      <c r="V166" s="250"/>
      <c r="W166" s="239"/>
      <c r="X166" s="237"/>
      <c r="Y166" s="242"/>
      <c r="Z166" s="251"/>
      <c r="AA166" s="243"/>
      <c r="AB166" s="243"/>
      <c r="AC166" s="243"/>
      <c r="AD166" s="243"/>
      <c r="AE166" s="243"/>
      <c r="AF166" s="243"/>
      <c r="AG166" s="243"/>
      <c r="AH166" s="243"/>
      <c r="AI166" s="243"/>
      <c r="AJ166" s="251"/>
    </row>
    <row r="167" spans="1:36" ht="15" thickTop="1" thickBot="1" x14ac:dyDescent="0.35">
      <c r="A167" s="234"/>
      <c r="B167" s="234" t="s">
        <v>1304</v>
      </c>
      <c r="D167" s="234" t="s">
        <v>1215</v>
      </c>
      <c r="E167" s="235"/>
      <c r="F167" s="235" t="str">
        <f t="shared" si="262"/>
        <v>-</v>
      </c>
      <c r="G167" s="235" t="str">
        <f t="shared" si="263"/>
        <v>-</v>
      </c>
      <c r="H167" s="235"/>
      <c r="I167" s="236"/>
      <c r="J167" s="236"/>
      <c r="K167" s="241" t="str">
        <f ca="1">IF(Table1192[[#This Row],[VALID]],Table1192[[#This Row],[VALID]]-TODAY(),"-")</f>
        <v>-</v>
      </c>
      <c r="L167" s="244"/>
      <c r="M167" s="238"/>
      <c r="N167" s="237"/>
      <c r="O167" s="237"/>
      <c r="P167" s="237"/>
      <c r="Q167" s="250"/>
      <c r="R167" s="238"/>
      <c r="S167" s="237"/>
      <c r="T167" s="237"/>
      <c r="U167" s="237"/>
      <c r="V167" s="250"/>
      <c r="W167" s="239"/>
      <c r="X167" s="237"/>
      <c r="Y167" s="242"/>
      <c r="Z167" s="251"/>
      <c r="AA167" s="243"/>
      <c r="AB167" s="243"/>
      <c r="AC167" s="243"/>
      <c r="AD167" s="243"/>
      <c r="AE167" s="243"/>
      <c r="AF167" s="243"/>
      <c r="AG167" s="243"/>
      <c r="AH167" s="243"/>
      <c r="AI167" s="243"/>
      <c r="AJ167" s="251"/>
    </row>
    <row r="168" spans="1:36" ht="15" thickTop="1" thickBot="1" x14ac:dyDescent="0.35">
      <c r="A168" s="234"/>
      <c r="B168" s="234" t="s">
        <v>1236</v>
      </c>
      <c r="D168" s="234" t="s">
        <v>433</v>
      </c>
      <c r="E168" s="235"/>
      <c r="F168" s="235" t="str">
        <f t="shared" si="262"/>
        <v>-</v>
      </c>
      <c r="G168" s="235" t="str">
        <f t="shared" si="263"/>
        <v>-</v>
      </c>
      <c r="H168" s="235"/>
      <c r="I168" s="236"/>
      <c r="J168" s="236"/>
      <c r="K168" s="241" t="str">
        <f ca="1">IF(Table1192[[#This Row],[VALID]],Table1192[[#This Row],[VALID]]-TODAY(),"-")</f>
        <v>-</v>
      </c>
      <c r="L168" s="244"/>
      <c r="M168" s="238"/>
      <c r="N168" s="237"/>
      <c r="O168" s="237"/>
      <c r="P168" s="237"/>
      <c r="Q168" s="250"/>
      <c r="R168" s="238"/>
      <c r="S168" s="237"/>
      <c r="T168" s="237"/>
      <c r="U168" s="237"/>
      <c r="V168" s="250"/>
      <c r="W168" s="239"/>
      <c r="X168" s="237"/>
      <c r="Y168" s="242"/>
      <c r="Z168" s="251"/>
      <c r="AA168" s="243"/>
      <c r="AB168" s="243"/>
      <c r="AC168" s="243"/>
      <c r="AD168" s="243"/>
      <c r="AE168" s="243"/>
      <c r="AF168" s="243"/>
      <c r="AG168" s="243"/>
      <c r="AH168" s="243"/>
      <c r="AI168" s="243"/>
      <c r="AJ168" s="251"/>
    </row>
    <row r="169" spans="1:36" ht="15" thickTop="1" thickBot="1" x14ac:dyDescent="0.35">
      <c r="A169" s="234"/>
      <c r="B169" s="234" t="s">
        <v>1236</v>
      </c>
      <c r="D169" s="234" t="s">
        <v>739</v>
      </c>
      <c r="E169" s="235"/>
      <c r="F169" s="235" t="str">
        <f t="shared" si="262"/>
        <v>-</v>
      </c>
      <c r="G169" s="235" t="str">
        <f t="shared" si="263"/>
        <v>-</v>
      </c>
      <c r="H169" s="235"/>
      <c r="I169" s="236"/>
      <c r="J169" s="236"/>
      <c r="K169" s="241" t="str">
        <f ca="1">IF(Table1192[[#This Row],[VALID]],Table1192[[#This Row],[VALID]]-TODAY(),"-")</f>
        <v>-</v>
      </c>
      <c r="L169" s="244"/>
      <c r="M169" s="238"/>
      <c r="N169" s="237"/>
      <c r="O169" s="237"/>
      <c r="P169" s="237"/>
      <c r="Q169" s="250"/>
      <c r="R169" s="238"/>
      <c r="S169" s="237"/>
      <c r="T169" s="237"/>
      <c r="U169" s="237"/>
      <c r="V169" s="250"/>
      <c r="W169" s="239"/>
      <c r="X169" s="237"/>
      <c r="Y169" s="242"/>
      <c r="Z169" s="251"/>
      <c r="AA169" s="243"/>
      <c r="AB169" s="243"/>
      <c r="AC169" s="243"/>
      <c r="AD169" s="243"/>
      <c r="AE169" s="243"/>
      <c r="AF169" s="243"/>
      <c r="AG169" s="243"/>
      <c r="AH169" s="243"/>
      <c r="AI169" s="243"/>
      <c r="AJ169" s="251"/>
    </row>
    <row r="170" spans="1:36" ht="15" thickTop="1" thickBot="1" x14ac:dyDescent="0.35">
      <c r="A170" s="234"/>
      <c r="B170" s="234" t="s">
        <v>1228</v>
      </c>
      <c r="D170" s="234" t="s">
        <v>1161</v>
      </c>
      <c r="E170" s="235"/>
      <c r="F170" s="235" t="str">
        <f t="shared" si="262"/>
        <v>-</v>
      </c>
      <c r="G170" s="235" t="str">
        <f t="shared" si="263"/>
        <v>-</v>
      </c>
      <c r="H170" s="235"/>
      <c r="I170" s="236"/>
      <c r="J170" s="236"/>
      <c r="K170" s="241" t="str">
        <f ca="1">IF(Table1192[[#This Row],[VALID]],Table1192[[#This Row],[VALID]]-TODAY(),"-")</f>
        <v>-</v>
      </c>
      <c r="L170" s="244"/>
      <c r="M170" s="238"/>
      <c r="N170" s="237"/>
      <c r="O170" s="237"/>
      <c r="P170" s="237"/>
      <c r="Q170" s="250"/>
      <c r="R170" s="238"/>
      <c r="S170" s="237"/>
      <c r="T170" s="237"/>
      <c r="U170" s="237"/>
      <c r="V170" s="250"/>
      <c r="W170" s="239"/>
      <c r="X170" s="237"/>
      <c r="Y170" s="242"/>
      <c r="Z170" s="251"/>
      <c r="AA170" s="243"/>
      <c r="AB170" s="243"/>
      <c r="AC170" s="243"/>
      <c r="AD170" s="243"/>
      <c r="AE170" s="243"/>
      <c r="AF170" s="243"/>
      <c r="AG170" s="243"/>
      <c r="AH170" s="243"/>
      <c r="AI170" s="243"/>
      <c r="AJ170" s="251"/>
    </row>
    <row r="171" spans="1:36" ht="15" thickTop="1" thickBot="1" x14ac:dyDescent="0.35">
      <c r="A171" s="234"/>
      <c r="B171" s="234" t="s">
        <v>1228</v>
      </c>
      <c r="D171" s="234" t="s">
        <v>1162</v>
      </c>
      <c r="E171" s="235"/>
      <c r="F171" s="235" t="str">
        <f t="shared" si="262"/>
        <v>-</v>
      </c>
      <c r="G171" s="235" t="str">
        <f t="shared" si="263"/>
        <v>-</v>
      </c>
      <c r="H171" s="235"/>
      <c r="I171" s="236"/>
      <c r="J171" s="236"/>
      <c r="K171" s="241" t="str">
        <f ca="1">IF(Table1192[[#This Row],[VALID]],Table1192[[#This Row],[VALID]]-TODAY(),"-")</f>
        <v>-</v>
      </c>
      <c r="L171" s="244"/>
      <c r="M171" s="238"/>
      <c r="N171" s="237"/>
      <c r="O171" s="237"/>
      <c r="P171" s="237"/>
      <c r="Q171" s="250"/>
      <c r="R171" s="238"/>
      <c r="S171" s="237"/>
      <c r="T171" s="237"/>
      <c r="U171" s="237"/>
      <c r="V171" s="250"/>
      <c r="W171" s="239"/>
      <c r="X171" s="237"/>
      <c r="Y171" s="242"/>
      <c r="Z171" s="251"/>
      <c r="AA171" s="243"/>
      <c r="AB171" s="243"/>
      <c r="AC171" s="243"/>
      <c r="AD171" s="243"/>
      <c r="AE171" s="243"/>
      <c r="AF171" s="243"/>
      <c r="AG171" s="243"/>
      <c r="AH171" s="243"/>
      <c r="AI171" s="243"/>
      <c r="AJ171" s="251"/>
    </row>
    <row r="172" spans="1:36" ht="15" thickTop="1" thickBot="1" x14ac:dyDescent="0.35">
      <c r="A172" s="234"/>
      <c r="B172" s="234" t="s">
        <v>1264</v>
      </c>
      <c r="D172" s="234" t="s">
        <v>504</v>
      </c>
      <c r="E172" s="235"/>
      <c r="F172" s="235" t="str">
        <f t="shared" si="262"/>
        <v>-</v>
      </c>
      <c r="G172" s="235" t="str">
        <f t="shared" si="263"/>
        <v>-</v>
      </c>
      <c r="H172" s="235"/>
      <c r="I172" s="236"/>
      <c r="J172" s="236"/>
      <c r="K172" s="241" t="str">
        <f ca="1">IF(Table1192[[#This Row],[VALID]],Table1192[[#This Row],[VALID]]-TODAY(),"-")</f>
        <v>-</v>
      </c>
      <c r="L172" s="244"/>
      <c r="M172" s="238"/>
      <c r="N172" s="237"/>
      <c r="O172" s="237"/>
      <c r="P172" s="237"/>
      <c r="Q172" s="250"/>
      <c r="R172" s="238"/>
      <c r="S172" s="237"/>
      <c r="T172" s="237"/>
      <c r="U172" s="237"/>
      <c r="V172" s="250"/>
      <c r="W172" s="239"/>
      <c r="X172" s="237"/>
      <c r="Y172" s="242"/>
      <c r="Z172" s="251"/>
      <c r="AA172" s="243"/>
      <c r="AB172" s="243"/>
      <c r="AC172" s="243"/>
      <c r="AD172" s="243"/>
      <c r="AE172" s="243"/>
      <c r="AF172" s="243"/>
      <c r="AG172" s="243"/>
      <c r="AH172" s="243"/>
      <c r="AI172" s="243"/>
      <c r="AJ172" s="251"/>
    </row>
    <row r="173" spans="1:36" ht="15" thickTop="1" thickBot="1" x14ac:dyDescent="0.35">
      <c r="A173" s="234"/>
      <c r="B173" s="234" t="s">
        <v>1264</v>
      </c>
      <c r="D173" s="234" t="s">
        <v>506</v>
      </c>
      <c r="E173" s="235"/>
      <c r="F173" s="235" t="str">
        <f t="shared" si="262"/>
        <v>-</v>
      </c>
      <c r="G173" s="235" t="str">
        <f t="shared" si="263"/>
        <v>-</v>
      </c>
      <c r="H173" s="235"/>
      <c r="I173" s="236"/>
      <c r="J173" s="236"/>
      <c r="K173" s="241" t="str">
        <f ca="1">IF(Table1192[[#This Row],[VALID]],Table1192[[#This Row],[VALID]]-TODAY(),"-")</f>
        <v>-</v>
      </c>
      <c r="L173" s="244"/>
      <c r="M173" s="238"/>
      <c r="N173" s="237"/>
      <c r="O173" s="237"/>
      <c r="P173" s="237"/>
      <c r="Q173" s="250"/>
      <c r="R173" s="238"/>
      <c r="S173" s="237"/>
      <c r="T173" s="237"/>
      <c r="U173" s="237"/>
      <c r="V173" s="250"/>
      <c r="W173" s="239"/>
      <c r="X173" s="237"/>
      <c r="Y173" s="242"/>
      <c r="Z173" s="251"/>
      <c r="AA173" s="243"/>
      <c r="AB173" s="243"/>
      <c r="AC173" s="243"/>
      <c r="AD173" s="243"/>
      <c r="AE173" s="243"/>
      <c r="AF173" s="243"/>
      <c r="AG173" s="243"/>
      <c r="AH173" s="243"/>
      <c r="AI173" s="243"/>
      <c r="AJ173" s="251"/>
    </row>
    <row r="174" spans="1:36" ht="15" thickTop="1" thickBot="1" x14ac:dyDescent="0.35">
      <c r="A174" s="234"/>
      <c r="B174" s="234" t="s">
        <v>1264</v>
      </c>
      <c r="D174" s="234" t="s">
        <v>621</v>
      </c>
      <c r="E174" s="235"/>
      <c r="F174" s="235" t="str">
        <f t="shared" si="262"/>
        <v>-</v>
      </c>
      <c r="G174" s="235" t="str">
        <f t="shared" si="263"/>
        <v>-</v>
      </c>
      <c r="H174" s="235"/>
      <c r="I174" s="236"/>
      <c r="J174" s="236"/>
      <c r="K174" s="241" t="str">
        <f ca="1">IF(Table1192[[#This Row],[VALID]],Table1192[[#This Row],[VALID]]-TODAY(),"-")</f>
        <v>-</v>
      </c>
      <c r="L174" s="244"/>
      <c r="M174" s="238"/>
      <c r="N174" s="237"/>
      <c r="O174" s="237"/>
      <c r="P174" s="237"/>
      <c r="Q174" s="250"/>
      <c r="R174" s="238"/>
      <c r="S174" s="237"/>
      <c r="T174" s="237"/>
      <c r="U174" s="237"/>
      <c r="V174" s="250"/>
      <c r="W174" s="239"/>
      <c r="X174" s="237"/>
      <c r="Y174" s="242"/>
      <c r="Z174" s="251"/>
      <c r="AA174" s="243"/>
      <c r="AB174" s="243"/>
      <c r="AC174" s="243"/>
      <c r="AD174" s="243"/>
      <c r="AE174" s="243"/>
      <c r="AF174" s="243"/>
      <c r="AG174" s="243"/>
      <c r="AH174" s="243"/>
      <c r="AI174" s="243"/>
      <c r="AJ174" s="251"/>
    </row>
    <row r="175" spans="1:36" ht="15" thickTop="1" thickBot="1" x14ac:dyDescent="0.35">
      <c r="A175" s="234"/>
      <c r="B175" s="234" t="s">
        <v>1264</v>
      </c>
      <c r="D175" s="234" t="s">
        <v>672</v>
      </c>
      <c r="E175" s="235"/>
      <c r="F175" s="235" t="str">
        <f t="shared" si="262"/>
        <v>-</v>
      </c>
      <c r="G175" s="235" t="str">
        <f t="shared" si="263"/>
        <v>-</v>
      </c>
      <c r="H175" s="235"/>
      <c r="I175" s="236"/>
      <c r="J175" s="236"/>
      <c r="K175" s="241" t="str">
        <f ca="1">IF(Table1192[[#This Row],[VALID]],Table1192[[#This Row],[VALID]]-TODAY(),"-")</f>
        <v>-</v>
      </c>
      <c r="L175" s="244"/>
      <c r="M175" s="238"/>
      <c r="N175" s="237"/>
      <c r="O175" s="237"/>
      <c r="P175" s="237"/>
      <c r="Q175" s="250"/>
      <c r="R175" s="238"/>
      <c r="S175" s="237"/>
      <c r="T175" s="237"/>
      <c r="U175" s="237"/>
      <c r="V175" s="250"/>
      <c r="W175" s="239"/>
      <c r="X175" s="237"/>
      <c r="Y175" s="242"/>
      <c r="Z175" s="251"/>
      <c r="AA175" s="243"/>
      <c r="AB175" s="243"/>
      <c r="AC175" s="243"/>
      <c r="AD175" s="243"/>
      <c r="AE175" s="243"/>
      <c r="AF175" s="243"/>
      <c r="AG175" s="243"/>
      <c r="AH175" s="243"/>
      <c r="AI175" s="243"/>
      <c r="AJ175" s="251"/>
    </row>
    <row r="176" spans="1:36" ht="15" thickTop="1" thickBot="1" x14ac:dyDescent="0.35">
      <c r="A176" s="234"/>
      <c r="B176" s="234" t="s">
        <v>1264</v>
      </c>
      <c r="D176" s="234" t="s">
        <v>737</v>
      </c>
      <c r="E176" s="235"/>
      <c r="F176" s="235" t="str">
        <f t="shared" si="262"/>
        <v>-</v>
      </c>
      <c r="G176" s="235" t="str">
        <f t="shared" si="263"/>
        <v>-</v>
      </c>
      <c r="H176" s="235"/>
      <c r="I176" s="236"/>
      <c r="J176" s="236"/>
      <c r="K176" s="241" t="str">
        <f ca="1">IF(Table1192[[#This Row],[VALID]],Table1192[[#This Row],[VALID]]-TODAY(),"-")</f>
        <v>-</v>
      </c>
      <c r="L176" s="244"/>
      <c r="M176" s="238"/>
      <c r="N176" s="237"/>
      <c r="O176" s="237"/>
      <c r="P176" s="237"/>
      <c r="Q176" s="250"/>
      <c r="R176" s="238"/>
      <c r="S176" s="237"/>
      <c r="T176" s="237"/>
      <c r="U176" s="237"/>
      <c r="V176" s="250"/>
      <c r="W176" s="239"/>
      <c r="X176" s="237"/>
      <c r="Y176" s="242"/>
      <c r="Z176" s="251"/>
      <c r="AA176" s="243"/>
      <c r="AB176" s="243"/>
      <c r="AC176" s="243"/>
      <c r="AD176" s="243"/>
      <c r="AE176" s="243"/>
      <c r="AF176" s="243"/>
      <c r="AG176" s="243"/>
      <c r="AH176" s="243"/>
      <c r="AI176" s="243"/>
      <c r="AJ176" s="251"/>
    </row>
    <row r="177" spans="1:36" ht="15" thickTop="1" thickBot="1" x14ac:dyDescent="0.35">
      <c r="A177" s="234"/>
      <c r="B177" s="234" t="s">
        <v>1264</v>
      </c>
      <c r="D177" s="234" t="s">
        <v>1102</v>
      </c>
      <c r="E177" s="235"/>
      <c r="F177" s="235" t="str">
        <f t="shared" si="262"/>
        <v>-</v>
      </c>
      <c r="G177" s="235" t="str">
        <f t="shared" si="263"/>
        <v>-</v>
      </c>
      <c r="H177" s="235"/>
      <c r="I177" s="236"/>
      <c r="J177" s="236"/>
      <c r="K177" s="241" t="str">
        <f ca="1">IF(Table1192[[#This Row],[VALID]],Table1192[[#This Row],[VALID]]-TODAY(),"-")</f>
        <v>-</v>
      </c>
      <c r="L177" s="244"/>
      <c r="M177" s="238"/>
      <c r="N177" s="237"/>
      <c r="O177" s="237"/>
      <c r="P177" s="237"/>
      <c r="Q177" s="250"/>
      <c r="R177" s="238"/>
      <c r="S177" s="237"/>
      <c r="T177" s="237"/>
      <c r="U177" s="237"/>
      <c r="V177" s="250"/>
      <c r="W177" s="239"/>
      <c r="X177" s="237"/>
      <c r="Y177" s="242"/>
      <c r="Z177" s="251"/>
      <c r="AA177" s="243"/>
      <c r="AB177" s="243"/>
      <c r="AC177" s="243"/>
      <c r="AD177" s="243"/>
      <c r="AE177" s="243"/>
      <c r="AF177" s="243"/>
      <c r="AG177" s="243"/>
      <c r="AH177" s="243"/>
      <c r="AI177" s="243"/>
      <c r="AJ177" s="251"/>
    </row>
    <row r="178" spans="1:36" ht="15" thickTop="1" thickBot="1" x14ac:dyDescent="0.35">
      <c r="A178" s="234"/>
      <c r="B178" s="234" t="s">
        <v>1264</v>
      </c>
      <c r="D178" s="234" t="s">
        <v>1209</v>
      </c>
      <c r="E178" s="235"/>
      <c r="F178" s="235" t="str">
        <f t="shared" si="262"/>
        <v>-</v>
      </c>
      <c r="G178" s="235" t="str">
        <f t="shared" si="263"/>
        <v>-</v>
      </c>
      <c r="H178" s="235"/>
      <c r="I178" s="236"/>
      <c r="J178" s="236"/>
      <c r="K178" s="241" t="str">
        <f ca="1">IF(Table1192[[#This Row],[VALID]],Table1192[[#This Row],[VALID]]-TODAY(),"-")</f>
        <v>-</v>
      </c>
      <c r="L178" s="244"/>
      <c r="M178" s="238"/>
      <c r="N178" s="237"/>
      <c r="O178" s="237"/>
      <c r="P178" s="237"/>
      <c r="Q178" s="250"/>
      <c r="R178" s="238"/>
      <c r="S178" s="237"/>
      <c r="T178" s="237"/>
      <c r="U178" s="237"/>
      <c r="V178" s="250"/>
      <c r="W178" s="239"/>
      <c r="X178" s="237"/>
      <c r="Y178" s="242"/>
      <c r="Z178" s="251"/>
      <c r="AA178" s="243"/>
      <c r="AB178" s="243"/>
      <c r="AC178" s="243"/>
      <c r="AD178" s="243"/>
      <c r="AE178" s="243"/>
      <c r="AF178" s="243"/>
      <c r="AG178" s="243"/>
      <c r="AH178" s="243"/>
      <c r="AI178" s="243"/>
      <c r="AJ178" s="251"/>
    </row>
    <row r="179" spans="1:36" ht="15" thickTop="1" thickBot="1" x14ac:dyDescent="0.35">
      <c r="A179" s="234"/>
      <c r="B179" s="234" t="s">
        <v>1264</v>
      </c>
      <c r="D179" s="234" t="s">
        <v>1210</v>
      </c>
      <c r="E179" s="235"/>
      <c r="F179" s="235" t="str">
        <f t="shared" si="262"/>
        <v>-</v>
      </c>
      <c r="G179" s="235" t="str">
        <f t="shared" si="263"/>
        <v>-</v>
      </c>
      <c r="H179" s="235"/>
      <c r="I179" s="236"/>
      <c r="J179" s="236"/>
      <c r="K179" s="241" t="str">
        <f ca="1">IF(Table1192[[#This Row],[VALID]],Table1192[[#This Row],[VALID]]-TODAY(),"-")</f>
        <v>-</v>
      </c>
      <c r="L179" s="244"/>
      <c r="M179" s="238"/>
      <c r="N179" s="237"/>
      <c r="O179" s="237"/>
      <c r="P179" s="237"/>
      <c r="Q179" s="250"/>
      <c r="R179" s="238"/>
      <c r="S179" s="237"/>
      <c r="T179" s="237"/>
      <c r="U179" s="237"/>
      <c r="V179" s="250"/>
      <c r="W179" s="239"/>
      <c r="X179" s="237"/>
      <c r="Y179" s="242"/>
      <c r="Z179" s="251"/>
      <c r="AA179" s="243"/>
      <c r="AB179" s="243"/>
      <c r="AC179" s="243"/>
      <c r="AD179" s="243"/>
      <c r="AE179" s="243"/>
      <c r="AF179" s="243"/>
      <c r="AG179" s="243"/>
      <c r="AH179" s="243"/>
      <c r="AI179" s="243"/>
      <c r="AJ179" s="251"/>
    </row>
    <row r="180" spans="1:36" ht="15" thickTop="1" thickBot="1" x14ac:dyDescent="0.35">
      <c r="A180" s="234"/>
      <c r="B180" s="234" t="s">
        <v>1216</v>
      </c>
      <c r="D180" s="234" t="s">
        <v>60</v>
      </c>
      <c r="E180" s="235"/>
      <c r="F180" s="235" t="str">
        <f t="shared" si="262"/>
        <v>-</v>
      </c>
      <c r="G180" s="235" t="str">
        <f t="shared" si="263"/>
        <v>-</v>
      </c>
      <c r="H180" s="235"/>
      <c r="I180" s="236"/>
      <c r="J180" s="236"/>
      <c r="K180" s="241" t="str">
        <f ca="1">IF(Table1192[[#This Row],[VALID]],Table1192[[#This Row],[VALID]]-TODAY(),"-")</f>
        <v>-</v>
      </c>
      <c r="L180" s="244"/>
      <c r="M180" s="238"/>
      <c r="N180" s="237"/>
      <c r="O180" s="237"/>
      <c r="P180" s="237"/>
      <c r="Q180" s="250"/>
      <c r="R180" s="238"/>
      <c r="S180" s="237"/>
      <c r="T180" s="237"/>
      <c r="U180" s="237"/>
      <c r="V180" s="250"/>
      <c r="W180" s="239"/>
      <c r="X180" s="237"/>
      <c r="Y180" s="242"/>
      <c r="Z180" s="251"/>
      <c r="AA180" s="243"/>
      <c r="AB180" s="243"/>
      <c r="AC180" s="243"/>
      <c r="AD180" s="243"/>
      <c r="AE180" s="243"/>
      <c r="AF180" s="243"/>
      <c r="AG180" s="243"/>
      <c r="AH180" s="243"/>
      <c r="AI180" s="243"/>
      <c r="AJ180" s="251"/>
    </row>
    <row r="181" spans="1:36" ht="15" thickTop="1" thickBot="1" x14ac:dyDescent="0.35">
      <c r="A181" s="234"/>
      <c r="B181" s="234" t="s">
        <v>1216</v>
      </c>
      <c r="D181" s="234" t="s">
        <v>685</v>
      </c>
      <c r="E181" s="235"/>
      <c r="F181" s="235" t="str">
        <f t="shared" si="262"/>
        <v>-</v>
      </c>
      <c r="G181" s="235" t="str">
        <f t="shared" si="263"/>
        <v>-</v>
      </c>
      <c r="H181" s="235"/>
      <c r="I181" s="236"/>
      <c r="J181" s="236"/>
      <c r="K181" s="241" t="str">
        <f ca="1">IF(Table1192[[#This Row],[VALID]],Table1192[[#This Row],[VALID]]-TODAY(),"-")</f>
        <v>-</v>
      </c>
      <c r="L181" s="244"/>
      <c r="M181" s="238"/>
      <c r="N181" s="237"/>
      <c r="O181" s="237"/>
      <c r="P181" s="237"/>
      <c r="Q181" s="250"/>
      <c r="R181" s="238"/>
      <c r="S181" s="237"/>
      <c r="T181" s="237"/>
      <c r="U181" s="237"/>
      <c r="V181" s="250"/>
      <c r="W181" s="239"/>
      <c r="X181" s="237"/>
      <c r="Y181" s="242"/>
      <c r="Z181" s="251"/>
      <c r="AA181" s="243"/>
      <c r="AB181" s="243"/>
      <c r="AC181" s="243"/>
      <c r="AD181" s="243"/>
      <c r="AE181" s="243"/>
      <c r="AF181" s="243"/>
      <c r="AG181" s="243"/>
      <c r="AH181" s="243"/>
      <c r="AI181" s="776"/>
      <c r="AJ181" s="251"/>
    </row>
    <row r="182" spans="1:36" ht="15" thickTop="1" thickBot="1" x14ac:dyDescent="0.35">
      <c r="A182" s="234"/>
      <c r="B182" s="234" t="s">
        <v>1275</v>
      </c>
      <c r="D182" s="234" t="s">
        <v>558</v>
      </c>
      <c r="E182" s="235"/>
      <c r="F182" s="235" t="str">
        <f t="shared" si="262"/>
        <v>-</v>
      </c>
      <c r="G182" s="235" t="str">
        <f t="shared" si="263"/>
        <v>-</v>
      </c>
      <c r="H182" s="235"/>
      <c r="I182" s="236"/>
      <c r="J182" s="236"/>
      <c r="K182" s="241" t="str">
        <f ca="1">IF(Table1192[[#This Row],[VALID]],Table1192[[#This Row],[VALID]]-TODAY(),"-")</f>
        <v>-</v>
      </c>
      <c r="L182" s="244"/>
      <c r="M182" s="238"/>
      <c r="N182" s="237"/>
      <c r="O182" s="237"/>
      <c r="P182" s="237"/>
      <c r="Q182" s="250"/>
      <c r="R182" s="238"/>
      <c r="S182" s="237"/>
      <c r="T182" s="237"/>
      <c r="U182" s="237"/>
      <c r="V182" s="250"/>
      <c r="W182" s="239"/>
      <c r="X182" s="237"/>
      <c r="Y182" s="242"/>
      <c r="Z182" s="251"/>
      <c r="AA182" s="243"/>
      <c r="AB182" s="243"/>
      <c r="AC182" s="243"/>
      <c r="AD182" s="243"/>
      <c r="AE182" s="243"/>
      <c r="AF182" s="243"/>
      <c r="AG182" s="243"/>
      <c r="AH182" s="243"/>
      <c r="AI182" s="243"/>
      <c r="AJ182" s="251"/>
    </row>
    <row r="183" spans="1:36" ht="15" thickTop="1" thickBot="1" x14ac:dyDescent="0.35">
      <c r="A183" s="234"/>
      <c r="B183" s="234" t="s">
        <v>1261</v>
      </c>
      <c r="D183" s="234" t="s">
        <v>494</v>
      </c>
      <c r="E183" s="235"/>
      <c r="F183" s="235" t="str">
        <f t="shared" si="262"/>
        <v>-</v>
      </c>
      <c r="G183" s="235" t="str">
        <f t="shared" si="263"/>
        <v>-</v>
      </c>
      <c r="H183" s="235"/>
      <c r="I183" s="236"/>
      <c r="J183" s="236"/>
      <c r="K183" s="241" t="str">
        <f ca="1">IF(Table1192[[#This Row],[VALID]],Table1192[[#This Row],[VALID]]-TODAY(),"-")</f>
        <v>-</v>
      </c>
      <c r="L183" s="244"/>
      <c r="M183" s="238"/>
      <c r="N183" s="237"/>
      <c r="O183" s="237"/>
      <c r="P183" s="237"/>
      <c r="Q183" s="250"/>
      <c r="R183" s="238"/>
      <c r="S183" s="237"/>
      <c r="T183" s="237"/>
      <c r="U183" s="237"/>
      <c r="V183" s="250"/>
      <c r="W183" s="239"/>
      <c r="X183" s="237"/>
      <c r="Y183" s="242"/>
      <c r="Z183" s="251"/>
      <c r="AA183" s="243"/>
      <c r="AB183" s="243"/>
      <c r="AC183" s="243"/>
      <c r="AD183" s="243"/>
      <c r="AE183" s="243"/>
      <c r="AF183" s="243"/>
      <c r="AG183" s="243"/>
      <c r="AH183" s="243"/>
      <c r="AI183" s="243"/>
      <c r="AJ183" s="251"/>
    </row>
    <row r="184" spans="1:36" ht="15" thickTop="1" thickBot="1" x14ac:dyDescent="0.35">
      <c r="A184" s="234"/>
      <c r="B184" s="234" t="s">
        <v>1261</v>
      </c>
      <c r="D184" s="234" t="s">
        <v>515</v>
      </c>
      <c r="E184" s="235"/>
      <c r="F184" s="235" t="str">
        <f t="shared" si="262"/>
        <v>-</v>
      </c>
      <c r="G184" s="235" t="str">
        <f t="shared" si="263"/>
        <v>-</v>
      </c>
      <c r="H184" s="235"/>
      <c r="I184" s="236"/>
      <c r="J184" s="236"/>
      <c r="K184" s="241" t="str">
        <f ca="1">IF(Table1192[[#This Row],[VALID]],Table1192[[#This Row],[VALID]]-TODAY(),"-")</f>
        <v>-</v>
      </c>
      <c r="L184" s="244"/>
      <c r="M184" s="238"/>
      <c r="N184" s="237"/>
      <c r="O184" s="237"/>
      <c r="P184" s="237"/>
      <c r="Q184" s="250"/>
      <c r="R184" s="238"/>
      <c r="S184" s="237"/>
      <c r="T184" s="237"/>
      <c r="U184" s="237"/>
      <c r="V184" s="250"/>
      <c r="W184" s="239"/>
      <c r="X184" s="237"/>
      <c r="Y184" s="242"/>
      <c r="Z184" s="251"/>
      <c r="AA184" s="243"/>
      <c r="AB184" s="243"/>
      <c r="AC184" s="243"/>
      <c r="AD184" s="243"/>
      <c r="AE184" s="243"/>
      <c r="AF184" s="243"/>
      <c r="AG184" s="243"/>
      <c r="AH184" s="243"/>
      <c r="AI184" s="243"/>
      <c r="AJ184" s="251"/>
    </row>
    <row r="185" spans="1:36" ht="15" thickTop="1" thickBot="1" x14ac:dyDescent="0.35">
      <c r="A185" s="234"/>
      <c r="B185" s="234" t="s">
        <v>1261</v>
      </c>
      <c r="D185" s="234" t="s">
        <v>524</v>
      </c>
      <c r="E185" s="235"/>
      <c r="F185" s="235" t="str">
        <f t="shared" si="262"/>
        <v>-</v>
      </c>
      <c r="G185" s="235" t="str">
        <f t="shared" si="263"/>
        <v>-</v>
      </c>
      <c r="H185" s="235"/>
      <c r="I185" s="236"/>
      <c r="J185" s="236"/>
      <c r="K185" s="241" t="str">
        <f ca="1">IF(Table1192[[#This Row],[VALID]],Table1192[[#This Row],[VALID]]-TODAY(),"-")</f>
        <v>-</v>
      </c>
      <c r="L185" s="244"/>
      <c r="M185" s="238"/>
      <c r="N185" s="237"/>
      <c r="O185" s="237"/>
      <c r="P185" s="237"/>
      <c r="Q185" s="250"/>
      <c r="R185" s="238"/>
      <c r="S185" s="237"/>
      <c r="T185" s="237"/>
      <c r="U185" s="237"/>
      <c r="V185" s="250"/>
      <c r="W185" s="239"/>
      <c r="X185" s="237"/>
      <c r="Y185" s="242"/>
      <c r="Z185" s="251"/>
      <c r="AA185" s="243"/>
      <c r="AB185" s="243"/>
      <c r="AC185" s="243"/>
      <c r="AD185" s="243"/>
      <c r="AE185" s="243"/>
      <c r="AF185" s="243"/>
      <c r="AG185" s="243"/>
      <c r="AH185" s="243"/>
      <c r="AI185" s="243"/>
      <c r="AJ185" s="251"/>
    </row>
    <row r="186" spans="1:36" ht="15" thickTop="1" thickBot="1" x14ac:dyDescent="0.35">
      <c r="A186" s="234"/>
      <c r="B186" s="234" t="s">
        <v>1261</v>
      </c>
      <c r="D186" s="234" t="s">
        <v>555</v>
      </c>
      <c r="E186" s="235"/>
      <c r="F186" s="235" t="str">
        <f t="shared" si="262"/>
        <v>-</v>
      </c>
      <c r="G186" s="235" t="str">
        <f t="shared" si="263"/>
        <v>-</v>
      </c>
      <c r="H186" s="235"/>
      <c r="I186" s="236"/>
      <c r="J186" s="236"/>
      <c r="K186" s="241" t="str">
        <f ca="1">IF(Table1192[[#This Row],[VALID]],Table1192[[#This Row],[VALID]]-TODAY(),"-")</f>
        <v>-</v>
      </c>
      <c r="L186" s="244"/>
      <c r="M186" s="238"/>
      <c r="N186" s="237"/>
      <c r="O186" s="237"/>
      <c r="P186" s="237"/>
      <c r="Q186" s="250"/>
      <c r="R186" s="238"/>
      <c r="S186" s="237"/>
      <c r="T186" s="237"/>
      <c r="U186" s="237"/>
      <c r="V186" s="250"/>
      <c r="W186" s="239"/>
      <c r="X186" s="237"/>
      <c r="Y186" s="242"/>
      <c r="Z186" s="251"/>
      <c r="AA186" s="243"/>
      <c r="AB186" s="243"/>
      <c r="AC186" s="243"/>
      <c r="AD186" s="243"/>
      <c r="AE186" s="243"/>
      <c r="AF186" s="243"/>
      <c r="AG186" s="243"/>
      <c r="AH186" s="243"/>
      <c r="AI186" s="243"/>
      <c r="AJ186" s="251"/>
    </row>
    <row r="187" spans="1:36" ht="15" thickTop="1" thickBot="1" x14ac:dyDescent="0.35">
      <c r="A187" s="234"/>
      <c r="B187" s="234" t="s">
        <v>1261</v>
      </c>
      <c r="D187" s="234" t="s">
        <v>561</v>
      </c>
      <c r="E187" s="235"/>
      <c r="F187" s="235" t="str">
        <f t="shared" si="262"/>
        <v>-</v>
      </c>
      <c r="G187" s="235" t="str">
        <f t="shared" si="263"/>
        <v>-</v>
      </c>
      <c r="H187" s="235"/>
      <c r="I187" s="236"/>
      <c r="J187" s="236"/>
      <c r="K187" s="241" t="str">
        <f ca="1">IF(Table1192[[#This Row],[VALID]],Table1192[[#This Row],[VALID]]-TODAY(),"-")</f>
        <v>-</v>
      </c>
      <c r="L187" s="244"/>
      <c r="M187" s="238"/>
      <c r="N187" s="237"/>
      <c r="O187" s="237"/>
      <c r="P187" s="237"/>
      <c r="Q187" s="250"/>
      <c r="R187" s="238"/>
      <c r="S187" s="237"/>
      <c r="T187" s="237"/>
      <c r="U187" s="237"/>
      <c r="V187" s="250"/>
      <c r="W187" s="239"/>
      <c r="X187" s="237"/>
      <c r="Y187" s="242"/>
      <c r="Z187" s="251"/>
      <c r="AA187" s="243"/>
      <c r="AB187" s="243"/>
      <c r="AC187" s="243"/>
      <c r="AD187" s="243"/>
      <c r="AE187" s="243"/>
      <c r="AF187" s="243"/>
      <c r="AG187" s="243"/>
      <c r="AH187" s="243"/>
      <c r="AI187" s="243"/>
      <c r="AJ187" s="251"/>
    </row>
    <row r="188" spans="1:36" ht="15" thickTop="1" thickBot="1" x14ac:dyDescent="0.35">
      <c r="A188" s="234"/>
      <c r="B188" s="234" t="s">
        <v>1261</v>
      </c>
      <c r="D188" s="234" t="s">
        <v>598</v>
      </c>
      <c r="E188" s="235"/>
      <c r="F188" s="235" t="str">
        <f t="shared" si="262"/>
        <v>-</v>
      </c>
      <c r="G188" s="235" t="str">
        <f t="shared" si="263"/>
        <v>-</v>
      </c>
      <c r="H188" s="235"/>
      <c r="I188" s="236"/>
      <c r="J188" s="236"/>
      <c r="K188" s="241" t="str">
        <f ca="1">IF(Table1192[[#This Row],[VALID]],Table1192[[#This Row],[VALID]]-TODAY(),"-")</f>
        <v>-</v>
      </c>
      <c r="L188" s="244"/>
      <c r="M188" s="238"/>
      <c r="N188" s="237"/>
      <c r="O188" s="237"/>
      <c r="P188" s="237"/>
      <c r="Q188" s="250"/>
      <c r="R188" s="238"/>
      <c r="S188" s="237"/>
      <c r="T188" s="237"/>
      <c r="U188" s="237"/>
      <c r="V188" s="250"/>
      <c r="W188" s="239"/>
      <c r="X188" s="237"/>
      <c r="Y188" s="242"/>
      <c r="Z188" s="251"/>
      <c r="AA188" s="243"/>
      <c r="AB188" s="243"/>
      <c r="AC188" s="243"/>
      <c r="AD188" s="243"/>
      <c r="AE188" s="243"/>
      <c r="AF188" s="243"/>
      <c r="AG188" s="243"/>
      <c r="AH188" s="243"/>
      <c r="AI188" s="243"/>
      <c r="AJ188" s="251"/>
    </row>
    <row r="189" spans="1:36" ht="15" thickTop="1" thickBot="1" x14ac:dyDescent="0.35">
      <c r="A189" s="234"/>
      <c r="B189" s="234" t="s">
        <v>1261</v>
      </c>
      <c r="D189" s="234" t="s">
        <v>606</v>
      </c>
      <c r="E189" s="235"/>
      <c r="F189" s="235" t="str">
        <f t="shared" si="262"/>
        <v>-</v>
      </c>
      <c r="G189" s="235" t="str">
        <f t="shared" si="263"/>
        <v>-</v>
      </c>
      <c r="H189" s="235"/>
      <c r="I189" s="236"/>
      <c r="J189" s="236"/>
      <c r="K189" s="241" t="str">
        <f ca="1">IF(Table1192[[#This Row],[VALID]],Table1192[[#This Row],[VALID]]-TODAY(),"-")</f>
        <v>-</v>
      </c>
      <c r="L189" s="244"/>
      <c r="M189" s="238"/>
      <c r="N189" s="237"/>
      <c r="O189" s="237"/>
      <c r="P189" s="237"/>
      <c r="Q189" s="250"/>
      <c r="R189" s="238"/>
      <c r="S189" s="237"/>
      <c r="T189" s="237"/>
      <c r="U189" s="237"/>
      <c r="V189" s="250"/>
      <c r="W189" s="239"/>
      <c r="X189" s="237"/>
      <c r="Y189" s="242"/>
      <c r="Z189" s="251"/>
      <c r="AA189" s="243"/>
      <c r="AB189" s="243"/>
      <c r="AC189" s="243"/>
      <c r="AD189" s="243"/>
      <c r="AE189" s="243"/>
      <c r="AF189" s="243"/>
      <c r="AG189" s="243"/>
      <c r="AH189" s="243"/>
      <c r="AI189" s="243"/>
      <c r="AJ189" s="251"/>
    </row>
    <row r="190" spans="1:36" ht="15" thickTop="1" thickBot="1" x14ac:dyDescent="0.35">
      <c r="A190" s="234"/>
      <c r="B190" s="234" t="s">
        <v>1261</v>
      </c>
      <c r="D190" s="234" t="s">
        <v>608</v>
      </c>
      <c r="E190" s="235"/>
      <c r="F190" s="235" t="str">
        <f t="shared" si="262"/>
        <v>-</v>
      </c>
      <c r="G190" s="235" t="str">
        <f t="shared" si="263"/>
        <v>-</v>
      </c>
      <c r="H190" s="235"/>
      <c r="I190" s="236"/>
      <c r="J190" s="236"/>
      <c r="K190" s="241" t="str">
        <f ca="1">IF(Table1192[[#This Row],[VALID]],Table1192[[#This Row],[VALID]]-TODAY(),"-")</f>
        <v>-</v>
      </c>
      <c r="L190" s="244"/>
      <c r="M190" s="238"/>
      <c r="N190" s="237"/>
      <c r="O190" s="237"/>
      <c r="P190" s="237"/>
      <c r="Q190" s="250"/>
      <c r="R190" s="238"/>
      <c r="S190" s="237"/>
      <c r="T190" s="237"/>
      <c r="U190" s="237"/>
      <c r="V190" s="250"/>
      <c r="W190" s="239"/>
      <c r="X190" s="237"/>
      <c r="Y190" s="242"/>
      <c r="Z190" s="251"/>
      <c r="AA190" s="243"/>
      <c r="AB190" s="243"/>
      <c r="AC190" s="243"/>
      <c r="AD190" s="243"/>
      <c r="AE190" s="243"/>
      <c r="AF190" s="243"/>
      <c r="AG190" s="243"/>
      <c r="AH190" s="243"/>
      <c r="AI190" s="243"/>
      <c r="AJ190" s="251"/>
    </row>
    <row r="191" spans="1:36" ht="15" thickTop="1" thickBot="1" x14ac:dyDescent="0.35">
      <c r="A191" s="234"/>
      <c r="B191" s="234" t="s">
        <v>1261</v>
      </c>
      <c r="D191" s="234" t="s">
        <v>614</v>
      </c>
      <c r="E191" s="235"/>
      <c r="F191" s="235" t="str">
        <f t="shared" si="262"/>
        <v>-</v>
      </c>
      <c r="G191" s="235" t="str">
        <f t="shared" si="263"/>
        <v>-</v>
      </c>
      <c r="H191" s="235"/>
      <c r="I191" s="236"/>
      <c r="J191" s="236"/>
      <c r="K191" s="241" t="str">
        <f ca="1">IF(Table1192[[#This Row],[VALID]],Table1192[[#This Row],[VALID]]-TODAY(),"-")</f>
        <v>-</v>
      </c>
      <c r="L191" s="244"/>
      <c r="M191" s="238"/>
      <c r="N191" s="237"/>
      <c r="O191" s="237"/>
      <c r="P191" s="237"/>
      <c r="Q191" s="250"/>
      <c r="R191" s="238"/>
      <c r="S191" s="237"/>
      <c r="T191" s="237"/>
      <c r="U191" s="237"/>
      <c r="V191" s="250"/>
      <c r="W191" s="239"/>
      <c r="X191" s="237"/>
      <c r="Y191" s="242"/>
      <c r="Z191" s="251"/>
      <c r="AA191" s="243"/>
      <c r="AB191" s="243"/>
      <c r="AC191" s="243"/>
      <c r="AD191" s="243"/>
      <c r="AE191" s="243"/>
      <c r="AF191" s="243"/>
      <c r="AG191" s="243"/>
      <c r="AH191" s="243"/>
      <c r="AI191" s="243"/>
      <c r="AJ191" s="251"/>
    </row>
    <row r="192" spans="1:36" ht="15" thickTop="1" thickBot="1" x14ac:dyDescent="0.35">
      <c r="A192" s="234"/>
      <c r="B192" s="234" t="s">
        <v>1261</v>
      </c>
      <c r="D192" s="234" t="s">
        <v>634</v>
      </c>
      <c r="E192" s="235"/>
      <c r="F192" s="235" t="str">
        <f t="shared" si="262"/>
        <v>-</v>
      </c>
      <c r="G192" s="235" t="str">
        <f t="shared" si="263"/>
        <v>-</v>
      </c>
      <c r="H192" s="235"/>
      <c r="I192" s="236"/>
      <c r="J192" s="236"/>
      <c r="K192" s="241" t="str">
        <f ca="1">IF(Table1192[[#This Row],[VALID]],Table1192[[#This Row],[VALID]]-TODAY(),"-")</f>
        <v>-</v>
      </c>
      <c r="L192" s="244"/>
      <c r="M192" s="238"/>
      <c r="N192" s="237"/>
      <c r="O192" s="237"/>
      <c r="P192" s="237"/>
      <c r="Q192" s="250"/>
      <c r="R192" s="238"/>
      <c r="S192" s="237"/>
      <c r="T192" s="237"/>
      <c r="U192" s="237"/>
      <c r="V192" s="250"/>
      <c r="W192" s="239"/>
      <c r="X192" s="237"/>
      <c r="Y192" s="242"/>
      <c r="Z192" s="251"/>
      <c r="AA192" s="243"/>
      <c r="AB192" s="243"/>
      <c r="AC192" s="243"/>
      <c r="AD192" s="243"/>
      <c r="AE192" s="243"/>
      <c r="AF192" s="243"/>
      <c r="AG192" s="243"/>
      <c r="AH192" s="243"/>
      <c r="AI192" s="243"/>
      <c r="AJ192" s="251"/>
    </row>
    <row r="193" spans="1:36" ht="15" thickTop="1" thickBot="1" x14ac:dyDescent="0.35">
      <c r="A193" s="234"/>
      <c r="B193" s="234" t="s">
        <v>1261</v>
      </c>
      <c r="D193" s="234" t="s">
        <v>1188</v>
      </c>
      <c r="E193" s="235"/>
      <c r="F193" s="235" t="str">
        <f t="shared" si="262"/>
        <v>-</v>
      </c>
      <c r="G193" s="235" t="str">
        <f t="shared" si="263"/>
        <v>-</v>
      </c>
      <c r="H193" s="235"/>
      <c r="I193" s="236"/>
      <c r="J193" s="236"/>
      <c r="K193" s="241" t="str">
        <f ca="1">IF(Table1192[[#This Row],[VALID]],Table1192[[#This Row],[VALID]]-TODAY(),"-")</f>
        <v>-</v>
      </c>
      <c r="L193" s="244"/>
      <c r="M193" s="238"/>
      <c r="N193" s="237"/>
      <c r="O193" s="237"/>
      <c r="P193" s="237"/>
      <c r="Q193" s="250"/>
      <c r="R193" s="238"/>
      <c r="S193" s="237"/>
      <c r="T193" s="237"/>
      <c r="U193" s="237"/>
      <c r="V193" s="250"/>
      <c r="W193" s="239"/>
      <c r="X193" s="237"/>
      <c r="Y193" s="242"/>
      <c r="Z193" s="251"/>
      <c r="AA193" s="243"/>
      <c r="AB193" s="243"/>
      <c r="AC193" s="243"/>
      <c r="AD193" s="243"/>
      <c r="AE193" s="243"/>
      <c r="AF193" s="243"/>
      <c r="AG193" s="243"/>
      <c r="AH193" s="243"/>
      <c r="AI193" s="243"/>
      <c r="AJ193" s="251"/>
    </row>
    <row r="194" spans="1:36" ht="15" thickTop="1" thickBot="1" x14ac:dyDescent="0.35">
      <c r="A194" s="234"/>
      <c r="B194" s="234" t="s">
        <v>1261</v>
      </c>
      <c r="D194" s="234" t="s">
        <v>701</v>
      </c>
      <c r="E194" s="235"/>
      <c r="F194" s="235" t="str">
        <f t="shared" si="262"/>
        <v>-</v>
      </c>
      <c r="G194" s="235" t="str">
        <f t="shared" si="263"/>
        <v>-</v>
      </c>
      <c r="H194" s="235"/>
      <c r="I194" s="236"/>
      <c r="J194" s="236"/>
      <c r="K194" s="241" t="str">
        <f ca="1">IF(Table1192[[#This Row],[VALID]],Table1192[[#This Row],[VALID]]-TODAY(),"-")</f>
        <v>-</v>
      </c>
      <c r="L194" s="244"/>
      <c r="M194" s="238"/>
      <c r="N194" s="237"/>
      <c r="O194" s="237"/>
      <c r="P194" s="237"/>
      <c r="Q194" s="250"/>
      <c r="R194" s="238"/>
      <c r="S194" s="237"/>
      <c r="T194" s="237"/>
      <c r="U194" s="237"/>
      <c r="V194" s="250"/>
      <c r="W194" s="239"/>
      <c r="X194" s="237"/>
      <c r="Y194" s="242"/>
      <c r="Z194" s="251"/>
      <c r="AA194" s="243"/>
      <c r="AB194" s="243"/>
      <c r="AC194" s="243"/>
      <c r="AD194" s="243"/>
      <c r="AE194" s="243"/>
      <c r="AF194" s="243"/>
      <c r="AG194" s="243"/>
      <c r="AH194" s="243"/>
      <c r="AI194" s="243"/>
      <c r="AJ194" s="251"/>
    </row>
    <row r="195" spans="1:36" ht="15" thickTop="1" thickBot="1" x14ac:dyDescent="0.35">
      <c r="A195" s="234"/>
      <c r="B195" s="234" t="s">
        <v>1261</v>
      </c>
      <c r="D195" s="234" t="s">
        <v>734</v>
      </c>
      <c r="E195" s="235"/>
      <c r="F195" s="235" t="str">
        <f t="shared" si="262"/>
        <v>-</v>
      </c>
      <c r="G195" s="235" t="str">
        <f t="shared" si="263"/>
        <v>-</v>
      </c>
      <c r="H195" s="235"/>
      <c r="I195" s="236"/>
      <c r="J195" s="236"/>
      <c r="K195" s="241" t="str">
        <f ca="1">IF(Table1192[[#This Row],[VALID]],Table1192[[#This Row],[VALID]]-TODAY(),"-")</f>
        <v>-</v>
      </c>
      <c r="L195" s="244"/>
      <c r="M195" s="238"/>
      <c r="N195" s="237"/>
      <c r="O195" s="237"/>
      <c r="P195" s="237"/>
      <c r="Q195" s="250"/>
      <c r="R195" s="238"/>
      <c r="S195" s="237"/>
      <c r="T195" s="237"/>
      <c r="U195" s="237"/>
      <c r="V195" s="250"/>
      <c r="W195" s="239"/>
      <c r="X195" s="237"/>
      <c r="Y195" s="242"/>
      <c r="Z195" s="251"/>
      <c r="AA195" s="243"/>
      <c r="AB195" s="243"/>
      <c r="AC195" s="243"/>
      <c r="AD195" s="243"/>
      <c r="AE195" s="243"/>
      <c r="AF195" s="243"/>
      <c r="AG195" s="243"/>
      <c r="AH195" s="243"/>
      <c r="AI195" s="243"/>
      <c r="AJ195" s="251"/>
    </row>
    <row r="196" spans="1:36" ht="15" thickTop="1" thickBot="1" x14ac:dyDescent="0.35">
      <c r="A196" s="234"/>
      <c r="B196" s="234" t="s">
        <v>1261</v>
      </c>
      <c r="D196" s="234" t="s">
        <v>766</v>
      </c>
      <c r="E196" s="235"/>
      <c r="F196" s="235" t="str">
        <f t="shared" ref="F196:F261" si="264">IF(M196,SUM(M196:P196,W196:X196),"-")</f>
        <v>-</v>
      </c>
      <c r="G196" s="235" t="str">
        <f t="shared" ref="G196:G261" si="265">IF(R196,SUM(R196:U196,W196:X196),"-")</f>
        <v>-</v>
      </c>
      <c r="H196" s="235"/>
      <c r="I196" s="236"/>
      <c r="J196" s="236"/>
      <c r="K196" s="241" t="str">
        <f ca="1">IF(Table1192[[#This Row],[VALID]],Table1192[[#This Row],[VALID]]-TODAY(),"-")</f>
        <v>-</v>
      </c>
      <c r="L196" s="244"/>
      <c r="M196" s="238"/>
      <c r="N196" s="237"/>
      <c r="O196" s="237"/>
      <c r="P196" s="237"/>
      <c r="Q196" s="250"/>
      <c r="R196" s="238"/>
      <c r="S196" s="237"/>
      <c r="T196" s="237"/>
      <c r="U196" s="237"/>
      <c r="V196" s="250"/>
      <c r="W196" s="239"/>
      <c r="X196" s="237"/>
      <c r="Y196" s="242"/>
      <c r="Z196" s="251"/>
      <c r="AA196" s="243"/>
      <c r="AB196" s="243"/>
      <c r="AC196" s="243"/>
      <c r="AD196" s="243"/>
      <c r="AE196" s="243"/>
      <c r="AF196" s="243"/>
      <c r="AG196" s="243"/>
      <c r="AH196" s="243"/>
      <c r="AI196" s="776"/>
      <c r="AJ196" s="251"/>
    </row>
    <row r="197" spans="1:36" ht="15" thickTop="1" thickBot="1" x14ac:dyDescent="0.35">
      <c r="A197" s="234"/>
      <c r="B197" s="234" t="s">
        <v>1261</v>
      </c>
      <c r="D197" s="234" t="s">
        <v>767</v>
      </c>
      <c r="E197" s="235"/>
      <c r="F197" s="235" t="str">
        <f t="shared" si="264"/>
        <v>-</v>
      </c>
      <c r="G197" s="235" t="str">
        <f t="shared" si="265"/>
        <v>-</v>
      </c>
      <c r="H197" s="235"/>
      <c r="I197" s="236"/>
      <c r="J197" s="236"/>
      <c r="K197" s="241" t="str">
        <f ca="1">IF(Table1192[[#This Row],[VALID]],Table1192[[#This Row],[VALID]]-TODAY(),"-")</f>
        <v>-</v>
      </c>
      <c r="L197" s="244"/>
      <c r="M197" s="238"/>
      <c r="N197" s="237"/>
      <c r="O197" s="237"/>
      <c r="P197" s="237"/>
      <c r="Q197" s="250"/>
      <c r="R197" s="238"/>
      <c r="S197" s="237"/>
      <c r="T197" s="237"/>
      <c r="U197" s="237"/>
      <c r="V197" s="250"/>
      <c r="W197" s="239"/>
      <c r="X197" s="237"/>
      <c r="Y197" s="242"/>
      <c r="Z197" s="251"/>
      <c r="AA197" s="243"/>
      <c r="AB197" s="243"/>
      <c r="AC197" s="243"/>
      <c r="AD197" s="243"/>
      <c r="AE197" s="243"/>
      <c r="AF197" s="243"/>
      <c r="AG197" s="243"/>
      <c r="AH197" s="243"/>
      <c r="AI197" s="243"/>
      <c r="AJ197" s="251"/>
    </row>
    <row r="198" spans="1:36" ht="15" thickTop="1" thickBot="1" x14ac:dyDescent="0.35">
      <c r="A198" s="234"/>
      <c r="B198" s="234" t="s">
        <v>1279</v>
      </c>
      <c r="D198" s="234" t="s">
        <v>569</v>
      </c>
      <c r="E198" s="235"/>
      <c r="F198" s="235" t="str">
        <f t="shared" si="264"/>
        <v>-</v>
      </c>
      <c r="G198" s="235" t="str">
        <f t="shared" si="265"/>
        <v>-</v>
      </c>
      <c r="H198" s="235"/>
      <c r="I198" s="236"/>
      <c r="J198" s="236"/>
      <c r="K198" s="241" t="str">
        <f ca="1">IF(Table1192[[#This Row],[VALID]],Table1192[[#This Row],[VALID]]-TODAY(),"-")</f>
        <v>-</v>
      </c>
      <c r="L198" s="244"/>
      <c r="M198" s="238"/>
      <c r="N198" s="237"/>
      <c r="O198" s="237"/>
      <c r="P198" s="237"/>
      <c r="Q198" s="250"/>
      <c r="R198" s="238"/>
      <c r="S198" s="237"/>
      <c r="T198" s="237"/>
      <c r="U198" s="237"/>
      <c r="V198" s="250"/>
      <c r="W198" s="239"/>
      <c r="X198" s="237"/>
      <c r="Y198" s="242"/>
      <c r="Z198" s="251"/>
      <c r="AA198" s="243"/>
      <c r="AB198" s="243"/>
      <c r="AC198" s="243"/>
      <c r="AD198" s="243"/>
      <c r="AE198" s="243"/>
      <c r="AF198" s="243"/>
      <c r="AG198" s="243"/>
      <c r="AH198" s="243"/>
      <c r="AI198" s="243"/>
      <c r="AJ198" s="251"/>
    </row>
    <row r="199" spans="1:36" ht="15" thickTop="1" thickBot="1" x14ac:dyDescent="0.35">
      <c r="A199" s="234"/>
      <c r="B199" s="234" t="s">
        <v>1279</v>
      </c>
      <c r="D199" s="234" t="s">
        <v>610</v>
      </c>
      <c r="E199" s="235"/>
      <c r="F199" s="235" t="str">
        <f t="shared" si="264"/>
        <v>-</v>
      </c>
      <c r="G199" s="235" t="str">
        <f t="shared" si="265"/>
        <v>-</v>
      </c>
      <c r="H199" s="235"/>
      <c r="I199" s="236"/>
      <c r="J199" s="236"/>
      <c r="K199" s="241" t="str">
        <f ca="1">IF(Table1192[[#This Row],[VALID]],Table1192[[#This Row],[VALID]]-TODAY(),"-")</f>
        <v>-</v>
      </c>
      <c r="L199" s="244"/>
      <c r="M199" s="238"/>
      <c r="N199" s="237"/>
      <c r="O199" s="237"/>
      <c r="P199" s="237"/>
      <c r="Q199" s="250"/>
      <c r="R199" s="238"/>
      <c r="S199" s="237"/>
      <c r="T199" s="237"/>
      <c r="U199" s="237"/>
      <c r="V199" s="250"/>
      <c r="W199" s="239"/>
      <c r="X199" s="237"/>
      <c r="Y199" s="242"/>
      <c r="Z199" s="251"/>
      <c r="AA199" s="243"/>
      <c r="AB199" s="243"/>
      <c r="AC199" s="243"/>
      <c r="AD199" s="243"/>
      <c r="AE199" s="243"/>
      <c r="AF199" s="243"/>
      <c r="AG199" s="243"/>
      <c r="AH199" s="243"/>
      <c r="AI199" s="243"/>
      <c r="AJ199" s="251"/>
    </row>
    <row r="200" spans="1:36" ht="15" thickTop="1" thickBot="1" x14ac:dyDescent="0.35">
      <c r="A200" s="234"/>
      <c r="B200" s="234" t="s">
        <v>1279</v>
      </c>
      <c r="D200" s="234" t="s">
        <v>1388</v>
      </c>
      <c r="E200" s="235"/>
      <c r="F200" s="235" t="str">
        <f t="shared" ref="F200" si="266">IF(M200,SUM(M200:P200,W200:X200),"-")</f>
        <v>-</v>
      </c>
      <c r="G200" s="235" t="str">
        <f t="shared" ref="G200" si="267">IF(R200,SUM(R200:U200,W200:X200),"-")</f>
        <v>-</v>
      </c>
      <c r="H200" s="235"/>
      <c r="I200" s="236"/>
      <c r="J200" s="236"/>
      <c r="K200" s="241" t="str">
        <f ca="1">IF(Table1192[[#This Row],[VALID]],Table1192[[#This Row],[VALID]]-TODAY(),"-")</f>
        <v>-</v>
      </c>
      <c r="L200" s="244"/>
      <c r="M200" s="238"/>
      <c r="N200" s="237"/>
      <c r="O200" s="237"/>
      <c r="P200" s="237"/>
      <c r="Q200" s="250"/>
      <c r="R200" s="238"/>
      <c r="S200" s="237"/>
      <c r="T200" s="237"/>
      <c r="U200" s="237"/>
      <c r="V200" s="250"/>
      <c r="W200" s="239"/>
      <c r="X200" s="237"/>
      <c r="Y200" s="242"/>
      <c r="Z200" s="251"/>
      <c r="AA200" s="243"/>
      <c r="AB200" s="243"/>
      <c r="AC200" s="243"/>
      <c r="AD200" s="243"/>
      <c r="AE200" s="243"/>
      <c r="AF200" s="243"/>
      <c r="AG200" s="243"/>
      <c r="AH200" s="243"/>
      <c r="AI200" s="243"/>
      <c r="AJ200" s="251"/>
    </row>
    <row r="201" spans="1:36" ht="15" thickTop="1" thickBot="1" x14ac:dyDescent="0.35">
      <c r="A201" s="234"/>
      <c r="B201" s="234" t="s">
        <v>1277</v>
      </c>
      <c r="D201" s="234" t="s">
        <v>564</v>
      </c>
      <c r="E201" s="235"/>
      <c r="F201" s="235" t="str">
        <f t="shared" si="264"/>
        <v>-</v>
      </c>
      <c r="G201" s="235" t="str">
        <f t="shared" si="265"/>
        <v>-</v>
      </c>
      <c r="H201" s="235"/>
      <c r="I201" s="236"/>
      <c r="J201" s="236"/>
      <c r="K201" s="241" t="str">
        <f ca="1">IF(Table1192[[#This Row],[VALID]],Table1192[[#This Row],[VALID]]-TODAY(),"-")</f>
        <v>-</v>
      </c>
      <c r="L201" s="244"/>
      <c r="M201" s="238"/>
      <c r="N201" s="237"/>
      <c r="O201" s="237"/>
      <c r="P201" s="237"/>
      <c r="Q201" s="250"/>
      <c r="R201" s="238"/>
      <c r="S201" s="237"/>
      <c r="T201" s="237"/>
      <c r="U201" s="237"/>
      <c r="V201" s="250"/>
      <c r="W201" s="239"/>
      <c r="X201" s="237"/>
      <c r="Y201" s="242"/>
      <c r="Z201" s="251"/>
      <c r="AA201" s="243"/>
      <c r="AB201" s="243"/>
      <c r="AC201" s="243"/>
      <c r="AD201" s="243"/>
      <c r="AE201" s="243"/>
      <c r="AF201" s="243"/>
      <c r="AG201" s="243"/>
      <c r="AH201" s="243"/>
      <c r="AI201" s="243"/>
      <c r="AJ201" s="251"/>
    </row>
    <row r="202" spans="1:36" ht="15" thickTop="1" thickBot="1" x14ac:dyDescent="0.35">
      <c r="A202" s="234"/>
      <c r="B202" s="234" t="s">
        <v>1277</v>
      </c>
      <c r="D202" s="234" t="s">
        <v>702</v>
      </c>
      <c r="E202" s="235"/>
      <c r="F202" s="235" t="str">
        <f t="shared" si="264"/>
        <v>-</v>
      </c>
      <c r="G202" s="235" t="str">
        <f t="shared" si="265"/>
        <v>-</v>
      </c>
      <c r="H202" s="235"/>
      <c r="I202" s="236"/>
      <c r="J202" s="236"/>
      <c r="K202" s="241" t="str">
        <f ca="1">IF(Table1192[[#This Row],[VALID]],Table1192[[#This Row],[VALID]]-TODAY(),"-")</f>
        <v>-</v>
      </c>
      <c r="L202" s="244"/>
      <c r="M202" s="238"/>
      <c r="N202" s="237"/>
      <c r="O202" s="237"/>
      <c r="P202" s="237"/>
      <c r="Q202" s="250"/>
      <c r="R202" s="238"/>
      <c r="S202" s="237"/>
      <c r="T202" s="237"/>
      <c r="U202" s="237"/>
      <c r="V202" s="250"/>
      <c r="W202" s="239"/>
      <c r="X202" s="237"/>
      <c r="Y202" s="242"/>
      <c r="Z202" s="251"/>
      <c r="AA202" s="243"/>
      <c r="AB202" s="243"/>
      <c r="AC202" s="243"/>
      <c r="AD202" s="243"/>
      <c r="AE202" s="243"/>
      <c r="AF202" s="243"/>
      <c r="AG202" s="243"/>
      <c r="AH202" s="243"/>
      <c r="AI202" s="243"/>
      <c r="AJ202" s="251"/>
    </row>
    <row r="203" spans="1:36" ht="15" thickTop="1" thickBot="1" x14ac:dyDescent="0.35">
      <c r="A203" s="234"/>
      <c r="B203" s="234" t="s">
        <v>1295</v>
      </c>
      <c r="D203" s="234" t="s">
        <v>674</v>
      </c>
      <c r="E203" s="235"/>
      <c r="F203" s="235" t="str">
        <f t="shared" si="264"/>
        <v>-</v>
      </c>
      <c r="G203" s="235" t="str">
        <f t="shared" si="265"/>
        <v>-</v>
      </c>
      <c r="H203" s="235"/>
      <c r="I203" s="236"/>
      <c r="J203" s="236"/>
      <c r="K203" s="241" t="str">
        <f ca="1">IF(Table1192[[#This Row],[VALID]],Table1192[[#This Row],[VALID]]-TODAY(),"-")</f>
        <v>-</v>
      </c>
      <c r="L203" s="244"/>
      <c r="M203" s="238"/>
      <c r="N203" s="237"/>
      <c r="O203" s="237"/>
      <c r="P203" s="237"/>
      <c r="Q203" s="250"/>
      <c r="R203" s="238"/>
      <c r="S203" s="237"/>
      <c r="T203" s="237"/>
      <c r="U203" s="237"/>
      <c r="V203" s="250"/>
      <c r="W203" s="239"/>
      <c r="X203" s="237"/>
      <c r="Y203" s="242"/>
      <c r="Z203" s="251"/>
      <c r="AA203" s="243"/>
      <c r="AB203" s="243"/>
      <c r="AC203" s="243"/>
      <c r="AD203" s="243"/>
      <c r="AE203" s="243"/>
      <c r="AF203" s="243"/>
      <c r="AG203" s="243"/>
      <c r="AH203" s="243"/>
      <c r="AI203" s="243"/>
      <c r="AJ203" s="251"/>
    </row>
    <row r="204" spans="1:36" ht="15" thickTop="1" thickBot="1" x14ac:dyDescent="0.35">
      <c r="A204" s="234"/>
      <c r="B204" s="234" t="s">
        <v>1276</v>
      </c>
      <c r="D204" s="234" t="s">
        <v>560</v>
      </c>
      <c r="E204" s="235"/>
      <c r="F204" s="235" t="str">
        <f t="shared" si="264"/>
        <v>-</v>
      </c>
      <c r="G204" s="235" t="str">
        <f t="shared" si="265"/>
        <v>-</v>
      </c>
      <c r="H204" s="235"/>
      <c r="I204" s="236"/>
      <c r="J204" s="236"/>
      <c r="K204" s="241" t="str">
        <f ca="1">IF(Table1192[[#This Row],[VALID]],Table1192[[#This Row],[VALID]]-TODAY(),"-")</f>
        <v>-</v>
      </c>
      <c r="L204" s="244"/>
      <c r="M204" s="238"/>
      <c r="N204" s="237"/>
      <c r="O204" s="237"/>
      <c r="P204" s="237"/>
      <c r="Q204" s="250"/>
      <c r="R204" s="238"/>
      <c r="S204" s="237"/>
      <c r="T204" s="237"/>
      <c r="U204" s="237"/>
      <c r="V204" s="250"/>
      <c r="W204" s="239"/>
      <c r="X204" s="237"/>
      <c r="Y204" s="242"/>
      <c r="Z204" s="251"/>
      <c r="AA204" s="243"/>
      <c r="AB204" s="243"/>
      <c r="AC204" s="243"/>
      <c r="AD204" s="243"/>
      <c r="AE204" s="243"/>
      <c r="AF204" s="243"/>
      <c r="AG204" s="243"/>
      <c r="AH204" s="243"/>
      <c r="AI204" s="243"/>
      <c r="AJ204" s="251"/>
    </row>
    <row r="205" spans="1:36" ht="15" thickTop="1" thickBot="1" x14ac:dyDescent="0.35">
      <c r="A205" s="234"/>
      <c r="B205" s="234" t="s">
        <v>1298</v>
      </c>
      <c r="D205" s="234" t="s">
        <v>732</v>
      </c>
      <c r="E205" s="235"/>
      <c r="F205" s="235" t="str">
        <f t="shared" si="264"/>
        <v>-</v>
      </c>
      <c r="G205" s="235" t="str">
        <f t="shared" si="265"/>
        <v>-</v>
      </c>
      <c r="H205" s="235"/>
      <c r="I205" s="236"/>
      <c r="J205" s="236"/>
      <c r="K205" s="241" t="str">
        <f ca="1">IF(Table1192[[#This Row],[VALID]],Table1192[[#This Row],[VALID]]-TODAY(),"-")</f>
        <v>-</v>
      </c>
      <c r="L205" s="244"/>
      <c r="M205" s="238"/>
      <c r="N205" s="237"/>
      <c r="O205" s="237"/>
      <c r="P205" s="237"/>
      <c r="Q205" s="250"/>
      <c r="R205" s="238"/>
      <c r="S205" s="237"/>
      <c r="T205" s="237"/>
      <c r="U205" s="237"/>
      <c r="V205" s="250"/>
      <c r="W205" s="239"/>
      <c r="X205" s="237"/>
      <c r="Y205" s="242"/>
      <c r="Z205" s="251"/>
      <c r="AA205" s="243"/>
      <c r="AB205" s="243"/>
      <c r="AC205" s="243"/>
      <c r="AD205" s="243"/>
      <c r="AE205" s="243"/>
      <c r="AF205" s="243"/>
      <c r="AG205" s="243"/>
      <c r="AH205" s="243"/>
      <c r="AI205" s="243"/>
      <c r="AJ205" s="251"/>
    </row>
    <row r="206" spans="1:36" ht="15" thickTop="1" thickBot="1" x14ac:dyDescent="0.35">
      <c r="A206" s="234"/>
      <c r="B206" s="234" t="s">
        <v>1241</v>
      </c>
      <c r="D206" s="234" t="s">
        <v>442</v>
      </c>
      <c r="E206" s="235"/>
      <c r="F206" s="235" t="str">
        <f t="shared" si="264"/>
        <v>-</v>
      </c>
      <c r="G206" s="235" t="str">
        <f t="shared" si="265"/>
        <v>-</v>
      </c>
      <c r="H206" s="235"/>
      <c r="I206" s="236"/>
      <c r="J206" s="236"/>
      <c r="K206" s="241" t="str">
        <f ca="1">IF(Table1192[[#This Row],[VALID]],Table1192[[#This Row],[VALID]]-TODAY(),"-")</f>
        <v>-</v>
      </c>
      <c r="L206" s="244"/>
      <c r="M206" s="238"/>
      <c r="N206" s="237"/>
      <c r="O206" s="237"/>
      <c r="P206" s="237"/>
      <c r="Q206" s="250"/>
      <c r="R206" s="238"/>
      <c r="S206" s="237"/>
      <c r="T206" s="237"/>
      <c r="U206" s="237"/>
      <c r="V206" s="250"/>
      <c r="W206" s="239"/>
      <c r="X206" s="237"/>
      <c r="Y206" s="242"/>
      <c r="Z206" s="251"/>
      <c r="AA206" s="243"/>
      <c r="AB206" s="243"/>
      <c r="AC206" s="243"/>
      <c r="AD206" s="243"/>
      <c r="AE206" s="243"/>
      <c r="AF206" s="243"/>
      <c r="AG206" s="243"/>
      <c r="AH206" s="243"/>
      <c r="AI206" s="243"/>
      <c r="AJ206" s="251"/>
    </row>
    <row r="207" spans="1:36" ht="15" thickTop="1" thickBot="1" x14ac:dyDescent="0.35">
      <c r="A207" s="234"/>
      <c r="B207" s="234" t="s">
        <v>1241</v>
      </c>
      <c r="D207" s="234" t="s">
        <v>562</v>
      </c>
      <c r="E207" s="235"/>
      <c r="F207" s="235" t="str">
        <f t="shared" si="264"/>
        <v>-</v>
      </c>
      <c r="G207" s="235" t="str">
        <f t="shared" si="265"/>
        <v>-</v>
      </c>
      <c r="H207" s="235"/>
      <c r="I207" s="236"/>
      <c r="J207" s="236"/>
      <c r="K207" s="241" t="str">
        <f ca="1">IF(Table1192[[#This Row],[VALID]],Table1192[[#This Row],[VALID]]-TODAY(),"-")</f>
        <v>-</v>
      </c>
      <c r="L207" s="244"/>
      <c r="M207" s="238"/>
      <c r="N207" s="237"/>
      <c r="O207" s="237"/>
      <c r="P207" s="237"/>
      <c r="Q207" s="250"/>
      <c r="R207" s="238"/>
      <c r="S207" s="237"/>
      <c r="T207" s="237"/>
      <c r="U207" s="237"/>
      <c r="V207" s="250"/>
      <c r="W207" s="239"/>
      <c r="X207" s="237"/>
      <c r="Y207" s="242"/>
      <c r="Z207" s="251"/>
      <c r="AA207" s="243"/>
      <c r="AB207" s="243"/>
      <c r="AC207" s="243"/>
      <c r="AD207" s="243"/>
      <c r="AE207" s="243"/>
      <c r="AF207" s="243"/>
      <c r="AG207" s="243"/>
      <c r="AH207" s="243"/>
      <c r="AI207" s="776"/>
      <c r="AJ207" s="251"/>
    </row>
    <row r="208" spans="1:36" ht="15" thickTop="1" thickBot="1" x14ac:dyDescent="0.35">
      <c r="A208" s="234"/>
      <c r="B208" s="234" t="s">
        <v>1241</v>
      </c>
      <c r="D208" s="234" t="s">
        <v>563</v>
      </c>
      <c r="E208" s="235"/>
      <c r="F208" s="235" t="str">
        <f t="shared" si="264"/>
        <v>-</v>
      </c>
      <c r="G208" s="235" t="str">
        <f t="shared" si="265"/>
        <v>-</v>
      </c>
      <c r="H208" s="235"/>
      <c r="I208" s="236"/>
      <c r="J208" s="236"/>
      <c r="K208" s="241" t="str">
        <f ca="1">IF(Table1192[[#This Row],[VALID]],Table1192[[#This Row],[VALID]]-TODAY(),"-")</f>
        <v>-</v>
      </c>
      <c r="L208" s="244"/>
      <c r="M208" s="238"/>
      <c r="N208" s="237"/>
      <c r="O208" s="237"/>
      <c r="P208" s="237"/>
      <c r="Q208" s="250"/>
      <c r="R208" s="238"/>
      <c r="S208" s="237"/>
      <c r="T208" s="237"/>
      <c r="U208" s="237"/>
      <c r="V208" s="250"/>
      <c r="W208" s="239"/>
      <c r="X208" s="237"/>
      <c r="Y208" s="242"/>
      <c r="Z208" s="251"/>
      <c r="AA208" s="243"/>
      <c r="AB208" s="243"/>
      <c r="AC208" s="243"/>
      <c r="AD208" s="243"/>
      <c r="AE208" s="243"/>
      <c r="AF208" s="243"/>
      <c r="AG208" s="243"/>
      <c r="AH208" s="243"/>
      <c r="AI208" s="243"/>
      <c r="AJ208" s="251"/>
    </row>
    <row r="209" spans="1:36" ht="15" thickTop="1" thickBot="1" x14ac:dyDescent="0.35">
      <c r="A209" s="234"/>
      <c r="B209" s="234" t="s">
        <v>1241</v>
      </c>
      <c r="D209" s="234" t="s">
        <v>605</v>
      </c>
      <c r="E209" s="235"/>
      <c r="F209" s="235" t="str">
        <f t="shared" si="264"/>
        <v>-</v>
      </c>
      <c r="G209" s="235" t="str">
        <f t="shared" si="265"/>
        <v>-</v>
      </c>
      <c r="H209" s="235"/>
      <c r="I209" s="236"/>
      <c r="J209" s="236"/>
      <c r="K209" s="241" t="str">
        <f ca="1">IF(Table1192[[#This Row],[VALID]],Table1192[[#This Row],[VALID]]-TODAY(),"-")</f>
        <v>-</v>
      </c>
      <c r="L209" s="244"/>
      <c r="M209" s="238"/>
      <c r="N209" s="237"/>
      <c r="O209" s="237"/>
      <c r="P209" s="237"/>
      <c r="Q209" s="250"/>
      <c r="R209" s="238"/>
      <c r="S209" s="237"/>
      <c r="T209" s="237"/>
      <c r="U209" s="237"/>
      <c r="V209" s="250"/>
      <c r="W209" s="239"/>
      <c r="X209" s="237"/>
      <c r="Y209" s="242"/>
      <c r="Z209" s="251"/>
      <c r="AA209" s="243"/>
      <c r="AB209" s="243"/>
      <c r="AC209" s="243"/>
      <c r="AD209" s="243"/>
      <c r="AE209" s="243"/>
      <c r="AF209" s="243"/>
      <c r="AG209" s="243"/>
      <c r="AH209" s="243"/>
      <c r="AI209" s="243"/>
      <c r="AJ209" s="251"/>
    </row>
    <row r="210" spans="1:36" ht="15" thickTop="1" thickBot="1" x14ac:dyDescent="0.35">
      <c r="A210" s="234"/>
      <c r="B210" s="234" t="s">
        <v>1241</v>
      </c>
      <c r="D210" s="234" t="s">
        <v>639</v>
      </c>
      <c r="E210" s="235"/>
      <c r="F210" s="235" t="str">
        <f t="shared" si="264"/>
        <v>-</v>
      </c>
      <c r="G210" s="235" t="str">
        <f t="shared" si="265"/>
        <v>-</v>
      </c>
      <c r="H210" s="235"/>
      <c r="I210" s="236"/>
      <c r="J210" s="236"/>
      <c r="K210" s="241" t="str">
        <f ca="1">IF(Table1192[[#This Row],[VALID]],Table1192[[#This Row],[VALID]]-TODAY(),"-")</f>
        <v>-</v>
      </c>
      <c r="L210" s="244"/>
      <c r="M210" s="238"/>
      <c r="N210" s="237"/>
      <c r="O210" s="237"/>
      <c r="P210" s="237"/>
      <c r="Q210" s="250"/>
      <c r="R210" s="238"/>
      <c r="S210" s="237"/>
      <c r="T210" s="237"/>
      <c r="U210" s="237"/>
      <c r="V210" s="250"/>
      <c r="W210" s="239"/>
      <c r="X210" s="237"/>
      <c r="Y210" s="242"/>
      <c r="Z210" s="251"/>
      <c r="AA210" s="243"/>
      <c r="AB210" s="243"/>
      <c r="AC210" s="243"/>
      <c r="AD210" s="243"/>
      <c r="AE210" s="243"/>
      <c r="AF210" s="243"/>
      <c r="AG210" s="243"/>
      <c r="AH210" s="243"/>
      <c r="AI210" s="243"/>
      <c r="AJ210" s="251"/>
    </row>
    <row r="211" spans="1:36" ht="15" thickTop="1" thickBot="1" x14ac:dyDescent="0.35">
      <c r="A211" s="234"/>
      <c r="B211" s="234" t="s">
        <v>1241</v>
      </c>
      <c r="D211" s="234" t="s">
        <v>641</v>
      </c>
      <c r="E211" s="235"/>
      <c r="F211" s="235" t="str">
        <f t="shared" si="264"/>
        <v>-</v>
      </c>
      <c r="G211" s="235" t="str">
        <f t="shared" si="265"/>
        <v>-</v>
      </c>
      <c r="H211" s="235"/>
      <c r="I211" s="236"/>
      <c r="J211" s="236"/>
      <c r="K211" s="241" t="str">
        <f ca="1">IF(Table1192[[#This Row],[VALID]],Table1192[[#This Row],[VALID]]-TODAY(),"-")</f>
        <v>-</v>
      </c>
      <c r="L211" s="244"/>
      <c r="M211" s="238"/>
      <c r="N211" s="237"/>
      <c r="O211" s="237"/>
      <c r="P211" s="237"/>
      <c r="Q211" s="250"/>
      <c r="R211" s="238"/>
      <c r="S211" s="237"/>
      <c r="T211" s="237"/>
      <c r="U211" s="237"/>
      <c r="V211" s="250"/>
      <c r="W211" s="239"/>
      <c r="X211" s="237"/>
      <c r="Y211" s="242"/>
      <c r="Z211" s="251"/>
      <c r="AA211" s="243"/>
      <c r="AB211" s="243"/>
      <c r="AC211" s="243"/>
      <c r="AD211" s="243"/>
      <c r="AE211" s="243"/>
      <c r="AF211" s="243"/>
      <c r="AG211" s="243"/>
      <c r="AH211" s="243"/>
      <c r="AI211" s="243"/>
      <c r="AJ211" s="251"/>
    </row>
    <row r="212" spans="1:36" ht="15" thickTop="1" thickBot="1" x14ac:dyDescent="0.35">
      <c r="A212" s="234"/>
      <c r="B212" s="234" t="s">
        <v>1241</v>
      </c>
      <c r="D212" s="234" t="s">
        <v>651</v>
      </c>
      <c r="E212" s="235"/>
      <c r="F212" s="235" t="str">
        <f t="shared" si="264"/>
        <v>-</v>
      </c>
      <c r="G212" s="235" t="str">
        <f t="shared" si="265"/>
        <v>-</v>
      </c>
      <c r="H212" s="235"/>
      <c r="I212" s="236"/>
      <c r="J212" s="236"/>
      <c r="K212" s="241" t="str">
        <f ca="1">IF(Table1192[[#This Row],[VALID]],Table1192[[#This Row],[VALID]]-TODAY(),"-")</f>
        <v>-</v>
      </c>
      <c r="L212" s="244"/>
      <c r="M212" s="238"/>
      <c r="N212" s="237"/>
      <c r="O212" s="237"/>
      <c r="P212" s="237"/>
      <c r="Q212" s="250"/>
      <c r="R212" s="238"/>
      <c r="S212" s="237"/>
      <c r="T212" s="237"/>
      <c r="U212" s="237"/>
      <c r="V212" s="250"/>
      <c r="W212" s="239"/>
      <c r="X212" s="237"/>
      <c r="Y212" s="242"/>
      <c r="Z212" s="251"/>
      <c r="AA212" s="243"/>
      <c r="AB212" s="243"/>
      <c r="AC212" s="243"/>
      <c r="AD212" s="243"/>
      <c r="AE212" s="243"/>
      <c r="AF212" s="243"/>
      <c r="AG212" s="243"/>
      <c r="AH212" s="243"/>
      <c r="AI212" s="243"/>
      <c r="AJ212" s="251"/>
    </row>
    <row r="213" spans="1:36" ht="15" thickTop="1" thickBot="1" x14ac:dyDescent="0.35">
      <c r="A213" s="234"/>
      <c r="B213" s="234" t="s">
        <v>1241</v>
      </c>
      <c r="D213" s="234" t="s">
        <v>686</v>
      </c>
      <c r="E213" s="235"/>
      <c r="F213" s="235" t="str">
        <f t="shared" si="264"/>
        <v>-</v>
      </c>
      <c r="G213" s="235" t="str">
        <f t="shared" si="265"/>
        <v>-</v>
      </c>
      <c r="H213" s="235"/>
      <c r="I213" s="236"/>
      <c r="J213" s="236"/>
      <c r="K213" s="241" t="str">
        <f ca="1">IF(Table1192[[#This Row],[VALID]],Table1192[[#This Row],[VALID]]-TODAY(),"-")</f>
        <v>-</v>
      </c>
      <c r="L213" s="244"/>
      <c r="M213" s="238"/>
      <c r="N213" s="237"/>
      <c r="O213" s="237"/>
      <c r="P213" s="237"/>
      <c r="Q213" s="250"/>
      <c r="R213" s="238"/>
      <c r="S213" s="237"/>
      <c r="T213" s="237"/>
      <c r="U213" s="237"/>
      <c r="V213" s="250"/>
      <c r="W213" s="239"/>
      <c r="X213" s="237"/>
      <c r="Y213" s="242"/>
      <c r="Z213" s="251"/>
      <c r="AA213" s="243"/>
      <c r="AB213" s="243"/>
      <c r="AC213" s="243"/>
      <c r="AD213" s="243"/>
      <c r="AE213" s="243"/>
      <c r="AF213" s="243"/>
      <c r="AG213" s="243"/>
      <c r="AH213" s="243"/>
      <c r="AI213" s="776"/>
      <c r="AJ213" s="251"/>
    </row>
    <row r="214" spans="1:36" ht="15" thickTop="1" thickBot="1" x14ac:dyDescent="0.35">
      <c r="A214" s="234"/>
      <c r="B214" s="234" t="s">
        <v>1241</v>
      </c>
      <c r="D214" s="234" t="s">
        <v>706</v>
      </c>
      <c r="E214" s="235"/>
      <c r="F214" s="235" t="str">
        <f t="shared" si="264"/>
        <v>-</v>
      </c>
      <c r="G214" s="235" t="str">
        <f t="shared" si="265"/>
        <v>-</v>
      </c>
      <c r="H214" s="235"/>
      <c r="I214" s="236"/>
      <c r="J214" s="236"/>
      <c r="K214" s="241" t="str">
        <f ca="1">IF(Table1192[[#This Row],[VALID]],Table1192[[#This Row],[VALID]]-TODAY(),"-")</f>
        <v>-</v>
      </c>
      <c r="L214" s="244"/>
      <c r="M214" s="238"/>
      <c r="N214" s="237"/>
      <c r="O214" s="237"/>
      <c r="P214" s="237"/>
      <c r="Q214" s="250"/>
      <c r="R214" s="238"/>
      <c r="S214" s="237"/>
      <c r="T214" s="237"/>
      <c r="U214" s="237"/>
      <c r="V214" s="250"/>
      <c r="W214" s="239"/>
      <c r="X214" s="237"/>
      <c r="Y214" s="242"/>
      <c r="Z214" s="251"/>
      <c r="AA214" s="243"/>
      <c r="AB214" s="243"/>
      <c r="AC214" s="243"/>
      <c r="AD214" s="243"/>
      <c r="AE214" s="243"/>
      <c r="AF214" s="243"/>
      <c r="AG214" s="243"/>
      <c r="AH214" s="243"/>
      <c r="AI214" s="243"/>
      <c r="AJ214" s="251"/>
    </row>
    <row r="215" spans="1:36" ht="15" thickTop="1" thickBot="1" x14ac:dyDescent="0.35">
      <c r="A215" s="234"/>
      <c r="B215" s="234" t="s">
        <v>1241</v>
      </c>
      <c r="D215" s="234" t="s">
        <v>724</v>
      </c>
      <c r="E215" s="235"/>
      <c r="F215" s="235" t="str">
        <f t="shared" si="264"/>
        <v>-</v>
      </c>
      <c r="G215" s="235" t="str">
        <f t="shared" si="265"/>
        <v>-</v>
      </c>
      <c r="H215" s="235"/>
      <c r="I215" s="236"/>
      <c r="J215" s="236"/>
      <c r="K215" s="241" t="str">
        <f ca="1">IF(Table1192[[#This Row],[VALID]],Table1192[[#This Row],[VALID]]-TODAY(),"-")</f>
        <v>-</v>
      </c>
      <c r="L215" s="244"/>
      <c r="M215" s="238"/>
      <c r="N215" s="237"/>
      <c r="O215" s="237"/>
      <c r="P215" s="237"/>
      <c r="Q215" s="250"/>
      <c r="R215" s="238"/>
      <c r="S215" s="237"/>
      <c r="T215" s="237"/>
      <c r="U215" s="237"/>
      <c r="V215" s="250"/>
      <c r="W215" s="239"/>
      <c r="X215" s="237"/>
      <c r="Y215" s="242"/>
      <c r="Z215" s="251"/>
      <c r="AA215" s="243"/>
      <c r="AB215" s="243"/>
      <c r="AC215" s="243"/>
      <c r="AD215" s="243"/>
      <c r="AE215" s="243"/>
      <c r="AF215" s="243"/>
      <c r="AG215" s="243"/>
      <c r="AH215" s="243"/>
      <c r="AI215" s="243"/>
      <c r="AJ215" s="251"/>
    </row>
    <row r="216" spans="1:36" ht="15" thickTop="1" thickBot="1" x14ac:dyDescent="0.35">
      <c r="A216" s="234"/>
      <c r="B216" s="234" t="s">
        <v>1241</v>
      </c>
      <c r="D216" s="234" t="s">
        <v>727</v>
      </c>
      <c r="E216" s="235"/>
      <c r="F216" s="235" t="str">
        <f t="shared" si="264"/>
        <v>-</v>
      </c>
      <c r="G216" s="235" t="str">
        <f t="shared" si="265"/>
        <v>-</v>
      </c>
      <c r="H216" s="235"/>
      <c r="I216" s="236"/>
      <c r="J216" s="236"/>
      <c r="K216" s="241" t="str">
        <f ca="1">IF(Table1192[[#This Row],[VALID]],Table1192[[#This Row],[VALID]]-TODAY(),"-")</f>
        <v>-</v>
      </c>
      <c r="L216" s="244"/>
      <c r="M216" s="238"/>
      <c r="N216" s="237"/>
      <c r="O216" s="237"/>
      <c r="P216" s="237"/>
      <c r="Q216" s="250"/>
      <c r="R216" s="238"/>
      <c r="S216" s="237"/>
      <c r="T216" s="237"/>
      <c r="U216" s="237"/>
      <c r="V216" s="250"/>
      <c r="W216" s="239"/>
      <c r="X216" s="237"/>
      <c r="Y216" s="242"/>
      <c r="Z216" s="251"/>
      <c r="AA216" s="243"/>
      <c r="AB216" s="243"/>
      <c r="AC216" s="243"/>
      <c r="AD216" s="243"/>
      <c r="AE216" s="243"/>
      <c r="AF216" s="243"/>
      <c r="AG216" s="243"/>
      <c r="AH216" s="243"/>
      <c r="AI216" s="776"/>
      <c r="AJ216" s="251"/>
    </row>
    <row r="217" spans="1:36" ht="15" thickTop="1" thickBot="1" x14ac:dyDescent="0.35">
      <c r="A217" s="234"/>
      <c r="B217" s="234" t="s">
        <v>1303</v>
      </c>
      <c r="D217" s="234" t="s">
        <v>1211</v>
      </c>
      <c r="E217" s="235"/>
      <c r="F217" s="235" t="str">
        <f t="shared" si="264"/>
        <v>-</v>
      </c>
      <c r="G217" s="235" t="str">
        <f t="shared" si="265"/>
        <v>-</v>
      </c>
      <c r="H217" s="235"/>
      <c r="I217" s="236"/>
      <c r="J217" s="236"/>
      <c r="K217" s="241" t="str">
        <f ca="1">IF(Table1192[[#This Row],[VALID]],Table1192[[#This Row],[VALID]]-TODAY(),"-")</f>
        <v>-</v>
      </c>
      <c r="L217" s="244"/>
      <c r="M217" s="238"/>
      <c r="N217" s="237"/>
      <c r="O217" s="237"/>
      <c r="P217" s="237"/>
      <c r="Q217" s="250"/>
      <c r="R217" s="238"/>
      <c r="S217" s="237"/>
      <c r="T217" s="237"/>
      <c r="U217" s="237"/>
      <c r="V217" s="250"/>
      <c r="W217" s="239"/>
      <c r="X217" s="237"/>
      <c r="Y217" s="242"/>
      <c r="Z217" s="251"/>
      <c r="AA217" s="243"/>
      <c r="AB217" s="243"/>
      <c r="AC217" s="243"/>
      <c r="AD217" s="243"/>
      <c r="AE217" s="243"/>
      <c r="AF217" s="243"/>
      <c r="AG217" s="243"/>
      <c r="AH217" s="243"/>
      <c r="AI217" s="243"/>
      <c r="AJ217" s="251"/>
    </row>
    <row r="218" spans="1:36" ht="15" thickTop="1" thickBot="1" x14ac:dyDescent="0.35">
      <c r="A218" s="234"/>
      <c r="B218" s="234" t="s">
        <v>1289</v>
      </c>
      <c r="D218" s="234" t="s">
        <v>652</v>
      </c>
      <c r="E218" s="235"/>
      <c r="F218" s="235" t="str">
        <f t="shared" si="264"/>
        <v>-</v>
      </c>
      <c r="G218" s="235" t="str">
        <f t="shared" si="265"/>
        <v>-</v>
      </c>
      <c r="H218" s="235"/>
      <c r="I218" s="236"/>
      <c r="J218" s="236"/>
      <c r="K218" s="241" t="str">
        <f ca="1">IF(Table1192[[#This Row],[VALID]],Table1192[[#This Row],[VALID]]-TODAY(),"-")</f>
        <v>-</v>
      </c>
      <c r="L218" s="244"/>
      <c r="M218" s="238"/>
      <c r="N218" s="237"/>
      <c r="O218" s="237"/>
      <c r="P218" s="237"/>
      <c r="Q218" s="250"/>
      <c r="R218" s="238"/>
      <c r="S218" s="237"/>
      <c r="T218" s="237"/>
      <c r="U218" s="237"/>
      <c r="V218" s="250"/>
      <c r="W218" s="239"/>
      <c r="X218" s="237"/>
      <c r="Y218" s="242"/>
      <c r="Z218" s="251"/>
      <c r="AA218" s="243"/>
      <c r="AB218" s="243"/>
      <c r="AC218" s="243"/>
      <c r="AD218" s="243"/>
      <c r="AE218" s="243"/>
      <c r="AF218" s="243"/>
      <c r="AG218" s="243"/>
      <c r="AH218" s="243"/>
      <c r="AI218" s="243"/>
      <c r="AJ218" s="251"/>
    </row>
    <row r="219" spans="1:36" ht="15" thickTop="1" thickBot="1" x14ac:dyDescent="0.35">
      <c r="A219" s="234"/>
      <c r="B219" s="234" t="s">
        <v>1225</v>
      </c>
      <c r="D219" s="234" t="s">
        <v>416</v>
      </c>
      <c r="E219" s="235"/>
      <c r="F219" s="235" t="str">
        <f t="shared" si="264"/>
        <v>-</v>
      </c>
      <c r="G219" s="235" t="str">
        <f t="shared" si="265"/>
        <v>-</v>
      </c>
      <c r="H219" s="235"/>
      <c r="I219" s="236"/>
      <c r="J219" s="236"/>
      <c r="K219" s="241" t="str">
        <f ca="1">IF(Table1192[[#This Row],[VALID]],Table1192[[#This Row],[VALID]]-TODAY(),"-")</f>
        <v>-</v>
      </c>
      <c r="L219" s="244"/>
      <c r="M219" s="238"/>
      <c r="N219" s="237"/>
      <c r="O219" s="237"/>
      <c r="P219" s="237"/>
      <c r="Q219" s="250"/>
      <c r="R219" s="238"/>
      <c r="S219" s="237"/>
      <c r="T219" s="237"/>
      <c r="U219" s="237"/>
      <c r="V219" s="250"/>
      <c r="W219" s="239"/>
      <c r="X219" s="237"/>
      <c r="Y219" s="242"/>
      <c r="Z219" s="251"/>
      <c r="AA219" s="243"/>
      <c r="AB219" s="243"/>
      <c r="AC219" s="243"/>
      <c r="AD219" s="243"/>
      <c r="AE219" s="243"/>
      <c r="AF219" s="243"/>
      <c r="AG219" s="243"/>
      <c r="AH219" s="243"/>
      <c r="AI219" s="243"/>
      <c r="AJ219" s="251"/>
    </row>
    <row r="220" spans="1:36" ht="15" thickTop="1" thickBot="1" x14ac:dyDescent="0.35">
      <c r="A220" s="234"/>
      <c r="B220" s="234" t="s">
        <v>1225</v>
      </c>
      <c r="D220" s="234" t="s">
        <v>486</v>
      </c>
      <c r="E220" s="235"/>
      <c r="F220" s="235" t="str">
        <f t="shared" si="264"/>
        <v>-</v>
      </c>
      <c r="G220" s="235" t="str">
        <f t="shared" si="265"/>
        <v>-</v>
      </c>
      <c r="H220" s="235"/>
      <c r="I220" s="236"/>
      <c r="J220" s="236"/>
      <c r="K220" s="241" t="str">
        <f ca="1">IF(Table1192[[#This Row],[VALID]],Table1192[[#This Row],[VALID]]-TODAY(),"-")</f>
        <v>-</v>
      </c>
      <c r="L220" s="244"/>
      <c r="M220" s="238"/>
      <c r="N220" s="237"/>
      <c r="O220" s="237"/>
      <c r="P220" s="237"/>
      <c r="Q220" s="250"/>
      <c r="R220" s="238"/>
      <c r="S220" s="237"/>
      <c r="T220" s="237"/>
      <c r="U220" s="237"/>
      <c r="V220" s="250"/>
      <c r="W220" s="239"/>
      <c r="X220" s="237"/>
      <c r="Y220" s="242"/>
      <c r="Z220" s="251"/>
      <c r="AA220" s="243"/>
      <c r="AB220" s="243"/>
      <c r="AC220" s="243"/>
      <c r="AD220" s="243"/>
      <c r="AE220" s="243"/>
      <c r="AF220" s="243"/>
      <c r="AG220" s="243"/>
      <c r="AH220" s="243"/>
      <c r="AI220" s="243"/>
      <c r="AJ220" s="251"/>
    </row>
    <row r="221" spans="1:36" ht="15" thickTop="1" thickBot="1" x14ac:dyDescent="0.35">
      <c r="A221" s="234"/>
      <c r="B221" s="234" t="s">
        <v>1225</v>
      </c>
      <c r="D221" s="234" t="s">
        <v>571</v>
      </c>
      <c r="E221" s="235"/>
      <c r="F221" s="235" t="str">
        <f t="shared" si="264"/>
        <v>-</v>
      </c>
      <c r="G221" s="235" t="str">
        <f t="shared" si="265"/>
        <v>-</v>
      </c>
      <c r="H221" s="235"/>
      <c r="I221" s="236"/>
      <c r="J221" s="236"/>
      <c r="K221" s="241" t="str">
        <f ca="1">IF(Table1192[[#This Row],[VALID]],Table1192[[#This Row],[VALID]]-TODAY(),"-")</f>
        <v>-</v>
      </c>
      <c r="L221" s="244"/>
      <c r="M221" s="238"/>
      <c r="N221" s="237"/>
      <c r="O221" s="237"/>
      <c r="P221" s="237"/>
      <c r="Q221" s="250"/>
      <c r="R221" s="238"/>
      <c r="S221" s="237"/>
      <c r="T221" s="237"/>
      <c r="U221" s="237"/>
      <c r="V221" s="250"/>
      <c r="W221" s="239"/>
      <c r="X221" s="237"/>
      <c r="Y221" s="242"/>
      <c r="Z221" s="251"/>
      <c r="AA221" s="243"/>
      <c r="AB221" s="243"/>
      <c r="AC221" s="243"/>
      <c r="AD221" s="243"/>
      <c r="AE221" s="243"/>
      <c r="AF221" s="243"/>
      <c r="AG221" s="243"/>
      <c r="AH221" s="243"/>
      <c r="AI221" s="243"/>
      <c r="AJ221" s="251"/>
    </row>
    <row r="222" spans="1:36" ht="15" thickTop="1" thickBot="1" x14ac:dyDescent="0.35">
      <c r="A222" s="234"/>
      <c r="B222" s="234" t="s">
        <v>1225</v>
      </c>
      <c r="D222" s="234" t="s">
        <v>590</v>
      </c>
      <c r="E222" s="235"/>
      <c r="F222" s="235" t="str">
        <f t="shared" si="264"/>
        <v>-</v>
      </c>
      <c r="G222" s="235" t="str">
        <f t="shared" si="265"/>
        <v>-</v>
      </c>
      <c r="H222" s="235"/>
      <c r="I222" s="236"/>
      <c r="J222" s="236"/>
      <c r="K222" s="241" t="str">
        <f ca="1">IF(Table1192[[#This Row],[VALID]],Table1192[[#This Row],[VALID]]-TODAY(),"-")</f>
        <v>-</v>
      </c>
      <c r="L222" s="244"/>
      <c r="M222" s="238"/>
      <c r="N222" s="237"/>
      <c r="O222" s="237"/>
      <c r="P222" s="237"/>
      <c r="Q222" s="250"/>
      <c r="R222" s="238"/>
      <c r="S222" s="237"/>
      <c r="T222" s="237"/>
      <c r="U222" s="237"/>
      <c r="V222" s="250"/>
      <c r="W222" s="239"/>
      <c r="X222" s="237"/>
      <c r="Y222" s="242"/>
      <c r="Z222" s="251"/>
      <c r="AA222" s="243"/>
      <c r="AB222" s="243"/>
      <c r="AC222" s="243"/>
      <c r="AD222" s="243"/>
      <c r="AE222" s="243"/>
      <c r="AF222" s="243"/>
      <c r="AG222" s="243"/>
      <c r="AH222" s="243"/>
      <c r="AI222" s="243"/>
      <c r="AJ222" s="251"/>
    </row>
    <row r="223" spans="1:36" ht="15" thickTop="1" thickBot="1" x14ac:dyDescent="0.35">
      <c r="A223" s="234"/>
      <c r="B223" s="234" t="s">
        <v>1225</v>
      </c>
      <c r="D223" s="234" t="s">
        <v>722</v>
      </c>
      <c r="E223" s="235"/>
      <c r="F223" s="235" t="str">
        <f t="shared" si="264"/>
        <v>-</v>
      </c>
      <c r="G223" s="235" t="str">
        <f t="shared" si="265"/>
        <v>-</v>
      </c>
      <c r="H223" s="235"/>
      <c r="I223" s="236"/>
      <c r="J223" s="236"/>
      <c r="K223" s="241" t="str">
        <f ca="1">IF(Table1192[[#This Row],[VALID]],Table1192[[#This Row],[VALID]]-TODAY(),"-")</f>
        <v>-</v>
      </c>
      <c r="L223" s="244"/>
      <c r="M223" s="238"/>
      <c r="N223" s="237"/>
      <c r="O223" s="237"/>
      <c r="P223" s="237"/>
      <c r="Q223" s="250"/>
      <c r="R223" s="238"/>
      <c r="S223" s="237"/>
      <c r="T223" s="237"/>
      <c r="U223" s="237"/>
      <c r="V223" s="250"/>
      <c r="W223" s="239"/>
      <c r="X223" s="237"/>
      <c r="Y223" s="242"/>
      <c r="Z223" s="251"/>
      <c r="AA223" s="243"/>
      <c r="AB223" s="243"/>
      <c r="AC223" s="243"/>
      <c r="AD223" s="243"/>
      <c r="AE223" s="243"/>
      <c r="AF223" s="243"/>
      <c r="AG223" s="243"/>
      <c r="AH223" s="243"/>
      <c r="AI223" s="243"/>
      <c r="AJ223" s="251"/>
    </row>
    <row r="224" spans="1:36" ht="15" thickTop="1" thickBot="1" x14ac:dyDescent="0.35">
      <c r="A224" s="234"/>
      <c r="B224" s="234" t="s">
        <v>1225</v>
      </c>
      <c r="D224" s="234" t="s">
        <v>743</v>
      </c>
      <c r="E224" s="235"/>
      <c r="F224" s="235" t="str">
        <f t="shared" si="264"/>
        <v>-</v>
      </c>
      <c r="G224" s="235" t="str">
        <f t="shared" si="265"/>
        <v>-</v>
      </c>
      <c r="H224" s="235"/>
      <c r="I224" s="236"/>
      <c r="J224" s="236"/>
      <c r="K224" s="241" t="str">
        <f ca="1">IF(Table1192[[#This Row],[VALID]],Table1192[[#This Row],[VALID]]-TODAY(),"-")</f>
        <v>-</v>
      </c>
      <c r="L224" s="244"/>
      <c r="M224" s="238"/>
      <c r="N224" s="237"/>
      <c r="O224" s="237"/>
      <c r="P224" s="237"/>
      <c r="Q224" s="250"/>
      <c r="R224" s="238"/>
      <c r="S224" s="237"/>
      <c r="T224" s="237"/>
      <c r="U224" s="237"/>
      <c r="V224" s="250"/>
      <c r="W224" s="239"/>
      <c r="X224" s="237"/>
      <c r="Y224" s="242"/>
      <c r="Z224" s="251"/>
      <c r="AA224" s="243"/>
      <c r="AB224" s="243"/>
      <c r="AC224" s="243"/>
      <c r="AD224" s="243"/>
      <c r="AE224" s="243"/>
      <c r="AF224" s="243"/>
      <c r="AG224" s="243"/>
      <c r="AH224" s="243"/>
      <c r="AI224" s="243"/>
      <c r="AJ224" s="251"/>
    </row>
    <row r="225" spans="1:36" ht="15" thickTop="1" thickBot="1" x14ac:dyDescent="0.35">
      <c r="A225" s="234"/>
      <c r="B225" s="234" t="s">
        <v>1221</v>
      </c>
      <c r="D225" s="234" t="s">
        <v>408</v>
      </c>
      <c r="E225" s="235"/>
      <c r="F225" s="235" t="str">
        <f t="shared" si="264"/>
        <v>-</v>
      </c>
      <c r="G225" s="235" t="str">
        <f t="shared" si="265"/>
        <v>-</v>
      </c>
      <c r="H225" s="235"/>
      <c r="I225" s="236"/>
      <c r="J225" s="236"/>
      <c r="K225" s="241" t="str">
        <f ca="1">IF(Table1192[[#This Row],[VALID]],Table1192[[#This Row],[VALID]]-TODAY(),"-")</f>
        <v>-</v>
      </c>
      <c r="L225" s="244"/>
      <c r="M225" s="238"/>
      <c r="N225" s="237"/>
      <c r="O225" s="237"/>
      <c r="P225" s="237"/>
      <c r="Q225" s="250"/>
      <c r="R225" s="238"/>
      <c r="S225" s="237"/>
      <c r="T225" s="237"/>
      <c r="U225" s="237"/>
      <c r="V225" s="250"/>
      <c r="W225" s="239"/>
      <c r="X225" s="237"/>
      <c r="Y225" s="242"/>
      <c r="Z225" s="251"/>
      <c r="AA225" s="243"/>
      <c r="AB225" s="243"/>
      <c r="AC225" s="243"/>
      <c r="AD225" s="243"/>
      <c r="AE225" s="243"/>
      <c r="AF225" s="243"/>
      <c r="AG225" s="243"/>
      <c r="AH225" s="243"/>
      <c r="AI225" s="776"/>
      <c r="AJ225" s="251"/>
    </row>
    <row r="226" spans="1:36" ht="15" thickTop="1" thickBot="1" x14ac:dyDescent="0.35">
      <c r="A226" s="234"/>
      <c r="B226" s="234" t="s">
        <v>1221</v>
      </c>
      <c r="D226" s="234" t="s">
        <v>456</v>
      </c>
      <c r="E226" s="235"/>
      <c r="F226" s="235" t="str">
        <f t="shared" si="264"/>
        <v>-</v>
      </c>
      <c r="G226" s="235" t="str">
        <f t="shared" si="265"/>
        <v>-</v>
      </c>
      <c r="H226" s="235"/>
      <c r="I226" s="236"/>
      <c r="J226" s="236"/>
      <c r="K226" s="241" t="str">
        <f ca="1">IF(Table1192[[#This Row],[VALID]],Table1192[[#This Row],[VALID]]-TODAY(),"-")</f>
        <v>-</v>
      </c>
      <c r="L226" s="244"/>
      <c r="M226" s="238"/>
      <c r="N226" s="237"/>
      <c r="O226" s="237"/>
      <c r="P226" s="237"/>
      <c r="Q226" s="250"/>
      <c r="R226" s="238"/>
      <c r="S226" s="237"/>
      <c r="T226" s="237"/>
      <c r="U226" s="237"/>
      <c r="V226" s="250"/>
      <c r="W226" s="239"/>
      <c r="X226" s="237"/>
      <c r="Y226" s="242"/>
      <c r="Z226" s="251"/>
      <c r="AA226" s="243"/>
      <c r="AB226" s="243"/>
      <c r="AC226" s="243"/>
      <c r="AD226" s="243"/>
      <c r="AE226" s="243"/>
      <c r="AF226" s="243"/>
      <c r="AG226" s="243"/>
      <c r="AH226" s="243"/>
      <c r="AI226" s="243"/>
      <c r="AJ226" s="251"/>
    </row>
    <row r="227" spans="1:36" ht="15" thickTop="1" thickBot="1" x14ac:dyDescent="0.35">
      <c r="A227" s="234"/>
      <c r="B227" s="234" t="s">
        <v>1221</v>
      </c>
      <c r="D227" s="234" t="s">
        <v>723</v>
      </c>
      <c r="E227" s="235"/>
      <c r="F227" s="235" t="str">
        <f t="shared" si="264"/>
        <v>-</v>
      </c>
      <c r="G227" s="235" t="str">
        <f t="shared" si="265"/>
        <v>-</v>
      </c>
      <c r="H227" s="235"/>
      <c r="I227" s="236"/>
      <c r="J227" s="236"/>
      <c r="K227" s="241" t="str">
        <f ca="1">IF(Table1192[[#This Row],[VALID]],Table1192[[#This Row],[VALID]]-TODAY(),"-")</f>
        <v>-</v>
      </c>
      <c r="L227" s="244"/>
      <c r="M227" s="238"/>
      <c r="N227" s="237"/>
      <c r="O227" s="237"/>
      <c r="P227" s="237"/>
      <c r="Q227" s="250"/>
      <c r="R227" s="238"/>
      <c r="S227" s="237"/>
      <c r="T227" s="237"/>
      <c r="U227" s="237"/>
      <c r="V227" s="250"/>
      <c r="W227" s="239"/>
      <c r="X227" s="237"/>
      <c r="Y227" s="242"/>
      <c r="Z227" s="251"/>
      <c r="AA227" s="243"/>
      <c r="AB227" s="243"/>
      <c r="AC227" s="243"/>
      <c r="AD227" s="243"/>
      <c r="AE227" s="243"/>
      <c r="AF227" s="243"/>
      <c r="AG227" s="243"/>
      <c r="AH227" s="243"/>
      <c r="AI227" s="243"/>
      <c r="AJ227" s="251"/>
    </row>
    <row r="228" spans="1:36" ht="15" thickTop="1" thickBot="1" x14ac:dyDescent="0.35">
      <c r="A228" s="234"/>
      <c r="B228" s="234" t="s">
        <v>1239</v>
      </c>
      <c r="D228" s="234" t="s">
        <v>438</v>
      </c>
      <c r="E228" s="235"/>
      <c r="F228" s="235" t="str">
        <f t="shared" si="264"/>
        <v>-</v>
      </c>
      <c r="G228" s="235" t="str">
        <f t="shared" si="265"/>
        <v>-</v>
      </c>
      <c r="H228" s="235"/>
      <c r="I228" s="236"/>
      <c r="J228" s="236"/>
      <c r="K228" s="241" t="str">
        <f ca="1">IF(Table1192[[#This Row],[VALID]],Table1192[[#This Row],[VALID]]-TODAY(),"-")</f>
        <v>-</v>
      </c>
      <c r="L228" s="244"/>
      <c r="M228" s="238"/>
      <c r="N228" s="237"/>
      <c r="O228" s="237"/>
      <c r="P228" s="237"/>
      <c r="Q228" s="250"/>
      <c r="R228" s="238"/>
      <c r="S228" s="237"/>
      <c r="T228" s="237"/>
      <c r="U228" s="237"/>
      <c r="V228" s="250"/>
      <c r="W228" s="239"/>
      <c r="X228" s="237"/>
      <c r="Y228" s="242"/>
      <c r="Z228" s="251"/>
      <c r="AA228" s="243"/>
      <c r="AB228" s="243"/>
      <c r="AC228" s="243"/>
      <c r="AD228" s="243"/>
      <c r="AE228" s="243"/>
      <c r="AF228" s="243"/>
      <c r="AG228" s="243"/>
      <c r="AH228" s="243"/>
      <c r="AI228" s="243"/>
      <c r="AJ228" s="251"/>
    </row>
    <row r="229" spans="1:36" ht="15" thickTop="1" thickBot="1" x14ac:dyDescent="0.35">
      <c r="A229" s="234"/>
      <c r="B229" s="234" t="s">
        <v>1239</v>
      </c>
      <c r="D229" s="234" t="s">
        <v>591</v>
      </c>
      <c r="E229" s="235"/>
      <c r="F229" s="235" t="str">
        <f t="shared" si="264"/>
        <v>-</v>
      </c>
      <c r="G229" s="235" t="str">
        <f t="shared" si="265"/>
        <v>-</v>
      </c>
      <c r="H229" s="235"/>
      <c r="I229" s="236"/>
      <c r="J229" s="236"/>
      <c r="K229" s="241" t="str">
        <f ca="1">IF(Table1192[[#This Row],[VALID]],Table1192[[#This Row],[VALID]]-TODAY(),"-")</f>
        <v>-</v>
      </c>
      <c r="L229" s="244"/>
      <c r="M229" s="238"/>
      <c r="N229" s="237"/>
      <c r="O229" s="237"/>
      <c r="P229" s="237"/>
      <c r="Q229" s="250"/>
      <c r="R229" s="238"/>
      <c r="S229" s="237"/>
      <c r="T229" s="237"/>
      <c r="U229" s="237"/>
      <c r="V229" s="250"/>
      <c r="W229" s="239"/>
      <c r="X229" s="237"/>
      <c r="Y229" s="242"/>
      <c r="Z229" s="251"/>
      <c r="AA229" s="243"/>
      <c r="AB229" s="243"/>
      <c r="AC229" s="243"/>
      <c r="AD229" s="243"/>
      <c r="AE229" s="243"/>
      <c r="AF229" s="243"/>
      <c r="AG229" s="243"/>
      <c r="AH229" s="243"/>
      <c r="AI229" s="243"/>
      <c r="AJ229" s="251"/>
    </row>
    <row r="230" spans="1:36" ht="15" thickTop="1" thickBot="1" x14ac:dyDescent="0.35">
      <c r="A230" s="234"/>
      <c r="B230" s="234" t="s">
        <v>1239</v>
      </c>
      <c r="D230" s="234" t="s">
        <v>613</v>
      </c>
      <c r="E230" s="235"/>
      <c r="F230" s="235" t="str">
        <f t="shared" si="264"/>
        <v>-</v>
      </c>
      <c r="G230" s="235" t="str">
        <f t="shared" si="265"/>
        <v>-</v>
      </c>
      <c r="H230" s="235"/>
      <c r="I230" s="236"/>
      <c r="J230" s="236"/>
      <c r="K230" s="241" t="str">
        <f ca="1">IF(Table1192[[#This Row],[VALID]],Table1192[[#This Row],[VALID]]-TODAY(),"-")</f>
        <v>-</v>
      </c>
      <c r="L230" s="244"/>
      <c r="M230" s="238"/>
      <c r="N230" s="237"/>
      <c r="O230" s="237"/>
      <c r="P230" s="237"/>
      <c r="Q230" s="250"/>
      <c r="R230" s="238"/>
      <c r="S230" s="237"/>
      <c r="T230" s="237"/>
      <c r="U230" s="237"/>
      <c r="V230" s="250"/>
      <c r="W230" s="239"/>
      <c r="X230" s="237"/>
      <c r="Y230" s="242"/>
      <c r="Z230" s="251"/>
      <c r="AA230" s="243"/>
      <c r="AB230" s="243"/>
      <c r="AC230" s="243"/>
      <c r="AD230" s="243"/>
      <c r="AE230" s="243"/>
      <c r="AF230" s="243"/>
      <c r="AG230" s="243"/>
      <c r="AH230" s="243"/>
      <c r="AI230" s="243"/>
      <c r="AJ230" s="251"/>
    </row>
    <row r="231" spans="1:36" ht="15" thickTop="1" thickBot="1" x14ac:dyDescent="0.35">
      <c r="A231" s="234"/>
      <c r="B231" s="234" t="s">
        <v>1300</v>
      </c>
      <c r="D231" s="234" t="s">
        <v>762</v>
      </c>
      <c r="E231" s="235"/>
      <c r="F231" s="235" t="str">
        <f t="shared" si="264"/>
        <v>-</v>
      </c>
      <c r="G231" s="235" t="str">
        <f t="shared" si="265"/>
        <v>-</v>
      </c>
      <c r="H231" s="235"/>
      <c r="I231" s="236"/>
      <c r="J231" s="236"/>
      <c r="K231" s="241" t="str">
        <f ca="1">IF(Table1192[[#This Row],[VALID]],Table1192[[#This Row],[VALID]]-TODAY(),"-")</f>
        <v>-</v>
      </c>
      <c r="L231" s="244"/>
      <c r="M231" s="238"/>
      <c r="N231" s="237"/>
      <c r="O231" s="237"/>
      <c r="P231" s="237"/>
      <c r="Q231" s="250"/>
      <c r="R231" s="238"/>
      <c r="S231" s="237"/>
      <c r="T231" s="237"/>
      <c r="U231" s="237"/>
      <c r="V231" s="250"/>
      <c r="W231" s="239"/>
      <c r="X231" s="237"/>
      <c r="Y231" s="242"/>
      <c r="Z231" s="251"/>
      <c r="AA231" s="243"/>
      <c r="AB231" s="243"/>
      <c r="AC231" s="243"/>
      <c r="AD231" s="243"/>
      <c r="AE231" s="243"/>
      <c r="AF231" s="243"/>
      <c r="AG231" s="243"/>
      <c r="AH231" s="243"/>
      <c r="AI231" s="243"/>
      <c r="AJ231" s="251"/>
    </row>
    <row r="232" spans="1:36" ht="15" thickTop="1" thickBot="1" x14ac:dyDescent="0.35">
      <c r="A232" s="234"/>
      <c r="B232" s="234" t="s">
        <v>1296</v>
      </c>
      <c r="D232" s="234" t="s">
        <v>678</v>
      </c>
      <c r="E232" s="235"/>
      <c r="F232" s="235" t="str">
        <f t="shared" si="264"/>
        <v>-</v>
      </c>
      <c r="G232" s="235" t="str">
        <f t="shared" si="265"/>
        <v>-</v>
      </c>
      <c r="H232" s="235"/>
      <c r="I232" s="236"/>
      <c r="J232" s="236"/>
      <c r="K232" s="241" t="str">
        <f ca="1">IF(Table1192[[#This Row],[VALID]],Table1192[[#This Row],[VALID]]-TODAY(),"-")</f>
        <v>-</v>
      </c>
      <c r="L232" s="244"/>
      <c r="M232" s="238"/>
      <c r="N232" s="237"/>
      <c r="O232" s="237"/>
      <c r="P232" s="237"/>
      <c r="Q232" s="250"/>
      <c r="R232" s="238"/>
      <c r="S232" s="237"/>
      <c r="T232" s="237"/>
      <c r="U232" s="237"/>
      <c r="V232" s="250"/>
      <c r="W232" s="239"/>
      <c r="X232" s="237"/>
      <c r="Y232" s="242"/>
      <c r="Z232" s="251"/>
      <c r="AA232" s="243"/>
      <c r="AB232" s="243"/>
      <c r="AC232" s="243"/>
      <c r="AD232" s="243"/>
      <c r="AE232" s="243"/>
      <c r="AF232" s="243"/>
      <c r="AG232" s="243"/>
      <c r="AH232" s="243"/>
      <c r="AI232" s="243"/>
      <c r="AJ232" s="251"/>
    </row>
    <row r="233" spans="1:36" ht="15" thickTop="1" thickBot="1" x14ac:dyDescent="0.35">
      <c r="A233" s="234"/>
      <c r="B233" s="234" t="s">
        <v>1229</v>
      </c>
      <c r="D233" s="234" t="s">
        <v>422</v>
      </c>
      <c r="E233" s="235"/>
      <c r="F233" s="235" t="str">
        <f t="shared" si="264"/>
        <v>-</v>
      </c>
      <c r="G233" s="235" t="str">
        <f t="shared" si="265"/>
        <v>-</v>
      </c>
      <c r="H233" s="235"/>
      <c r="I233" s="236"/>
      <c r="J233" s="236"/>
      <c r="K233" s="241" t="str">
        <f ca="1">IF(Table1192[[#This Row],[VALID]],Table1192[[#This Row],[VALID]]-TODAY(),"-")</f>
        <v>-</v>
      </c>
      <c r="L233" s="244"/>
      <c r="M233" s="238"/>
      <c r="N233" s="237"/>
      <c r="O233" s="237"/>
      <c r="P233" s="237"/>
      <c r="Q233" s="250"/>
      <c r="R233" s="238"/>
      <c r="S233" s="237"/>
      <c r="T233" s="237"/>
      <c r="U233" s="237"/>
      <c r="V233" s="250"/>
      <c r="W233" s="239"/>
      <c r="X233" s="237"/>
      <c r="Y233" s="242"/>
      <c r="Z233" s="251"/>
      <c r="AA233" s="243"/>
      <c r="AB233" s="243"/>
      <c r="AC233" s="243"/>
      <c r="AD233" s="243"/>
      <c r="AE233" s="243"/>
      <c r="AF233" s="243"/>
      <c r="AG233" s="243"/>
      <c r="AH233" s="243"/>
      <c r="AI233" s="243"/>
      <c r="AJ233" s="251"/>
    </row>
    <row r="234" spans="1:36" ht="15" thickTop="1" thickBot="1" x14ac:dyDescent="0.35">
      <c r="A234" s="234"/>
      <c r="B234" s="234" t="s">
        <v>1229</v>
      </c>
      <c r="D234" s="234" t="s">
        <v>584</v>
      </c>
      <c r="E234" s="235"/>
      <c r="F234" s="235" t="str">
        <f t="shared" si="264"/>
        <v>-</v>
      </c>
      <c r="G234" s="235" t="str">
        <f t="shared" si="265"/>
        <v>-</v>
      </c>
      <c r="H234" s="235"/>
      <c r="I234" s="236"/>
      <c r="J234" s="236"/>
      <c r="K234" s="241" t="str">
        <f ca="1">IF(Table1192[[#This Row],[VALID]],Table1192[[#This Row],[VALID]]-TODAY(),"-")</f>
        <v>-</v>
      </c>
      <c r="L234" s="244"/>
      <c r="M234" s="238"/>
      <c r="N234" s="237"/>
      <c r="O234" s="237"/>
      <c r="P234" s="237"/>
      <c r="Q234" s="250"/>
      <c r="R234" s="238"/>
      <c r="S234" s="237"/>
      <c r="T234" s="237"/>
      <c r="U234" s="237"/>
      <c r="V234" s="250"/>
      <c r="W234" s="239"/>
      <c r="X234" s="237"/>
      <c r="Y234" s="242"/>
      <c r="Z234" s="251"/>
      <c r="AA234" s="243"/>
      <c r="AB234" s="243"/>
      <c r="AC234" s="243"/>
      <c r="AD234" s="243"/>
      <c r="AE234" s="243"/>
      <c r="AF234" s="243"/>
      <c r="AG234" s="243"/>
      <c r="AH234" s="243"/>
      <c r="AI234" s="243"/>
      <c r="AJ234" s="251"/>
    </row>
    <row r="235" spans="1:36" ht="15" thickTop="1" thickBot="1" x14ac:dyDescent="0.35">
      <c r="A235" s="234"/>
      <c r="B235" s="234" t="s">
        <v>1229</v>
      </c>
      <c r="D235" s="234" t="s">
        <v>620</v>
      </c>
      <c r="E235" s="235"/>
      <c r="F235" s="235" t="str">
        <f t="shared" si="264"/>
        <v>-</v>
      </c>
      <c r="G235" s="235" t="str">
        <f t="shared" si="265"/>
        <v>-</v>
      </c>
      <c r="H235" s="235"/>
      <c r="I235" s="236"/>
      <c r="J235" s="236"/>
      <c r="K235" s="241" t="str">
        <f ca="1">IF(Table1192[[#This Row],[VALID]],Table1192[[#This Row],[VALID]]-TODAY(),"-")</f>
        <v>-</v>
      </c>
      <c r="L235" s="244"/>
      <c r="M235" s="238"/>
      <c r="N235" s="237"/>
      <c r="O235" s="237"/>
      <c r="P235" s="237"/>
      <c r="Q235" s="250"/>
      <c r="R235" s="238"/>
      <c r="S235" s="237"/>
      <c r="T235" s="237"/>
      <c r="U235" s="237"/>
      <c r="V235" s="250"/>
      <c r="W235" s="239"/>
      <c r="X235" s="237"/>
      <c r="Y235" s="242"/>
      <c r="Z235" s="251"/>
      <c r="AA235" s="243"/>
      <c r="AB235" s="243"/>
      <c r="AC235" s="243"/>
      <c r="AD235" s="243"/>
      <c r="AE235" s="243"/>
      <c r="AF235" s="243"/>
      <c r="AG235" s="243"/>
      <c r="AH235" s="243"/>
      <c r="AI235" s="243"/>
      <c r="AJ235" s="251"/>
    </row>
    <row r="236" spans="1:36" ht="15" thickTop="1" thickBot="1" x14ac:dyDescent="0.35">
      <c r="A236" s="234"/>
      <c r="B236" s="234" t="s">
        <v>1229</v>
      </c>
      <c r="D236" s="234" t="s">
        <v>726</v>
      </c>
      <c r="E236" s="235"/>
      <c r="F236" s="235" t="str">
        <f t="shared" si="264"/>
        <v>-</v>
      </c>
      <c r="G236" s="235" t="str">
        <f t="shared" si="265"/>
        <v>-</v>
      </c>
      <c r="H236" s="235"/>
      <c r="I236" s="236"/>
      <c r="J236" s="236"/>
      <c r="K236" s="241" t="str">
        <f ca="1">IF(Table1192[[#This Row],[VALID]],Table1192[[#This Row],[VALID]]-TODAY(),"-")</f>
        <v>-</v>
      </c>
      <c r="L236" s="244"/>
      <c r="M236" s="238"/>
      <c r="N236" s="237"/>
      <c r="O236" s="237"/>
      <c r="P236" s="237"/>
      <c r="Q236" s="250"/>
      <c r="R236" s="238"/>
      <c r="S236" s="237"/>
      <c r="T236" s="237"/>
      <c r="U236" s="237"/>
      <c r="V236" s="250"/>
      <c r="W236" s="239"/>
      <c r="X236" s="237"/>
      <c r="Y236" s="242"/>
      <c r="Z236" s="251"/>
      <c r="AA236" s="243"/>
      <c r="AB236" s="243"/>
      <c r="AC236" s="243"/>
      <c r="AD236" s="243"/>
      <c r="AE236" s="243"/>
      <c r="AF236" s="243"/>
      <c r="AG236" s="243"/>
      <c r="AH236" s="243"/>
      <c r="AI236" s="243"/>
      <c r="AJ236" s="251"/>
    </row>
    <row r="237" spans="1:36" ht="15" thickTop="1" thickBot="1" x14ac:dyDescent="0.35">
      <c r="A237" s="234"/>
      <c r="B237" s="234" t="s">
        <v>1229</v>
      </c>
      <c r="D237" s="234" t="s">
        <v>750</v>
      </c>
      <c r="E237" s="235"/>
      <c r="F237" s="235" t="str">
        <f t="shared" si="264"/>
        <v>-</v>
      </c>
      <c r="G237" s="235" t="str">
        <f t="shared" si="265"/>
        <v>-</v>
      </c>
      <c r="H237" s="235"/>
      <c r="I237" s="236"/>
      <c r="J237" s="236"/>
      <c r="K237" s="241" t="str">
        <f ca="1">IF(Table1192[[#This Row],[VALID]],Table1192[[#This Row],[VALID]]-TODAY(),"-")</f>
        <v>-</v>
      </c>
      <c r="L237" s="244"/>
      <c r="M237" s="238"/>
      <c r="N237" s="237"/>
      <c r="O237" s="237"/>
      <c r="P237" s="237"/>
      <c r="Q237" s="250"/>
      <c r="R237" s="238"/>
      <c r="S237" s="237"/>
      <c r="T237" s="237"/>
      <c r="U237" s="237"/>
      <c r="V237" s="250"/>
      <c r="W237" s="239"/>
      <c r="X237" s="237"/>
      <c r="Y237" s="242"/>
      <c r="Z237" s="251"/>
      <c r="AA237" s="243"/>
      <c r="AB237" s="243"/>
      <c r="AC237" s="243"/>
      <c r="AD237" s="243"/>
      <c r="AE237" s="243"/>
      <c r="AF237" s="243"/>
      <c r="AG237" s="243"/>
      <c r="AH237" s="243"/>
      <c r="AI237" s="243"/>
      <c r="AJ237" s="251"/>
    </row>
    <row r="238" spans="1:36" ht="15" thickTop="1" thickBot="1" x14ac:dyDescent="0.35">
      <c r="A238" s="234"/>
      <c r="B238" s="234" t="s">
        <v>1253</v>
      </c>
      <c r="D238" s="234" t="s">
        <v>471</v>
      </c>
      <c r="E238" s="235"/>
      <c r="F238" s="235" t="str">
        <f t="shared" si="264"/>
        <v>-</v>
      </c>
      <c r="G238" s="235" t="str">
        <f t="shared" si="265"/>
        <v>-</v>
      </c>
      <c r="H238" s="235"/>
      <c r="I238" s="236"/>
      <c r="J238" s="236"/>
      <c r="K238" s="241" t="str">
        <f ca="1">IF(Table1192[[#This Row],[VALID]],Table1192[[#This Row],[VALID]]-TODAY(),"-")</f>
        <v>-</v>
      </c>
      <c r="L238" s="244"/>
      <c r="M238" s="238"/>
      <c r="N238" s="237"/>
      <c r="O238" s="237"/>
      <c r="P238" s="237"/>
      <c r="Q238" s="250"/>
      <c r="R238" s="238"/>
      <c r="S238" s="237"/>
      <c r="T238" s="237"/>
      <c r="U238" s="237"/>
      <c r="V238" s="250"/>
      <c r="W238" s="239"/>
      <c r="X238" s="237"/>
      <c r="Y238" s="242"/>
      <c r="Z238" s="251"/>
      <c r="AA238" s="243"/>
      <c r="AB238" s="243"/>
      <c r="AC238" s="243"/>
      <c r="AD238" s="243"/>
      <c r="AE238" s="243"/>
      <c r="AF238" s="243"/>
      <c r="AG238" s="243"/>
      <c r="AH238" s="243"/>
      <c r="AI238" s="243"/>
      <c r="AJ238" s="251"/>
    </row>
    <row r="239" spans="1:36" ht="15" thickTop="1" thickBot="1" x14ac:dyDescent="0.35">
      <c r="A239" s="234"/>
      <c r="B239" s="234" t="s">
        <v>1278</v>
      </c>
      <c r="D239" s="234" t="s">
        <v>1189</v>
      </c>
      <c r="E239" s="235"/>
      <c r="F239" s="235" t="str">
        <f t="shared" si="264"/>
        <v>-</v>
      </c>
      <c r="G239" s="235" t="str">
        <f t="shared" si="265"/>
        <v>-</v>
      </c>
      <c r="H239" s="235"/>
      <c r="I239" s="236"/>
      <c r="J239" s="236"/>
      <c r="K239" s="241" t="str">
        <f ca="1">IF(Table1192[[#This Row],[VALID]],Table1192[[#This Row],[VALID]]-TODAY(),"-")</f>
        <v>-</v>
      </c>
      <c r="L239" s="244"/>
      <c r="M239" s="238"/>
      <c r="N239" s="237"/>
      <c r="O239" s="237"/>
      <c r="P239" s="237"/>
      <c r="Q239" s="250"/>
      <c r="R239" s="238"/>
      <c r="S239" s="237"/>
      <c r="T239" s="237"/>
      <c r="U239" s="237"/>
      <c r="V239" s="250"/>
      <c r="W239" s="239"/>
      <c r="X239" s="237"/>
      <c r="Y239" s="242"/>
      <c r="Z239" s="251"/>
      <c r="AA239" s="243"/>
      <c r="AB239" s="243"/>
      <c r="AC239" s="243"/>
      <c r="AD239" s="243"/>
      <c r="AE239" s="243"/>
      <c r="AF239" s="243"/>
      <c r="AG239" s="243"/>
      <c r="AH239" s="243"/>
      <c r="AI239" s="243"/>
      <c r="AJ239" s="251"/>
    </row>
    <row r="240" spans="1:36" ht="15" thickTop="1" thickBot="1" x14ac:dyDescent="0.35">
      <c r="A240" s="234"/>
      <c r="B240" s="234" t="s">
        <v>1278</v>
      </c>
      <c r="D240" s="234" t="s">
        <v>1107</v>
      </c>
      <c r="E240" s="235"/>
      <c r="F240" s="235" t="str">
        <f t="shared" ref="F240" si="268">IF(M240,SUM(M240:P240,W240:X240),"-")</f>
        <v>-</v>
      </c>
      <c r="G240" s="235" t="str">
        <f t="shared" ref="G240" si="269">IF(R240,SUM(R240:U240,W240:X240),"-")</f>
        <v>-</v>
      </c>
      <c r="H240" s="235"/>
      <c r="I240" s="236"/>
      <c r="J240" s="236"/>
      <c r="K240" s="241" t="str">
        <f ca="1">IF(Table1192[[#This Row],[VALID]],Table1192[[#This Row],[VALID]]-TODAY(),"-")</f>
        <v>-</v>
      </c>
      <c r="L240" s="244"/>
      <c r="M240" s="238"/>
      <c r="N240" s="237"/>
      <c r="O240" s="237"/>
      <c r="P240" s="237"/>
      <c r="Q240" s="250"/>
      <c r="R240" s="238"/>
      <c r="S240" s="237"/>
      <c r="T240" s="237"/>
      <c r="U240" s="237"/>
      <c r="V240" s="250"/>
      <c r="W240" s="239"/>
      <c r="X240" s="237"/>
      <c r="Y240" s="242"/>
      <c r="Z240" s="251"/>
      <c r="AA240" s="243"/>
      <c r="AB240" s="243"/>
      <c r="AC240" s="243"/>
      <c r="AD240" s="243"/>
      <c r="AE240" s="243"/>
      <c r="AF240" s="243"/>
      <c r="AG240" s="243"/>
      <c r="AH240" s="243"/>
      <c r="AI240" s="243"/>
      <c r="AJ240" s="251"/>
    </row>
    <row r="241" spans="1:36" ht="15" thickTop="1" thickBot="1" x14ac:dyDescent="0.35">
      <c r="A241" s="234"/>
      <c r="B241" s="234" t="s">
        <v>1278</v>
      </c>
      <c r="D241" s="234" t="s">
        <v>632</v>
      </c>
      <c r="E241" s="235"/>
      <c r="F241" s="235" t="str">
        <f t="shared" si="264"/>
        <v>-</v>
      </c>
      <c r="G241" s="235" t="str">
        <f t="shared" si="265"/>
        <v>-</v>
      </c>
      <c r="H241" s="235"/>
      <c r="I241" s="236"/>
      <c r="J241" s="236"/>
      <c r="K241" s="241" t="str">
        <f ca="1">IF(Table1192[[#This Row],[VALID]],Table1192[[#This Row],[VALID]]-TODAY(),"-")</f>
        <v>-</v>
      </c>
      <c r="L241" s="244"/>
      <c r="M241" s="238"/>
      <c r="N241" s="237"/>
      <c r="O241" s="237"/>
      <c r="P241" s="237"/>
      <c r="Q241" s="250"/>
      <c r="R241" s="238"/>
      <c r="S241" s="237"/>
      <c r="T241" s="237"/>
      <c r="U241" s="237"/>
      <c r="V241" s="250"/>
      <c r="W241" s="239"/>
      <c r="X241" s="237"/>
      <c r="Y241" s="242"/>
      <c r="Z241" s="251"/>
      <c r="AA241" s="243"/>
      <c r="AB241" s="243"/>
      <c r="AC241" s="243"/>
      <c r="AD241" s="243"/>
      <c r="AE241" s="243"/>
      <c r="AF241" s="243"/>
      <c r="AG241" s="243"/>
      <c r="AH241" s="243"/>
      <c r="AI241" s="243"/>
      <c r="AJ241" s="251"/>
    </row>
    <row r="242" spans="1:36" ht="15" thickTop="1" thickBot="1" x14ac:dyDescent="0.35">
      <c r="A242" s="234"/>
      <c r="B242" s="234" t="s">
        <v>1278</v>
      </c>
      <c r="D242" s="234" t="s">
        <v>649</v>
      </c>
      <c r="E242" s="235"/>
      <c r="F242" s="235" t="str">
        <f t="shared" si="264"/>
        <v>-</v>
      </c>
      <c r="G242" s="235" t="str">
        <f t="shared" si="265"/>
        <v>-</v>
      </c>
      <c r="H242" s="235"/>
      <c r="I242" s="236"/>
      <c r="J242" s="236"/>
      <c r="K242" s="241" t="str">
        <f ca="1">IF(Table1192[[#This Row],[VALID]],Table1192[[#This Row],[VALID]]-TODAY(),"-")</f>
        <v>-</v>
      </c>
      <c r="L242" s="244"/>
      <c r="M242" s="238"/>
      <c r="N242" s="237"/>
      <c r="O242" s="237"/>
      <c r="P242" s="237"/>
      <c r="Q242" s="250"/>
      <c r="R242" s="238"/>
      <c r="S242" s="237"/>
      <c r="T242" s="237"/>
      <c r="U242" s="237"/>
      <c r="V242" s="250"/>
      <c r="W242" s="239"/>
      <c r="X242" s="237"/>
      <c r="Y242" s="242"/>
      <c r="Z242" s="251"/>
      <c r="AA242" s="243"/>
      <c r="AB242" s="243"/>
      <c r="AC242" s="243"/>
      <c r="AD242" s="243"/>
      <c r="AE242" s="243"/>
      <c r="AF242" s="243"/>
      <c r="AG242" s="243"/>
      <c r="AH242" s="243"/>
      <c r="AI242" s="243"/>
      <c r="AJ242" s="251"/>
    </row>
    <row r="243" spans="1:36" ht="15" thickTop="1" thickBot="1" x14ac:dyDescent="0.35">
      <c r="A243" s="234"/>
      <c r="B243" s="234" t="s">
        <v>1302</v>
      </c>
      <c r="D243" s="234" t="s">
        <v>1207</v>
      </c>
      <c r="E243" s="235"/>
      <c r="F243" s="235" t="str">
        <f t="shared" si="264"/>
        <v>-</v>
      </c>
      <c r="G243" s="235" t="str">
        <f t="shared" si="265"/>
        <v>-</v>
      </c>
      <c r="H243" s="235"/>
      <c r="I243" s="236"/>
      <c r="J243" s="236"/>
      <c r="K243" s="241" t="str">
        <f ca="1">IF(Table1192[[#This Row],[VALID]],Table1192[[#This Row],[VALID]]-TODAY(),"-")</f>
        <v>-</v>
      </c>
      <c r="L243" s="244"/>
      <c r="M243" s="238"/>
      <c r="N243" s="237"/>
      <c r="O243" s="237"/>
      <c r="P243" s="237"/>
      <c r="Q243" s="250"/>
      <c r="R243" s="238"/>
      <c r="S243" s="237"/>
      <c r="T243" s="237"/>
      <c r="U243" s="237"/>
      <c r="V243" s="250"/>
      <c r="W243" s="239"/>
      <c r="X243" s="237"/>
      <c r="Y243" s="242"/>
      <c r="Z243" s="251"/>
      <c r="AA243" s="243"/>
      <c r="AB243" s="243"/>
      <c r="AC243" s="243"/>
      <c r="AD243" s="243"/>
      <c r="AE243" s="243"/>
      <c r="AF243" s="243"/>
      <c r="AG243" s="243"/>
      <c r="AH243" s="243"/>
      <c r="AI243" s="243"/>
      <c r="AJ243" s="251"/>
    </row>
    <row r="244" spans="1:36" ht="15" thickTop="1" thickBot="1" x14ac:dyDescent="0.35">
      <c r="A244" s="234"/>
      <c r="B244" s="234" t="s">
        <v>1302</v>
      </c>
      <c r="D244" s="234" t="s">
        <v>1208</v>
      </c>
      <c r="E244" s="235"/>
      <c r="F244" s="235" t="str">
        <f t="shared" si="264"/>
        <v>-</v>
      </c>
      <c r="G244" s="235" t="str">
        <f t="shared" si="265"/>
        <v>-</v>
      </c>
      <c r="H244" s="235"/>
      <c r="I244" s="236"/>
      <c r="J244" s="236"/>
      <c r="K244" s="241" t="str">
        <f ca="1">IF(Table1192[[#This Row],[VALID]],Table1192[[#This Row],[VALID]]-TODAY(),"-")</f>
        <v>-</v>
      </c>
      <c r="L244" s="244"/>
      <c r="M244" s="238"/>
      <c r="N244" s="237"/>
      <c r="O244" s="237"/>
      <c r="P244" s="237"/>
      <c r="Q244" s="250"/>
      <c r="R244" s="238"/>
      <c r="S244" s="237"/>
      <c r="T244" s="237"/>
      <c r="U244" s="237"/>
      <c r="V244" s="250"/>
      <c r="W244" s="239"/>
      <c r="X244" s="237"/>
      <c r="Y244" s="242"/>
      <c r="Z244" s="251"/>
      <c r="AA244" s="243"/>
      <c r="AB244" s="243"/>
      <c r="AC244" s="243"/>
      <c r="AD244" s="243"/>
      <c r="AE244" s="243"/>
      <c r="AF244" s="243"/>
      <c r="AG244" s="243"/>
      <c r="AH244" s="243"/>
      <c r="AI244" s="243"/>
      <c r="AJ244" s="251"/>
    </row>
    <row r="245" spans="1:36" ht="15" thickTop="1" thickBot="1" x14ac:dyDescent="0.35">
      <c r="A245" s="234"/>
      <c r="B245" s="234" t="s">
        <v>1297</v>
      </c>
      <c r="D245" s="234" t="s">
        <v>679</v>
      </c>
      <c r="E245" s="235"/>
      <c r="F245" s="235" t="str">
        <f t="shared" si="264"/>
        <v>-</v>
      </c>
      <c r="G245" s="235" t="str">
        <f t="shared" si="265"/>
        <v>-</v>
      </c>
      <c r="H245" s="235"/>
      <c r="I245" s="236"/>
      <c r="J245" s="236"/>
      <c r="K245" s="241" t="str">
        <f ca="1">IF(Table1192[[#This Row],[VALID]],Table1192[[#This Row],[VALID]]-TODAY(),"-")</f>
        <v>-</v>
      </c>
      <c r="L245" s="244"/>
      <c r="M245" s="238"/>
      <c r="N245" s="237"/>
      <c r="O245" s="237"/>
      <c r="P245" s="237"/>
      <c r="Q245" s="250"/>
      <c r="R245" s="238"/>
      <c r="S245" s="237"/>
      <c r="T245" s="237"/>
      <c r="U245" s="237"/>
      <c r="V245" s="250"/>
      <c r="W245" s="239"/>
      <c r="X245" s="237"/>
      <c r="Y245" s="242"/>
      <c r="Z245" s="251"/>
      <c r="AA245" s="243"/>
      <c r="AB245" s="243"/>
      <c r="AC245" s="243"/>
      <c r="AD245" s="243"/>
      <c r="AE245" s="243"/>
      <c r="AF245" s="243"/>
      <c r="AG245" s="243"/>
      <c r="AH245" s="243"/>
      <c r="AI245" s="243"/>
      <c r="AJ245" s="251"/>
    </row>
    <row r="246" spans="1:36" ht="15" thickTop="1" thickBot="1" x14ac:dyDescent="0.35">
      <c r="A246" s="234"/>
      <c r="B246" s="234" t="s">
        <v>1297</v>
      </c>
      <c r="D246" s="234" t="s">
        <v>711</v>
      </c>
      <c r="E246" s="235"/>
      <c r="F246" s="235" t="str">
        <f t="shared" si="264"/>
        <v>-</v>
      </c>
      <c r="G246" s="235" t="str">
        <f t="shared" si="265"/>
        <v>-</v>
      </c>
      <c r="H246" s="235"/>
      <c r="I246" s="236"/>
      <c r="J246" s="236"/>
      <c r="K246" s="241" t="str">
        <f ca="1">IF(Table1192[[#This Row],[VALID]],Table1192[[#This Row],[VALID]]-TODAY(),"-")</f>
        <v>-</v>
      </c>
      <c r="L246" s="244"/>
      <c r="M246" s="238"/>
      <c r="N246" s="237"/>
      <c r="O246" s="237"/>
      <c r="P246" s="237"/>
      <c r="Q246" s="250"/>
      <c r="R246" s="238"/>
      <c r="S246" s="237"/>
      <c r="T246" s="237"/>
      <c r="U246" s="237"/>
      <c r="V246" s="250"/>
      <c r="W246" s="239"/>
      <c r="X246" s="237"/>
      <c r="Y246" s="242"/>
      <c r="Z246" s="251"/>
      <c r="AA246" s="243"/>
      <c r="AB246" s="243"/>
      <c r="AC246" s="243"/>
      <c r="AD246" s="243"/>
      <c r="AE246" s="243"/>
      <c r="AF246" s="243"/>
      <c r="AG246" s="243"/>
      <c r="AH246" s="243"/>
      <c r="AI246" s="243"/>
      <c r="AJ246" s="251"/>
    </row>
    <row r="247" spans="1:36" ht="15" thickTop="1" thickBot="1" x14ac:dyDescent="0.35">
      <c r="A247" s="234"/>
      <c r="B247" s="234" t="s">
        <v>1274</v>
      </c>
      <c r="D247" s="234" t="s">
        <v>554</v>
      </c>
      <c r="E247" s="235"/>
      <c r="F247" s="235" t="str">
        <f t="shared" si="264"/>
        <v>-</v>
      </c>
      <c r="G247" s="235" t="str">
        <f t="shared" si="265"/>
        <v>-</v>
      </c>
      <c r="H247" s="235"/>
      <c r="I247" s="236"/>
      <c r="J247" s="236"/>
      <c r="K247" s="241" t="str">
        <f ca="1">IF(Table1192[[#This Row],[VALID]],Table1192[[#This Row],[VALID]]-TODAY(),"-")</f>
        <v>-</v>
      </c>
      <c r="L247" s="244"/>
      <c r="M247" s="238"/>
      <c r="N247" s="237"/>
      <c r="O247" s="237"/>
      <c r="P247" s="237"/>
      <c r="Q247" s="250"/>
      <c r="R247" s="238"/>
      <c r="S247" s="237"/>
      <c r="T247" s="237"/>
      <c r="U247" s="237"/>
      <c r="V247" s="250"/>
      <c r="W247" s="239"/>
      <c r="X247" s="237"/>
      <c r="Y247" s="242"/>
      <c r="Z247" s="251"/>
      <c r="AA247" s="243"/>
      <c r="AB247" s="243"/>
      <c r="AC247" s="243"/>
      <c r="AD247" s="243"/>
      <c r="AE247" s="243"/>
      <c r="AF247" s="243"/>
      <c r="AG247" s="243"/>
      <c r="AH247" s="243"/>
      <c r="AI247" s="243"/>
      <c r="AJ247" s="251"/>
    </row>
    <row r="248" spans="1:36" ht="15" thickTop="1" thickBot="1" x14ac:dyDescent="0.35">
      <c r="A248" s="234"/>
      <c r="B248" s="234" t="s">
        <v>1247</v>
      </c>
      <c r="D248" s="234" t="s">
        <v>453</v>
      </c>
      <c r="E248" s="235"/>
      <c r="F248" s="235" t="str">
        <f t="shared" si="264"/>
        <v>-</v>
      </c>
      <c r="G248" s="235" t="str">
        <f t="shared" si="265"/>
        <v>-</v>
      </c>
      <c r="H248" s="235"/>
      <c r="I248" s="236"/>
      <c r="J248" s="236"/>
      <c r="K248" s="241" t="str">
        <f ca="1">IF(Table1192[[#This Row],[VALID]],Table1192[[#This Row],[VALID]]-TODAY(),"-")</f>
        <v>-</v>
      </c>
      <c r="L248" s="244"/>
      <c r="M248" s="238"/>
      <c r="N248" s="237"/>
      <c r="O248" s="237"/>
      <c r="P248" s="237"/>
      <c r="Q248" s="250"/>
      <c r="R248" s="238"/>
      <c r="S248" s="237"/>
      <c r="T248" s="237"/>
      <c r="U248" s="237"/>
      <c r="V248" s="250"/>
      <c r="W248" s="239"/>
      <c r="X248" s="237"/>
      <c r="Y248" s="242"/>
      <c r="Z248" s="251"/>
      <c r="AA248" s="243"/>
      <c r="AB248" s="243"/>
      <c r="AC248" s="243"/>
      <c r="AD248" s="243"/>
      <c r="AE248" s="243"/>
      <c r="AF248" s="243"/>
      <c r="AG248" s="243"/>
      <c r="AH248" s="243"/>
      <c r="AI248" s="243"/>
      <c r="AJ248" s="251"/>
    </row>
    <row r="249" spans="1:36" ht="15" thickTop="1" thickBot="1" x14ac:dyDescent="0.35">
      <c r="A249" s="234"/>
      <c r="B249" s="234" t="s">
        <v>1247</v>
      </c>
      <c r="D249" s="234" t="s">
        <v>464</v>
      </c>
      <c r="E249" s="235"/>
      <c r="F249" s="235" t="str">
        <f t="shared" si="264"/>
        <v>-</v>
      </c>
      <c r="G249" s="235" t="str">
        <f t="shared" si="265"/>
        <v>-</v>
      </c>
      <c r="H249" s="235"/>
      <c r="I249" s="236"/>
      <c r="J249" s="236"/>
      <c r="K249" s="241" t="str">
        <f ca="1">IF(Table1192[[#This Row],[VALID]],Table1192[[#This Row],[VALID]]-TODAY(),"-")</f>
        <v>-</v>
      </c>
      <c r="L249" s="244"/>
      <c r="M249" s="238"/>
      <c r="N249" s="237"/>
      <c r="O249" s="237"/>
      <c r="P249" s="237"/>
      <c r="Q249" s="250"/>
      <c r="R249" s="238"/>
      <c r="S249" s="237"/>
      <c r="T249" s="237"/>
      <c r="U249" s="237"/>
      <c r="V249" s="250"/>
      <c r="W249" s="239"/>
      <c r="X249" s="237"/>
      <c r="Y249" s="242"/>
      <c r="Z249" s="251"/>
      <c r="AA249" s="243"/>
      <c r="AB249" s="243"/>
      <c r="AC249" s="243"/>
      <c r="AD249" s="243"/>
      <c r="AE249" s="243"/>
      <c r="AF249" s="243"/>
      <c r="AG249" s="243"/>
      <c r="AH249" s="243"/>
      <c r="AI249" s="243"/>
      <c r="AJ249" s="251"/>
    </row>
    <row r="250" spans="1:36" ht="15" thickTop="1" thickBot="1" x14ac:dyDescent="0.35">
      <c r="A250" s="234"/>
      <c r="B250" s="234" t="s">
        <v>1247</v>
      </c>
      <c r="D250" s="234" t="s">
        <v>597</v>
      </c>
      <c r="E250" s="235"/>
      <c r="F250" s="235" t="str">
        <f t="shared" si="264"/>
        <v>-</v>
      </c>
      <c r="G250" s="235" t="str">
        <f t="shared" si="265"/>
        <v>-</v>
      </c>
      <c r="H250" s="235"/>
      <c r="I250" s="236"/>
      <c r="J250" s="236"/>
      <c r="K250" s="241" t="str">
        <f ca="1">IF(Table1192[[#This Row],[VALID]],Table1192[[#This Row],[VALID]]-TODAY(),"-")</f>
        <v>-</v>
      </c>
      <c r="L250" s="244"/>
      <c r="M250" s="238"/>
      <c r="N250" s="237"/>
      <c r="O250" s="237"/>
      <c r="P250" s="237"/>
      <c r="Q250" s="250"/>
      <c r="R250" s="238"/>
      <c r="S250" s="237"/>
      <c r="T250" s="237"/>
      <c r="U250" s="237"/>
      <c r="V250" s="250"/>
      <c r="W250" s="239"/>
      <c r="X250" s="237"/>
      <c r="Y250" s="242"/>
      <c r="Z250" s="251"/>
      <c r="AA250" s="243"/>
      <c r="AB250" s="243"/>
      <c r="AC250" s="243"/>
      <c r="AD250" s="243"/>
      <c r="AE250" s="243"/>
      <c r="AF250" s="243"/>
      <c r="AG250" s="243"/>
      <c r="AH250" s="243"/>
      <c r="AI250" s="243"/>
      <c r="AJ250" s="251"/>
    </row>
    <row r="251" spans="1:36" ht="15" thickTop="1" thickBot="1" x14ac:dyDescent="0.35">
      <c r="A251" s="234"/>
      <c r="B251" s="234" t="s">
        <v>1247</v>
      </c>
      <c r="D251" s="234" t="s">
        <v>635</v>
      </c>
      <c r="E251" s="235"/>
      <c r="F251" s="235" t="str">
        <f t="shared" si="264"/>
        <v>-</v>
      </c>
      <c r="G251" s="235" t="str">
        <f t="shared" si="265"/>
        <v>-</v>
      </c>
      <c r="H251" s="235"/>
      <c r="I251" s="236"/>
      <c r="J251" s="236"/>
      <c r="K251" s="241" t="str">
        <f ca="1">IF(Table1192[[#This Row],[VALID]],Table1192[[#This Row],[VALID]]-TODAY(),"-")</f>
        <v>-</v>
      </c>
      <c r="L251" s="244"/>
      <c r="M251" s="238"/>
      <c r="N251" s="237"/>
      <c r="O251" s="237"/>
      <c r="P251" s="237"/>
      <c r="Q251" s="250"/>
      <c r="R251" s="238"/>
      <c r="S251" s="237"/>
      <c r="T251" s="237"/>
      <c r="U251" s="237"/>
      <c r="V251" s="250"/>
      <c r="W251" s="239"/>
      <c r="X251" s="237"/>
      <c r="Y251" s="242"/>
      <c r="Z251" s="251"/>
      <c r="AA251" s="243"/>
      <c r="AB251" s="243"/>
      <c r="AC251" s="243"/>
      <c r="AD251" s="243"/>
      <c r="AE251" s="243"/>
      <c r="AF251" s="243"/>
      <c r="AG251" s="243"/>
      <c r="AH251" s="243"/>
      <c r="AI251" s="243"/>
      <c r="AJ251" s="251"/>
    </row>
    <row r="252" spans="1:36" ht="15" thickTop="1" thickBot="1" x14ac:dyDescent="0.35">
      <c r="A252" s="234"/>
      <c r="B252" s="234" t="s">
        <v>1237</v>
      </c>
      <c r="D252" s="234" t="s">
        <v>1164</v>
      </c>
      <c r="E252" s="235"/>
      <c r="F252" s="235" t="str">
        <f t="shared" si="264"/>
        <v>-</v>
      </c>
      <c r="G252" s="235" t="str">
        <f t="shared" si="265"/>
        <v>-</v>
      </c>
      <c r="H252" s="235"/>
      <c r="I252" s="236"/>
      <c r="J252" s="236"/>
      <c r="K252" s="241" t="str">
        <f ca="1">IF(Table1192[[#This Row],[VALID]],Table1192[[#This Row],[VALID]]-TODAY(),"-")</f>
        <v>-</v>
      </c>
      <c r="L252" s="244"/>
      <c r="M252" s="238"/>
      <c r="N252" s="237"/>
      <c r="O252" s="237"/>
      <c r="P252" s="237"/>
      <c r="Q252" s="250"/>
      <c r="R252" s="238"/>
      <c r="S252" s="237"/>
      <c r="T252" s="237"/>
      <c r="U252" s="237"/>
      <c r="V252" s="250"/>
      <c r="W252" s="239"/>
      <c r="X252" s="237"/>
      <c r="Y252" s="242"/>
      <c r="Z252" s="251"/>
      <c r="AA252" s="243"/>
      <c r="AB252" s="243"/>
      <c r="AC252" s="243"/>
      <c r="AD252" s="243"/>
      <c r="AE252" s="243"/>
      <c r="AF252" s="243"/>
      <c r="AG252" s="243"/>
      <c r="AH252" s="243"/>
      <c r="AI252" s="243"/>
      <c r="AJ252" s="251"/>
    </row>
    <row r="253" spans="1:36" ht="15" thickTop="1" thickBot="1" x14ac:dyDescent="0.35">
      <c r="A253" s="234"/>
      <c r="B253" s="234" t="s">
        <v>1237</v>
      </c>
      <c r="D253" s="234" t="s">
        <v>451</v>
      </c>
      <c r="E253" s="235"/>
      <c r="F253" s="235" t="str">
        <f t="shared" si="264"/>
        <v>-</v>
      </c>
      <c r="G253" s="235" t="str">
        <f t="shared" si="265"/>
        <v>-</v>
      </c>
      <c r="H253" s="235"/>
      <c r="I253" s="236"/>
      <c r="J253" s="236"/>
      <c r="K253" s="241" t="str">
        <f ca="1">IF(Table1192[[#This Row],[VALID]],Table1192[[#This Row],[VALID]]-TODAY(),"-")</f>
        <v>-</v>
      </c>
      <c r="L253" s="244"/>
      <c r="M253" s="238"/>
      <c r="N253" s="237"/>
      <c r="O253" s="237"/>
      <c r="P253" s="237"/>
      <c r="Q253" s="250"/>
      <c r="R253" s="238"/>
      <c r="S253" s="237"/>
      <c r="T253" s="237"/>
      <c r="U253" s="237"/>
      <c r="V253" s="250"/>
      <c r="W253" s="239"/>
      <c r="X253" s="237"/>
      <c r="Y253" s="242"/>
      <c r="Z253" s="251"/>
      <c r="AA253" s="243"/>
      <c r="AB253" s="243"/>
      <c r="AC253" s="243"/>
      <c r="AD253" s="243"/>
      <c r="AE253" s="243"/>
      <c r="AF253" s="243"/>
      <c r="AG253" s="243"/>
      <c r="AH253" s="243"/>
      <c r="AI253" s="243"/>
      <c r="AJ253" s="251"/>
    </row>
    <row r="254" spans="1:36" ht="15" thickTop="1" thickBot="1" x14ac:dyDescent="0.35">
      <c r="A254" s="234"/>
      <c r="B254" s="234" t="s">
        <v>1237</v>
      </c>
      <c r="D254" s="234" t="s">
        <v>459</v>
      </c>
      <c r="E254" s="235"/>
      <c r="F254" s="235" t="str">
        <f t="shared" si="264"/>
        <v>-</v>
      </c>
      <c r="G254" s="235" t="str">
        <f t="shared" si="265"/>
        <v>-</v>
      </c>
      <c r="H254" s="235"/>
      <c r="I254" s="236"/>
      <c r="J254" s="236"/>
      <c r="K254" s="241" t="str">
        <f ca="1">IF(Table1192[[#This Row],[VALID]],Table1192[[#This Row],[VALID]]-TODAY(),"-")</f>
        <v>-</v>
      </c>
      <c r="L254" s="244"/>
      <c r="M254" s="238"/>
      <c r="N254" s="237"/>
      <c r="O254" s="237"/>
      <c r="P254" s="237"/>
      <c r="Q254" s="250"/>
      <c r="R254" s="238"/>
      <c r="S254" s="237"/>
      <c r="T254" s="237"/>
      <c r="U254" s="237"/>
      <c r="V254" s="250"/>
      <c r="W254" s="239"/>
      <c r="X254" s="237"/>
      <c r="Y254" s="242"/>
      <c r="Z254" s="251"/>
      <c r="AA254" s="243"/>
      <c r="AB254" s="243"/>
      <c r="AC254" s="243"/>
      <c r="AD254" s="243"/>
      <c r="AE254" s="243"/>
      <c r="AF254" s="243"/>
      <c r="AG254" s="243"/>
      <c r="AH254" s="243"/>
      <c r="AI254" s="243"/>
      <c r="AJ254" s="251"/>
    </row>
    <row r="255" spans="1:36" ht="15" thickTop="1" thickBot="1" x14ac:dyDescent="0.35">
      <c r="A255" s="234"/>
      <c r="B255" s="234" t="s">
        <v>1237</v>
      </c>
      <c r="D255" s="234" t="s">
        <v>480</v>
      </c>
      <c r="E255" s="235"/>
      <c r="F255" s="235" t="str">
        <f t="shared" si="264"/>
        <v>-</v>
      </c>
      <c r="G255" s="235" t="str">
        <f t="shared" si="265"/>
        <v>-</v>
      </c>
      <c r="H255" s="235"/>
      <c r="I255" s="236"/>
      <c r="J255" s="236"/>
      <c r="K255" s="241" t="str">
        <f ca="1">IF(Table1192[[#This Row],[VALID]],Table1192[[#This Row],[VALID]]-TODAY(),"-")</f>
        <v>-</v>
      </c>
      <c r="L255" s="244"/>
      <c r="M255" s="238"/>
      <c r="N255" s="237"/>
      <c r="O255" s="237"/>
      <c r="P255" s="237"/>
      <c r="Q255" s="250"/>
      <c r="R255" s="238"/>
      <c r="S255" s="237"/>
      <c r="T255" s="237"/>
      <c r="U255" s="237"/>
      <c r="V255" s="250"/>
      <c r="W255" s="239"/>
      <c r="X255" s="237"/>
      <c r="Y255" s="242"/>
      <c r="Z255" s="251"/>
      <c r="AA255" s="243"/>
      <c r="AB255" s="243"/>
      <c r="AC255" s="243"/>
      <c r="AD255" s="243"/>
      <c r="AE255" s="243"/>
      <c r="AF255" s="243"/>
      <c r="AG255" s="243"/>
      <c r="AH255" s="243"/>
      <c r="AI255" s="243"/>
      <c r="AJ255" s="251"/>
    </row>
    <row r="256" spans="1:36" ht="15" thickTop="1" thickBot="1" x14ac:dyDescent="0.35">
      <c r="A256" s="234"/>
      <c r="B256" s="234" t="s">
        <v>1237</v>
      </c>
      <c r="D256" s="234" t="s">
        <v>503</v>
      </c>
      <c r="E256" s="235"/>
      <c r="F256" s="235" t="str">
        <f t="shared" si="264"/>
        <v>-</v>
      </c>
      <c r="G256" s="235" t="str">
        <f t="shared" si="265"/>
        <v>-</v>
      </c>
      <c r="H256" s="235"/>
      <c r="I256" s="236"/>
      <c r="J256" s="236"/>
      <c r="K256" s="241" t="str">
        <f ca="1">IF(Table1192[[#This Row],[VALID]],Table1192[[#This Row],[VALID]]-TODAY(),"-")</f>
        <v>-</v>
      </c>
      <c r="L256" s="244"/>
      <c r="M256" s="238"/>
      <c r="N256" s="237"/>
      <c r="O256" s="237"/>
      <c r="P256" s="237"/>
      <c r="Q256" s="250"/>
      <c r="R256" s="238"/>
      <c r="S256" s="237"/>
      <c r="T256" s="237"/>
      <c r="U256" s="237"/>
      <c r="V256" s="250"/>
      <c r="W256" s="239"/>
      <c r="X256" s="237"/>
      <c r="Y256" s="242"/>
      <c r="Z256" s="251"/>
      <c r="AA256" s="243"/>
      <c r="AB256" s="243"/>
      <c r="AC256" s="243"/>
      <c r="AD256" s="243"/>
      <c r="AE256" s="243"/>
      <c r="AF256" s="243"/>
      <c r="AG256" s="243"/>
      <c r="AH256" s="243"/>
      <c r="AI256" s="243"/>
      <c r="AJ256" s="251"/>
    </row>
    <row r="257" spans="1:36" ht="15" thickTop="1" thickBot="1" x14ac:dyDescent="0.35">
      <c r="A257" s="234"/>
      <c r="B257" s="234" t="s">
        <v>1237</v>
      </c>
      <c r="D257" s="234" t="s">
        <v>586</v>
      </c>
      <c r="E257" s="235"/>
      <c r="F257" s="235" t="str">
        <f t="shared" si="264"/>
        <v>-</v>
      </c>
      <c r="G257" s="235" t="str">
        <f t="shared" si="265"/>
        <v>-</v>
      </c>
      <c r="H257" s="235"/>
      <c r="I257" s="236"/>
      <c r="J257" s="236"/>
      <c r="K257" s="241" t="str">
        <f ca="1">IF(Table1192[[#This Row],[VALID]],Table1192[[#This Row],[VALID]]-TODAY(),"-")</f>
        <v>-</v>
      </c>
      <c r="L257" s="244"/>
      <c r="M257" s="238"/>
      <c r="N257" s="237"/>
      <c r="O257" s="237"/>
      <c r="P257" s="237"/>
      <c r="Q257" s="250"/>
      <c r="R257" s="238"/>
      <c r="S257" s="237"/>
      <c r="T257" s="237"/>
      <c r="U257" s="237"/>
      <c r="V257" s="250"/>
      <c r="W257" s="239"/>
      <c r="X257" s="237"/>
      <c r="Y257" s="242"/>
      <c r="Z257" s="251"/>
      <c r="AA257" s="243"/>
      <c r="AB257" s="243"/>
      <c r="AC257" s="243"/>
      <c r="AD257" s="243"/>
      <c r="AE257" s="243"/>
      <c r="AF257" s="243"/>
      <c r="AG257" s="243"/>
      <c r="AH257" s="243"/>
      <c r="AI257" s="243"/>
      <c r="AJ257" s="251"/>
    </row>
    <row r="258" spans="1:36" ht="15" thickTop="1" thickBot="1" x14ac:dyDescent="0.35">
      <c r="A258" s="234"/>
      <c r="B258" s="234" t="s">
        <v>1237</v>
      </c>
      <c r="D258" s="234" t="s">
        <v>587</v>
      </c>
      <c r="E258" s="235"/>
      <c r="F258" s="235" t="str">
        <f t="shared" si="264"/>
        <v>-</v>
      </c>
      <c r="G258" s="235" t="str">
        <f t="shared" si="265"/>
        <v>-</v>
      </c>
      <c r="H258" s="235"/>
      <c r="I258" s="236"/>
      <c r="J258" s="236"/>
      <c r="K258" s="241" t="str">
        <f ca="1">IF(Table1192[[#This Row],[VALID]],Table1192[[#This Row],[VALID]]-TODAY(),"-")</f>
        <v>-</v>
      </c>
      <c r="L258" s="244"/>
      <c r="M258" s="238"/>
      <c r="N258" s="237"/>
      <c r="O258" s="237"/>
      <c r="P258" s="237"/>
      <c r="Q258" s="250"/>
      <c r="R258" s="238"/>
      <c r="S258" s="237"/>
      <c r="T258" s="237"/>
      <c r="U258" s="237"/>
      <c r="V258" s="250"/>
      <c r="W258" s="239"/>
      <c r="X258" s="237"/>
      <c r="Y258" s="242"/>
      <c r="Z258" s="251"/>
      <c r="AA258" s="243"/>
      <c r="AB258" s="243"/>
      <c r="AC258" s="243"/>
      <c r="AD258" s="243"/>
      <c r="AE258" s="243"/>
      <c r="AF258" s="243"/>
      <c r="AG258" s="243"/>
      <c r="AH258" s="243"/>
      <c r="AI258" s="243"/>
      <c r="AJ258" s="251"/>
    </row>
    <row r="259" spans="1:36" ht="15" thickTop="1" thickBot="1" x14ac:dyDescent="0.35">
      <c r="A259" s="234"/>
      <c r="B259" s="234" t="s">
        <v>1237</v>
      </c>
      <c r="D259" s="234" t="s">
        <v>588</v>
      </c>
      <c r="E259" s="235"/>
      <c r="F259" s="235" t="str">
        <f t="shared" si="264"/>
        <v>-</v>
      </c>
      <c r="G259" s="235" t="str">
        <f t="shared" si="265"/>
        <v>-</v>
      </c>
      <c r="H259" s="235"/>
      <c r="I259" s="236"/>
      <c r="J259" s="236"/>
      <c r="K259" s="241" t="str">
        <f ca="1">IF(Table1192[[#This Row],[VALID]],Table1192[[#This Row],[VALID]]-TODAY(),"-")</f>
        <v>-</v>
      </c>
      <c r="L259" s="244"/>
      <c r="M259" s="238"/>
      <c r="N259" s="237"/>
      <c r="O259" s="237"/>
      <c r="P259" s="237"/>
      <c r="Q259" s="250"/>
      <c r="R259" s="238"/>
      <c r="S259" s="237"/>
      <c r="T259" s="237"/>
      <c r="U259" s="237"/>
      <c r="V259" s="250"/>
      <c r="W259" s="239"/>
      <c r="X259" s="237"/>
      <c r="Y259" s="242"/>
      <c r="Z259" s="251"/>
      <c r="AA259" s="243"/>
      <c r="AB259" s="243"/>
      <c r="AC259" s="243"/>
      <c r="AD259" s="243"/>
      <c r="AE259" s="243"/>
      <c r="AF259" s="243"/>
      <c r="AG259" s="243"/>
      <c r="AH259" s="243"/>
      <c r="AI259" s="243"/>
      <c r="AJ259" s="251"/>
    </row>
    <row r="260" spans="1:36" ht="15" thickTop="1" thickBot="1" x14ac:dyDescent="0.35">
      <c r="A260" s="234"/>
      <c r="B260" s="234" t="s">
        <v>1237</v>
      </c>
      <c r="D260" s="234" t="s">
        <v>715</v>
      </c>
      <c r="E260" s="235"/>
      <c r="F260" s="235" t="str">
        <f t="shared" si="264"/>
        <v>-</v>
      </c>
      <c r="G260" s="235" t="str">
        <f t="shared" si="265"/>
        <v>-</v>
      </c>
      <c r="H260" s="235"/>
      <c r="I260" s="236"/>
      <c r="J260" s="236"/>
      <c r="K260" s="241" t="str">
        <f ca="1">IF(Table1192[[#This Row],[VALID]],Table1192[[#This Row],[VALID]]-TODAY(),"-")</f>
        <v>-</v>
      </c>
      <c r="L260" s="244"/>
      <c r="M260" s="238"/>
      <c r="N260" s="237"/>
      <c r="O260" s="237"/>
      <c r="P260" s="237"/>
      <c r="Q260" s="250"/>
      <c r="R260" s="238"/>
      <c r="S260" s="237"/>
      <c r="T260" s="237"/>
      <c r="U260" s="237"/>
      <c r="V260" s="250"/>
      <c r="W260" s="239"/>
      <c r="X260" s="237"/>
      <c r="Y260" s="242"/>
      <c r="Z260" s="251"/>
      <c r="AA260" s="243"/>
      <c r="AB260" s="243"/>
      <c r="AC260" s="243"/>
      <c r="AD260" s="243"/>
      <c r="AE260" s="243"/>
      <c r="AF260" s="243"/>
      <c r="AG260" s="243"/>
      <c r="AH260" s="243"/>
      <c r="AI260" s="243"/>
      <c r="AJ260" s="251"/>
    </row>
    <row r="261" spans="1:36" ht="15" thickTop="1" thickBot="1" x14ac:dyDescent="0.35">
      <c r="A261" s="234"/>
      <c r="B261" s="234" t="s">
        <v>1263</v>
      </c>
      <c r="D261" s="234" t="s">
        <v>500</v>
      </c>
      <c r="E261" s="235"/>
      <c r="F261" s="235" t="str">
        <f t="shared" si="264"/>
        <v>-</v>
      </c>
      <c r="G261" s="235" t="str">
        <f t="shared" si="265"/>
        <v>-</v>
      </c>
      <c r="H261" s="235"/>
      <c r="I261" s="236"/>
      <c r="J261" s="236"/>
      <c r="K261" s="241" t="str">
        <f ca="1">IF(Table1192[[#This Row],[VALID]],Table1192[[#This Row],[VALID]]-TODAY(),"-")</f>
        <v>-</v>
      </c>
      <c r="L261" s="244"/>
      <c r="M261" s="238"/>
      <c r="N261" s="237"/>
      <c r="O261" s="237"/>
      <c r="P261" s="237"/>
      <c r="Q261" s="250"/>
      <c r="R261" s="238"/>
      <c r="S261" s="237"/>
      <c r="T261" s="237"/>
      <c r="U261" s="237"/>
      <c r="V261" s="250"/>
      <c r="W261" s="239"/>
      <c r="X261" s="237"/>
      <c r="Y261" s="242"/>
      <c r="Z261" s="251"/>
      <c r="AA261" s="243"/>
      <c r="AB261" s="243"/>
      <c r="AC261" s="243"/>
      <c r="AD261" s="243"/>
      <c r="AE261" s="243"/>
      <c r="AF261" s="243"/>
      <c r="AG261" s="243"/>
      <c r="AH261" s="243"/>
      <c r="AI261" s="243"/>
      <c r="AJ261" s="251"/>
    </row>
    <row r="262" spans="1:36" ht="15" thickTop="1" thickBot="1" x14ac:dyDescent="0.35">
      <c r="A262" s="234"/>
      <c r="B262" s="234" t="s">
        <v>1263</v>
      </c>
      <c r="D262" s="234" t="s">
        <v>501</v>
      </c>
      <c r="E262" s="235"/>
      <c r="F262" s="235" t="str">
        <f t="shared" ref="F262:F324" si="270">IF(M262,SUM(M262:P262,W262:X262),"-")</f>
        <v>-</v>
      </c>
      <c r="G262" s="235" t="str">
        <f t="shared" ref="G262:G324" si="271">IF(R262,SUM(R262:U262,W262:X262),"-")</f>
        <v>-</v>
      </c>
      <c r="H262" s="235"/>
      <c r="I262" s="236"/>
      <c r="J262" s="236"/>
      <c r="K262" s="241" t="str">
        <f ca="1">IF(Table1192[[#This Row],[VALID]],Table1192[[#This Row],[VALID]]-TODAY(),"-")</f>
        <v>-</v>
      </c>
      <c r="L262" s="244"/>
      <c r="M262" s="238"/>
      <c r="N262" s="237"/>
      <c r="O262" s="237"/>
      <c r="P262" s="237"/>
      <c r="Q262" s="250"/>
      <c r="R262" s="238"/>
      <c r="S262" s="237"/>
      <c r="T262" s="237"/>
      <c r="U262" s="237"/>
      <c r="V262" s="250"/>
      <c r="W262" s="239"/>
      <c r="X262" s="237"/>
      <c r="Y262" s="242"/>
      <c r="Z262" s="251"/>
      <c r="AA262" s="243"/>
      <c r="AB262" s="243"/>
      <c r="AC262" s="243"/>
      <c r="AD262" s="243"/>
      <c r="AE262" s="243"/>
      <c r="AF262" s="243"/>
      <c r="AG262" s="243"/>
      <c r="AH262" s="243"/>
      <c r="AI262" s="243"/>
      <c r="AJ262" s="251"/>
    </row>
    <row r="263" spans="1:36" ht="15" thickTop="1" thickBot="1" x14ac:dyDescent="0.35">
      <c r="A263" s="234"/>
      <c r="B263" s="234" t="s">
        <v>1282</v>
      </c>
      <c r="D263" s="234" t="s">
        <v>576</v>
      </c>
      <c r="E263" s="235"/>
      <c r="F263" s="235" t="str">
        <f t="shared" si="270"/>
        <v>-</v>
      </c>
      <c r="G263" s="235" t="str">
        <f t="shared" si="271"/>
        <v>-</v>
      </c>
      <c r="H263" s="235"/>
      <c r="I263" s="236"/>
      <c r="J263" s="236"/>
      <c r="K263" s="241" t="str">
        <f ca="1">IF(Table1192[[#This Row],[VALID]],Table1192[[#This Row],[VALID]]-TODAY(),"-")</f>
        <v>-</v>
      </c>
      <c r="L263" s="244"/>
      <c r="M263" s="238"/>
      <c r="N263" s="237"/>
      <c r="O263" s="237"/>
      <c r="P263" s="237"/>
      <c r="Q263" s="250"/>
      <c r="R263" s="238"/>
      <c r="S263" s="237"/>
      <c r="T263" s="237"/>
      <c r="U263" s="237"/>
      <c r="V263" s="250"/>
      <c r="W263" s="239"/>
      <c r="X263" s="237"/>
      <c r="Y263" s="242"/>
      <c r="Z263" s="251"/>
      <c r="AA263" s="243"/>
      <c r="AB263" s="243"/>
      <c r="AC263" s="243"/>
      <c r="AD263" s="243"/>
      <c r="AE263" s="243"/>
      <c r="AF263" s="243"/>
      <c r="AG263" s="243"/>
      <c r="AH263" s="243"/>
      <c r="AI263" s="243"/>
      <c r="AJ263" s="251"/>
    </row>
    <row r="264" spans="1:36" ht="15" thickTop="1" thickBot="1" x14ac:dyDescent="0.35">
      <c r="A264" s="234"/>
      <c r="B264" s="234" t="s">
        <v>1282</v>
      </c>
      <c r="D264" s="234" t="s">
        <v>708</v>
      </c>
      <c r="E264" s="235"/>
      <c r="F264" s="235" t="str">
        <f t="shared" si="270"/>
        <v>-</v>
      </c>
      <c r="G264" s="235" t="str">
        <f t="shared" si="271"/>
        <v>-</v>
      </c>
      <c r="H264" s="235"/>
      <c r="I264" s="236"/>
      <c r="J264" s="236"/>
      <c r="K264" s="241" t="str">
        <f ca="1">IF(Table1192[[#This Row],[VALID]],Table1192[[#This Row],[VALID]]-TODAY(),"-")</f>
        <v>-</v>
      </c>
      <c r="L264" s="244"/>
      <c r="M264" s="238"/>
      <c r="N264" s="237"/>
      <c r="O264" s="237"/>
      <c r="P264" s="237"/>
      <c r="Q264" s="250"/>
      <c r="R264" s="238"/>
      <c r="S264" s="237"/>
      <c r="T264" s="237"/>
      <c r="U264" s="237"/>
      <c r="V264" s="250"/>
      <c r="W264" s="239"/>
      <c r="X264" s="237"/>
      <c r="Y264" s="242"/>
      <c r="Z264" s="251"/>
      <c r="AA264" s="243"/>
      <c r="AB264" s="243"/>
      <c r="AC264" s="243"/>
      <c r="AD264" s="243"/>
      <c r="AE264" s="243"/>
      <c r="AF264" s="243"/>
      <c r="AG264" s="243"/>
      <c r="AH264" s="243"/>
      <c r="AI264" s="243"/>
      <c r="AJ264" s="251"/>
    </row>
    <row r="265" spans="1:36" ht="15" thickTop="1" thickBot="1" x14ac:dyDescent="0.35">
      <c r="A265" s="234"/>
      <c r="B265" s="234" t="s">
        <v>1268</v>
      </c>
      <c r="D265" s="234" t="s">
        <v>517</v>
      </c>
      <c r="E265" s="235"/>
      <c r="F265" s="235" t="str">
        <f t="shared" si="270"/>
        <v>-</v>
      </c>
      <c r="G265" s="235" t="str">
        <f t="shared" si="271"/>
        <v>-</v>
      </c>
      <c r="H265" s="235"/>
      <c r="I265" s="236"/>
      <c r="J265" s="236"/>
      <c r="K265" s="241" t="str">
        <f ca="1">IF(Table1192[[#This Row],[VALID]],Table1192[[#This Row],[VALID]]-TODAY(),"-")</f>
        <v>-</v>
      </c>
      <c r="L265" s="244"/>
      <c r="M265" s="238"/>
      <c r="N265" s="237"/>
      <c r="O265" s="237"/>
      <c r="P265" s="237"/>
      <c r="Q265" s="250"/>
      <c r="R265" s="238"/>
      <c r="S265" s="237"/>
      <c r="T265" s="237"/>
      <c r="U265" s="237"/>
      <c r="V265" s="250"/>
      <c r="W265" s="239"/>
      <c r="X265" s="237"/>
      <c r="Y265" s="242"/>
      <c r="Z265" s="251"/>
      <c r="AA265" s="243"/>
      <c r="AB265" s="243"/>
      <c r="AC265" s="243"/>
      <c r="AD265" s="243"/>
      <c r="AE265" s="243"/>
      <c r="AF265" s="243"/>
      <c r="AG265" s="243"/>
      <c r="AH265" s="243"/>
      <c r="AI265" s="243"/>
      <c r="AJ265" s="251"/>
    </row>
    <row r="266" spans="1:36" ht="15" thickTop="1" thickBot="1" x14ac:dyDescent="0.35">
      <c r="A266" s="234"/>
      <c r="B266" s="234" t="s">
        <v>1252</v>
      </c>
      <c r="D266" s="234" t="s">
        <v>125</v>
      </c>
      <c r="E266" s="235"/>
      <c r="F266" s="235" t="str">
        <f t="shared" si="270"/>
        <v>-</v>
      </c>
      <c r="G266" s="235" t="str">
        <f t="shared" si="271"/>
        <v>-</v>
      </c>
      <c r="H266" s="235"/>
      <c r="I266" s="236"/>
      <c r="J266" s="236"/>
      <c r="K266" s="241" t="str">
        <f ca="1">IF(Table1192[[#This Row],[VALID]],Table1192[[#This Row],[VALID]]-TODAY(),"-")</f>
        <v>-</v>
      </c>
      <c r="L266" s="244"/>
      <c r="M266" s="238"/>
      <c r="N266" s="237"/>
      <c r="O266" s="237"/>
      <c r="P266" s="237"/>
      <c r="Q266" s="250"/>
      <c r="R266" s="238"/>
      <c r="S266" s="237"/>
      <c r="T266" s="237"/>
      <c r="U266" s="237"/>
      <c r="V266" s="250"/>
      <c r="W266" s="239"/>
      <c r="X266" s="237"/>
      <c r="Y266" s="242"/>
      <c r="Z266" s="251"/>
      <c r="AA266" s="243"/>
      <c r="AB266" s="243"/>
      <c r="AC266" s="243"/>
      <c r="AD266" s="243"/>
      <c r="AE266" s="243"/>
      <c r="AF266" s="243"/>
      <c r="AG266" s="243"/>
      <c r="AH266" s="243"/>
      <c r="AI266" s="243"/>
      <c r="AJ266" s="251"/>
    </row>
    <row r="267" spans="1:36" ht="15" thickTop="1" thickBot="1" x14ac:dyDescent="0.35">
      <c r="A267" s="234"/>
      <c r="B267" s="234" t="s">
        <v>1287</v>
      </c>
      <c r="D267" s="234" t="s">
        <v>1201</v>
      </c>
      <c r="E267" s="235"/>
      <c r="F267" s="235" t="str">
        <f t="shared" si="270"/>
        <v>-</v>
      </c>
      <c r="G267" s="235" t="str">
        <f t="shared" si="271"/>
        <v>-</v>
      </c>
      <c r="H267" s="235"/>
      <c r="I267" s="236"/>
      <c r="J267" s="236"/>
      <c r="K267" s="241" t="str">
        <f ca="1">IF(Table1192[[#This Row],[VALID]],Table1192[[#This Row],[VALID]]-TODAY(),"-")</f>
        <v>-</v>
      </c>
      <c r="L267" s="244"/>
      <c r="M267" s="238"/>
      <c r="N267" s="237"/>
      <c r="O267" s="237"/>
      <c r="P267" s="237"/>
      <c r="Q267" s="250"/>
      <c r="R267" s="238"/>
      <c r="S267" s="237"/>
      <c r="T267" s="237"/>
      <c r="U267" s="237"/>
      <c r="V267" s="250"/>
      <c r="W267" s="239"/>
      <c r="X267" s="237"/>
      <c r="Y267" s="242"/>
      <c r="Z267" s="251"/>
      <c r="AA267" s="243"/>
      <c r="AB267" s="243"/>
      <c r="AC267" s="243"/>
      <c r="AD267" s="243"/>
      <c r="AE267" s="243"/>
      <c r="AF267" s="243"/>
      <c r="AG267" s="243"/>
      <c r="AH267" s="243"/>
      <c r="AI267" s="243"/>
      <c r="AJ267" s="251"/>
    </row>
    <row r="268" spans="1:36" ht="15" thickTop="1" thickBot="1" x14ac:dyDescent="0.35">
      <c r="A268" s="234"/>
      <c r="B268" s="234" t="s">
        <v>1287</v>
      </c>
      <c r="D268" s="234" t="s">
        <v>1202</v>
      </c>
      <c r="E268" s="235"/>
      <c r="F268" s="235" t="str">
        <f t="shared" si="270"/>
        <v>-</v>
      </c>
      <c r="G268" s="235" t="str">
        <f t="shared" si="271"/>
        <v>-</v>
      </c>
      <c r="H268" s="235"/>
      <c r="I268" s="236"/>
      <c r="J268" s="236"/>
      <c r="K268" s="241" t="str">
        <f ca="1">IF(Table1192[[#This Row],[VALID]],Table1192[[#This Row],[VALID]]-TODAY(),"-")</f>
        <v>-</v>
      </c>
      <c r="L268" s="244"/>
      <c r="M268" s="238"/>
      <c r="N268" s="237"/>
      <c r="O268" s="237"/>
      <c r="P268" s="237"/>
      <c r="Q268" s="250"/>
      <c r="R268" s="238"/>
      <c r="S268" s="237"/>
      <c r="T268" s="237"/>
      <c r="U268" s="237"/>
      <c r="V268" s="250"/>
      <c r="W268" s="239"/>
      <c r="X268" s="237"/>
      <c r="Y268" s="242"/>
      <c r="Z268" s="251"/>
      <c r="AA268" s="243"/>
      <c r="AB268" s="243"/>
      <c r="AC268" s="243"/>
      <c r="AD268" s="243"/>
      <c r="AE268" s="243"/>
      <c r="AF268" s="243"/>
      <c r="AG268" s="243"/>
      <c r="AH268" s="243"/>
      <c r="AI268" s="243"/>
      <c r="AJ268" s="251"/>
    </row>
    <row r="269" spans="1:36" ht="15" thickTop="1" thickBot="1" x14ac:dyDescent="0.35">
      <c r="A269" s="234"/>
      <c r="B269" s="234" t="s">
        <v>1287</v>
      </c>
      <c r="D269" s="234" t="s">
        <v>747</v>
      </c>
      <c r="E269" s="235"/>
      <c r="F269" s="235" t="str">
        <f t="shared" si="270"/>
        <v>-</v>
      </c>
      <c r="G269" s="235" t="str">
        <f t="shared" si="271"/>
        <v>-</v>
      </c>
      <c r="H269" s="235"/>
      <c r="I269" s="236"/>
      <c r="J269" s="236"/>
      <c r="K269" s="241" t="str">
        <f ca="1">IF(Table1192[[#This Row],[VALID]],Table1192[[#This Row],[VALID]]-TODAY(),"-")</f>
        <v>-</v>
      </c>
      <c r="L269" s="244"/>
      <c r="M269" s="238"/>
      <c r="N269" s="237"/>
      <c r="O269" s="237"/>
      <c r="P269" s="237"/>
      <c r="Q269" s="250"/>
      <c r="R269" s="238"/>
      <c r="S269" s="237"/>
      <c r="T269" s="237"/>
      <c r="U269" s="237"/>
      <c r="V269" s="250"/>
      <c r="W269" s="239"/>
      <c r="X269" s="237"/>
      <c r="Y269" s="242"/>
      <c r="Z269" s="251"/>
      <c r="AA269" s="243"/>
      <c r="AB269" s="243"/>
      <c r="AC269" s="243"/>
      <c r="AD269" s="243"/>
      <c r="AE269" s="243"/>
      <c r="AF269" s="243"/>
      <c r="AG269" s="243"/>
      <c r="AH269" s="243"/>
      <c r="AI269" s="243"/>
      <c r="AJ269" s="251"/>
    </row>
    <row r="270" spans="1:36" ht="15" thickTop="1" thickBot="1" x14ac:dyDescent="0.35">
      <c r="A270" s="234"/>
      <c r="B270" s="234" t="s">
        <v>1256</v>
      </c>
      <c r="D270" s="234" t="s">
        <v>476</v>
      </c>
      <c r="E270" s="235"/>
      <c r="F270" s="235" t="str">
        <f t="shared" si="270"/>
        <v>-</v>
      </c>
      <c r="G270" s="235" t="str">
        <f t="shared" si="271"/>
        <v>-</v>
      </c>
      <c r="H270" s="235"/>
      <c r="I270" s="236"/>
      <c r="J270" s="236"/>
      <c r="K270" s="241" t="str">
        <f ca="1">IF(Table1192[[#This Row],[VALID]],Table1192[[#This Row],[VALID]]-TODAY(),"-")</f>
        <v>-</v>
      </c>
      <c r="L270" s="244"/>
      <c r="M270" s="238"/>
      <c r="N270" s="237"/>
      <c r="O270" s="237"/>
      <c r="P270" s="237"/>
      <c r="Q270" s="250"/>
      <c r="R270" s="238"/>
      <c r="S270" s="237"/>
      <c r="T270" s="237"/>
      <c r="U270" s="237"/>
      <c r="V270" s="250"/>
      <c r="W270" s="239"/>
      <c r="X270" s="237"/>
      <c r="Y270" s="242"/>
      <c r="Z270" s="251"/>
      <c r="AA270" s="243"/>
      <c r="AB270" s="243"/>
      <c r="AC270" s="243"/>
      <c r="AD270" s="243"/>
      <c r="AE270" s="243"/>
      <c r="AF270" s="243"/>
      <c r="AG270" s="243"/>
      <c r="AH270" s="243"/>
      <c r="AI270" s="243"/>
      <c r="AJ270" s="251"/>
    </row>
    <row r="271" spans="1:36" ht="15" thickTop="1" thickBot="1" x14ac:dyDescent="0.35">
      <c r="A271" s="234"/>
      <c r="B271" s="234" t="s">
        <v>1256</v>
      </c>
      <c r="D271" s="234" t="s">
        <v>546</v>
      </c>
      <c r="E271" s="235"/>
      <c r="F271" s="235" t="str">
        <f t="shared" si="270"/>
        <v>-</v>
      </c>
      <c r="G271" s="235" t="str">
        <f t="shared" si="271"/>
        <v>-</v>
      </c>
      <c r="H271" s="235"/>
      <c r="I271" s="236"/>
      <c r="J271" s="236"/>
      <c r="K271" s="241" t="str">
        <f ca="1">IF(Table1192[[#This Row],[VALID]],Table1192[[#This Row],[VALID]]-TODAY(),"-")</f>
        <v>-</v>
      </c>
      <c r="L271" s="244"/>
      <c r="M271" s="238"/>
      <c r="N271" s="237"/>
      <c r="O271" s="237"/>
      <c r="P271" s="237"/>
      <c r="Q271" s="250"/>
      <c r="R271" s="238"/>
      <c r="S271" s="237"/>
      <c r="T271" s="237"/>
      <c r="U271" s="237"/>
      <c r="V271" s="250"/>
      <c r="W271" s="239"/>
      <c r="X271" s="237"/>
      <c r="Y271" s="242"/>
      <c r="Z271" s="251"/>
      <c r="AA271" s="243"/>
      <c r="AB271" s="243"/>
      <c r="AC271" s="243"/>
      <c r="AD271" s="243"/>
      <c r="AE271" s="243"/>
      <c r="AF271" s="243"/>
      <c r="AG271" s="243"/>
      <c r="AH271" s="243"/>
      <c r="AI271" s="243"/>
      <c r="AJ271" s="251"/>
    </row>
    <row r="272" spans="1:36" ht="15" thickTop="1" thickBot="1" x14ac:dyDescent="0.35">
      <c r="A272" s="234"/>
      <c r="B272" s="234" t="s">
        <v>1256</v>
      </c>
      <c r="D272" s="234" t="s">
        <v>676</v>
      </c>
      <c r="E272" s="235"/>
      <c r="F272" s="235" t="str">
        <f t="shared" si="270"/>
        <v>-</v>
      </c>
      <c r="G272" s="235" t="str">
        <f t="shared" si="271"/>
        <v>-</v>
      </c>
      <c r="H272" s="235"/>
      <c r="I272" s="236"/>
      <c r="J272" s="236"/>
      <c r="K272" s="241" t="str">
        <f ca="1">IF(Table1192[[#This Row],[VALID]],Table1192[[#This Row],[VALID]]-TODAY(),"-")</f>
        <v>-</v>
      </c>
      <c r="L272" s="244"/>
      <c r="M272" s="238"/>
      <c r="N272" s="237"/>
      <c r="O272" s="237"/>
      <c r="P272" s="237"/>
      <c r="Q272" s="250"/>
      <c r="R272" s="238"/>
      <c r="S272" s="237"/>
      <c r="T272" s="237"/>
      <c r="U272" s="237"/>
      <c r="V272" s="250"/>
      <c r="W272" s="239"/>
      <c r="X272" s="237"/>
      <c r="Y272" s="242"/>
      <c r="Z272" s="251"/>
      <c r="AA272" s="243"/>
      <c r="AB272" s="243"/>
      <c r="AC272" s="243"/>
      <c r="AD272" s="243"/>
      <c r="AE272" s="243"/>
      <c r="AF272" s="243"/>
      <c r="AG272" s="243"/>
      <c r="AH272" s="243"/>
      <c r="AI272" s="243"/>
      <c r="AJ272" s="251"/>
    </row>
    <row r="273" spans="1:36" ht="15" thickTop="1" thickBot="1" x14ac:dyDescent="0.35">
      <c r="A273" s="234"/>
      <c r="B273" s="234" t="s">
        <v>1256</v>
      </c>
      <c r="D273" s="234" t="s">
        <v>760</v>
      </c>
      <c r="E273" s="235"/>
      <c r="F273" s="235" t="str">
        <f t="shared" si="270"/>
        <v>-</v>
      </c>
      <c r="G273" s="235" t="str">
        <f t="shared" si="271"/>
        <v>-</v>
      </c>
      <c r="H273" s="235"/>
      <c r="I273" s="236"/>
      <c r="J273" s="236"/>
      <c r="K273" s="241" t="str">
        <f ca="1">IF(Table1192[[#This Row],[VALID]],Table1192[[#This Row],[VALID]]-TODAY(),"-")</f>
        <v>-</v>
      </c>
      <c r="L273" s="244"/>
      <c r="M273" s="238"/>
      <c r="N273" s="237"/>
      <c r="O273" s="237"/>
      <c r="P273" s="237"/>
      <c r="Q273" s="250"/>
      <c r="R273" s="238"/>
      <c r="S273" s="237"/>
      <c r="T273" s="237"/>
      <c r="U273" s="237"/>
      <c r="V273" s="250"/>
      <c r="W273" s="239"/>
      <c r="X273" s="237"/>
      <c r="Y273" s="242"/>
      <c r="Z273" s="251"/>
      <c r="AA273" s="243"/>
      <c r="AB273" s="243"/>
      <c r="AC273" s="243"/>
      <c r="AD273" s="243"/>
      <c r="AE273" s="243"/>
      <c r="AF273" s="243"/>
      <c r="AG273" s="243"/>
      <c r="AH273" s="243"/>
      <c r="AI273" s="243"/>
      <c r="AJ273" s="251"/>
    </row>
    <row r="274" spans="1:36" ht="15" thickTop="1" thickBot="1" x14ac:dyDescent="0.35">
      <c r="A274" s="234"/>
      <c r="B274" s="234" t="s">
        <v>1255</v>
      </c>
      <c r="D274" s="234" t="s">
        <v>1187</v>
      </c>
      <c r="E274" s="235"/>
      <c r="F274" s="235" t="str">
        <f t="shared" si="270"/>
        <v>-</v>
      </c>
      <c r="G274" s="235" t="str">
        <f t="shared" si="271"/>
        <v>-</v>
      </c>
      <c r="H274" s="235"/>
      <c r="I274" s="236"/>
      <c r="J274" s="236"/>
      <c r="K274" s="241" t="str">
        <f ca="1">IF(Table1192[[#This Row],[VALID]],Table1192[[#This Row],[VALID]]-TODAY(),"-")</f>
        <v>-</v>
      </c>
      <c r="L274" s="244"/>
      <c r="M274" s="238"/>
      <c r="N274" s="237"/>
      <c r="O274" s="237"/>
      <c r="P274" s="237"/>
      <c r="Q274" s="250"/>
      <c r="R274" s="238"/>
      <c r="S274" s="237"/>
      <c r="T274" s="237"/>
      <c r="U274" s="237"/>
      <c r="V274" s="250"/>
      <c r="W274" s="239"/>
      <c r="X274" s="237"/>
      <c r="Y274" s="242"/>
      <c r="Z274" s="251"/>
      <c r="AA274" s="243"/>
      <c r="AB274" s="243"/>
      <c r="AC274" s="243"/>
      <c r="AD274" s="243"/>
      <c r="AE274" s="243"/>
      <c r="AF274" s="243"/>
      <c r="AG274" s="243"/>
      <c r="AH274" s="243"/>
      <c r="AI274" s="243"/>
      <c r="AJ274" s="251"/>
    </row>
    <row r="275" spans="1:36" ht="15" thickTop="1" thickBot="1" x14ac:dyDescent="0.35">
      <c r="A275" s="234"/>
      <c r="B275" s="234" t="s">
        <v>1100</v>
      </c>
      <c r="D275" s="234" t="s">
        <v>709</v>
      </c>
      <c r="E275" s="235"/>
      <c r="F275" s="235" t="str">
        <f t="shared" si="270"/>
        <v>-</v>
      </c>
      <c r="G275" s="235" t="str">
        <f t="shared" si="271"/>
        <v>-</v>
      </c>
      <c r="H275" s="235"/>
      <c r="I275" s="236"/>
      <c r="J275" s="236"/>
      <c r="K275" s="241" t="str">
        <f ca="1">IF(Table1192[[#This Row],[VALID]],Table1192[[#This Row],[VALID]]-TODAY(),"-")</f>
        <v>-</v>
      </c>
      <c r="L275" s="244"/>
      <c r="M275" s="238"/>
      <c r="N275" s="237"/>
      <c r="O275" s="237"/>
      <c r="P275" s="237"/>
      <c r="Q275" s="250"/>
      <c r="R275" s="238"/>
      <c r="S275" s="237"/>
      <c r="T275" s="237"/>
      <c r="U275" s="237"/>
      <c r="V275" s="250"/>
      <c r="W275" s="239"/>
      <c r="X275" s="237"/>
      <c r="Y275" s="242"/>
      <c r="Z275" s="251"/>
      <c r="AA275" s="243"/>
      <c r="AB275" s="243"/>
      <c r="AC275" s="243"/>
      <c r="AD275" s="243"/>
      <c r="AE275" s="243"/>
      <c r="AF275" s="243"/>
      <c r="AG275" s="243"/>
      <c r="AH275" s="243"/>
      <c r="AI275" s="243"/>
      <c r="AJ275" s="251"/>
    </row>
    <row r="276" spans="1:36" ht="15" thickTop="1" thickBot="1" x14ac:dyDescent="0.35">
      <c r="A276" s="234"/>
      <c r="B276" s="234" t="s">
        <v>1240</v>
      </c>
      <c r="D276" s="234" t="s">
        <v>440</v>
      </c>
      <c r="E276" s="235"/>
      <c r="F276" s="235" t="str">
        <f t="shared" si="270"/>
        <v>-</v>
      </c>
      <c r="G276" s="235" t="str">
        <f t="shared" si="271"/>
        <v>-</v>
      </c>
      <c r="H276" s="235"/>
      <c r="I276" s="236"/>
      <c r="J276" s="236"/>
      <c r="K276" s="241" t="str">
        <f ca="1">IF(Table1192[[#This Row],[VALID]],Table1192[[#This Row],[VALID]]-TODAY(),"-")</f>
        <v>-</v>
      </c>
      <c r="L276" s="244"/>
      <c r="M276" s="238"/>
      <c r="N276" s="237"/>
      <c r="O276" s="237"/>
      <c r="P276" s="237"/>
      <c r="Q276" s="250"/>
      <c r="R276" s="238"/>
      <c r="S276" s="237"/>
      <c r="T276" s="237"/>
      <c r="U276" s="237"/>
      <c r="V276" s="250"/>
      <c r="W276" s="239"/>
      <c r="X276" s="237"/>
      <c r="Y276" s="242"/>
      <c r="Z276" s="251"/>
      <c r="AA276" s="243"/>
      <c r="AB276" s="243"/>
      <c r="AC276" s="243"/>
      <c r="AD276" s="243"/>
      <c r="AE276" s="243"/>
      <c r="AF276" s="243"/>
      <c r="AG276" s="243"/>
      <c r="AH276" s="243"/>
      <c r="AI276" s="243"/>
      <c r="AJ276" s="251"/>
    </row>
    <row r="277" spans="1:36" ht="15" thickTop="1" thickBot="1" x14ac:dyDescent="0.35">
      <c r="A277" s="234"/>
      <c r="B277" s="234" t="s">
        <v>1240</v>
      </c>
      <c r="D277" s="234" t="s">
        <v>444</v>
      </c>
      <c r="E277" s="235"/>
      <c r="F277" s="235" t="str">
        <f t="shared" si="270"/>
        <v>-</v>
      </c>
      <c r="G277" s="235" t="str">
        <f t="shared" si="271"/>
        <v>-</v>
      </c>
      <c r="H277" s="235"/>
      <c r="I277" s="236"/>
      <c r="J277" s="236"/>
      <c r="K277" s="241" t="str">
        <f ca="1">IF(Table1192[[#This Row],[VALID]],Table1192[[#This Row],[VALID]]-TODAY(),"-")</f>
        <v>-</v>
      </c>
      <c r="L277" s="244"/>
      <c r="M277" s="238"/>
      <c r="N277" s="237"/>
      <c r="O277" s="237"/>
      <c r="P277" s="237"/>
      <c r="Q277" s="250"/>
      <c r="R277" s="238"/>
      <c r="S277" s="237"/>
      <c r="T277" s="237"/>
      <c r="U277" s="237"/>
      <c r="V277" s="250"/>
      <c r="W277" s="239"/>
      <c r="X277" s="237"/>
      <c r="Y277" s="242"/>
      <c r="Z277" s="251"/>
      <c r="AA277" s="243"/>
      <c r="AB277" s="243"/>
      <c r="AC277" s="243"/>
      <c r="AD277" s="243"/>
      <c r="AE277" s="243"/>
      <c r="AF277" s="243"/>
      <c r="AG277" s="243"/>
      <c r="AH277" s="243"/>
      <c r="AI277" s="243"/>
      <c r="AJ277" s="251"/>
    </row>
    <row r="278" spans="1:36" ht="15" thickTop="1" thickBot="1" x14ac:dyDescent="0.35">
      <c r="A278" s="234"/>
      <c r="B278" s="234" t="s">
        <v>1240</v>
      </c>
      <c r="D278" s="234" t="s">
        <v>559</v>
      </c>
      <c r="E278" s="235"/>
      <c r="F278" s="235" t="str">
        <f t="shared" si="270"/>
        <v>-</v>
      </c>
      <c r="G278" s="235" t="str">
        <f t="shared" si="271"/>
        <v>-</v>
      </c>
      <c r="H278" s="235"/>
      <c r="I278" s="236"/>
      <c r="J278" s="236"/>
      <c r="K278" s="241" t="str">
        <f ca="1">IF(Table1192[[#This Row],[VALID]],Table1192[[#This Row],[VALID]]-TODAY(),"-")</f>
        <v>-</v>
      </c>
      <c r="L278" s="244"/>
      <c r="M278" s="238"/>
      <c r="N278" s="237"/>
      <c r="O278" s="237"/>
      <c r="P278" s="237"/>
      <c r="Q278" s="250"/>
      <c r="R278" s="238"/>
      <c r="S278" s="237"/>
      <c r="T278" s="237"/>
      <c r="U278" s="237"/>
      <c r="V278" s="250"/>
      <c r="W278" s="239"/>
      <c r="X278" s="237"/>
      <c r="Y278" s="242"/>
      <c r="Z278" s="251"/>
      <c r="AA278" s="243"/>
      <c r="AB278" s="243"/>
      <c r="AC278" s="243"/>
      <c r="AD278" s="243"/>
      <c r="AE278" s="243"/>
      <c r="AF278" s="243"/>
      <c r="AG278" s="243"/>
      <c r="AH278" s="243"/>
      <c r="AI278" s="243"/>
      <c r="AJ278" s="251"/>
    </row>
    <row r="279" spans="1:36" ht="15" thickTop="1" thickBot="1" x14ac:dyDescent="0.35">
      <c r="A279" s="234"/>
      <c r="B279" s="234" t="s">
        <v>1240</v>
      </c>
      <c r="D279" s="234" t="s">
        <v>601</v>
      </c>
      <c r="E279" s="235"/>
      <c r="F279" s="235" t="str">
        <f t="shared" si="270"/>
        <v>-</v>
      </c>
      <c r="G279" s="235" t="str">
        <f t="shared" si="271"/>
        <v>-</v>
      </c>
      <c r="H279" s="235"/>
      <c r="I279" s="236"/>
      <c r="J279" s="236"/>
      <c r="K279" s="241" t="str">
        <f ca="1">IF(Table1192[[#This Row],[VALID]],Table1192[[#This Row],[VALID]]-TODAY(),"-")</f>
        <v>-</v>
      </c>
      <c r="L279" s="244"/>
      <c r="M279" s="238"/>
      <c r="N279" s="237"/>
      <c r="O279" s="237"/>
      <c r="P279" s="237"/>
      <c r="Q279" s="250"/>
      <c r="R279" s="238"/>
      <c r="S279" s="237"/>
      <c r="T279" s="237"/>
      <c r="U279" s="237"/>
      <c r="V279" s="250"/>
      <c r="W279" s="239"/>
      <c r="X279" s="237"/>
      <c r="Y279" s="242"/>
      <c r="Z279" s="251"/>
      <c r="AA279" s="243"/>
      <c r="AB279" s="243"/>
      <c r="AC279" s="243"/>
      <c r="AD279" s="243"/>
      <c r="AE279" s="243"/>
      <c r="AF279" s="243"/>
      <c r="AG279" s="243"/>
      <c r="AH279" s="243"/>
      <c r="AI279" s="243"/>
      <c r="AJ279" s="251"/>
    </row>
    <row r="280" spans="1:36" ht="15" thickTop="1" thickBot="1" x14ac:dyDescent="0.35">
      <c r="A280" s="234"/>
      <c r="B280" s="234" t="s">
        <v>1240</v>
      </c>
      <c r="D280" s="234" t="s">
        <v>607</v>
      </c>
      <c r="E280" s="235"/>
      <c r="F280" s="235" t="str">
        <f t="shared" si="270"/>
        <v>-</v>
      </c>
      <c r="G280" s="235" t="str">
        <f t="shared" si="271"/>
        <v>-</v>
      </c>
      <c r="H280" s="235"/>
      <c r="I280" s="236"/>
      <c r="J280" s="236"/>
      <c r="K280" s="241" t="str">
        <f ca="1">IF(Table1192[[#This Row],[VALID]],Table1192[[#This Row],[VALID]]-TODAY(),"-")</f>
        <v>-</v>
      </c>
      <c r="L280" s="244"/>
      <c r="M280" s="238"/>
      <c r="N280" s="237"/>
      <c r="O280" s="237"/>
      <c r="P280" s="237"/>
      <c r="Q280" s="250"/>
      <c r="R280" s="238"/>
      <c r="S280" s="237"/>
      <c r="T280" s="237"/>
      <c r="U280" s="237"/>
      <c r="V280" s="250"/>
      <c r="W280" s="239"/>
      <c r="X280" s="237"/>
      <c r="Y280" s="242"/>
      <c r="Z280" s="251"/>
      <c r="AA280" s="243"/>
      <c r="AB280" s="243"/>
      <c r="AC280" s="243"/>
      <c r="AD280" s="243"/>
      <c r="AE280" s="243"/>
      <c r="AF280" s="243"/>
      <c r="AG280" s="243"/>
      <c r="AH280" s="243"/>
      <c r="AI280" s="243"/>
      <c r="AJ280" s="251"/>
    </row>
    <row r="281" spans="1:36" ht="15" thickTop="1" thickBot="1" x14ac:dyDescent="0.35">
      <c r="A281" s="234"/>
      <c r="B281" s="234" t="s">
        <v>1060</v>
      </c>
      <c r="D281" s="234" t="s">
        <v>454</v>
      </c>
      <c r="E281" s="235"/>
      <c r="F281" s="235" t="str">
        <f t="shared" si="270"/>
        <v>-</v>
      </c>
      <c r="G281" s="235" t="str">
        <f t="shared" si="271"/>
        <v>-</v>
      </c>
      <c r="H281" s="235"/>
      <c r="I281" s="236"/>
      <c r="J281" s="236"/>
      <c r="K281" s="241" t="str">
        <f ca="1">IF(Table1192[[#This Row],[VALID]],Table1192[[#This Row],[VALID]]-TODAY(),"-")</f>
        <v>-</v>
      </c>
      <c r="L281" s="244"/>
      <c r="M281" s="238"/>
      <c r="N281" s="237"/>
      <c r="O281" s="237"/>
      <c r="P281" s="237"/>
      <c r="Q281" s="250"/>
      <c r="R281" s="238"/>
      <c r="S281" s="237"/>
      <c r="T281" s="237"/>
      <c r="U281" s="237"/>
      <c r="V281" s="250"/>
      <c r="W281" s="239"/>
      <c r="X281" s="237"/>
      <c r="Y281" s="242"/>
      <c r="Z281" s="251"/>
      <c r="AA281" s="243"/>
      <c r="AB281" s="243"/>
      <c r="AC281" s="243"/>
      <c r="AD281" s="243"/>
      <c r="AE281" s="243"/>
      <c r="AF281" s="243"/>
      <c r="AG281" s="243"/>
      <c r="AH281" s="243"/>
      <c r="AI281" s="243"/>
      <c r="AJ281" s="251"/>
    </row>
    <row r="282" spans="1:36" ht="15" thickTop="1" thickBot="1" x14ac:dyDescent="0.35">
      <c r="A282" s="234"/>
      <c r="B282" s="234" t="s">
        <v>1060</v>
      </c>
      <c r="D282" s="234" t="s">
        <v>484</v>
      </c>
      <c r="E282" s="235"/>
      <c r="F282" s="235" t="str">
        <f t="shared" si="270"/>
        <v>-</v>
      </c>
      <c r="G282" s="235" t="str">
        <f t="shared" si="271"/>
        <v>-</v>
      </c>
      <c r="H282" s="235"/>
      <c r="I282" s="236"/>
      <c r="J282" s="236"/>
      <c r="K282" s="241" t="str">
        <f ca="1">IF(Table1192[[#This Row],[VALID]],Table1192[[#This Row],[VALID]]-TODAY(),"-")</f>
        <v>-</v>
      </c>
      <c r="L282" s="244"/>
      <c r="M282" s="238"/>
      <c r="N282" s="237"/>
      <c r="O282" s="237"/>
      <c r="P282" s="237"/>
      <c r="Q282" s="250"/>
      <c r="R282" s="238"/>
      <c r="S282" s="237"/>
      <c r="T282" s="237"/>
      <c r="U282" s="237"/>
      <c r="V282" s="250"/>
      <c r="W282" s="239"/>
      <c r="X282" s="237"/>
      <c r="Y282" s="242"/>
      <c r="Z282" s="251"/>
      <c r="AA282" s="243"/>
      <c r="AB282" s="243"/>
      <c r="AC282" s="243"/>
      <c r="AD282" s="243"/>
      <c r="AE282" s="243"/>
      <c r="AF282" s="243"/>
      <c r="AG282" s="243"/>
      <c r="AH282" s="243"/>
      <c r="AI282" s="243"/>
      <c r="AJ282" s="251"/>
    </row>
    <row r="283" spans="1:36" ht="15" thickTop="1" thickBot="1" x14ac:dyDescent="0.35">
      <c r="A283" s="234"/>
      <c r="B283" s="234" t="s">
        <v>1060</v>
      </c>
      <c r="D283" s="234" t="s">
        <v>1332</v>
      </c>
      <c r="E283" s="235"/>
      <c r="F283" s="235" t="str">
        <f t="shared" ref="F283" si="272">IF(M283,SUM(M283:P283,W283:X283),"-")</f>
        <v>-</v>
      </c>
      <c r="G283" s="235" t="str">
        <f t="shared" ref="G283" si="273">IF(R283,SUM(R283:U283,W283:X283),"-")</f>
        <v>-</v>
      </c>
      <c r="H283" s="235"/>
      <c r="I283" s="236"/>
      <c r="J283" s="236"/>
      <c r="K283" s="241" t="str">
        <f ca="1">IF(Table1192[[#This Row],[VALID]],Table1192[[#This Row],[VALID]]-TODAY(),"-")</f>
        <v>-</v>
      </c>
      <c r="L283" s="244"/>
      <c r="M283" s="238"/>
      <c r="N283" s="237"/>
      <c r="O283" s="237"/>
      <c r="P283" s="237"/>
      <c r="Q283" s="250"/>
      <c r="R283" s="238"/>
      <c r="S283" s="237"/>
      <c r="T283" s="237"/>
      <c r="U283" s="237"/>
      <c r="V283" s="250"/>
      <c r="W283" s="239"/>
      <c r="X283" s="237"/>
      <c r="Y283" s="242"/>
      <c r="Z283" s="251"/>
      <c r="AA283" s="243"/>
      <c r="AB283" s="243"/>
      <c r="AC283" s="243"/>
      <c r="AD283" s="243"/>
      <c r="AE283" s="243"/>
      <c r="AF283" s="243"/>
      <c r="AG283" s="243"/>
      <c r="AH283" s="243"/>
      <c r="AI283" s="243"/>
      <c r="AJ283" s="251"/>
    </row>
    <row r="284" spans="1:36" ht="15" thickTop="1" thickBot="1" x14ac:dyDescent="0.35">
      <c r="A284" s="234"/>
      <c r="B284" s="234" t="s">
        <v>1060</v>
      </c>
      <c r="D284" s="234" t="s">
        <v>647</v>
      </c>
      <c r="E284" s="235"/>
      <c r="F284" s="235" t="str">
        <f t="shared" si="270"/>
        <v>-</v>
      </c>
      <c r="G284" s="235" t="str">
        <f t="shared" si="271"/>
        <v>-</v>
      </c>
      <c r="H284" s="235"/>
      <c r="I284" s="236"/>
      <c r="J284" s="236"/>
      <c r="K284" s="241" t="str">
        <f ca="1">IF(Table1192[[#This Row],[VALID]],Table1192[[#This Row],[VALID]]-TODAY(),"-")</f>
        <v>-</v>
      </c>
      <c r="L284" s="244"/>
      <c r="M284" s="238"/>
      <c r="N284" s="237"/>
      <c r="O284" s="237"/>
      <c r="P284" s="237"/>
      <c r="Q284" s="250"/>
      <c r="R284" s="238"/>
      <c r="S284" s="237"/>
      <c r="T284" s="237"/>
      <c r="U284" s="237"/>
      <c r="V284" s="250"/>
      <c r="W284" s="239"/>
      <c r="X284" s="237"/>
      <c r="Y284" s="242"/>
      <c r="Z284" s="251"/>
      <c r="AA284" s="243"/>
      <c r="AB284" s="243"/>
      <c r="AC284" s="243"/>
      <c r="AD284" s="243"/>
      <c r="AE284" s="243"/>
      <c r="AF284" s="243"/>
      <c r="AG284" s="243"/>
      <c r="AH284" s="243"/>
      <c r="AI284" s="243"/>
      <c r="AJ284" s="251"/>
    </row>
    <row r="285" spans="1:36" ht="15" thickTop="1" thickBot="1" x14ac:dyDescent="0.35">
      <c r="A285" s="234"/>
      <c r="B285" s="234" t="s">
        <v>1060</v>
      </c>
      <c r="D285" s="234" t="s">
        <v>673</v>
      </c>
      <c r="E285" s="235"/>
      <c r="F285" s="235" t="str">
        <f t="shared" si="270"/>
        <v>-</v>
      </c>
      <c r="G285" s="235" t="str">
        <f t="shared" si="271"/>
        <v>-</v>
      </c>
      <c r="H285" s="235"/>
      <c r="I285" s="236"/>
      <c r="J285" s="236"/>
      <c r="K285" s="241" t="str">
        <f ca="1">IF(Table1192[[#This Row],[VALID]],Table1192[[#This Row],[VALID]]-TODAY(),"-")</f>
        <v>-</v>
      </c>
      <c r="L285" s="244"/>
      <c r="M285" s="238"/>
      <c r="N285" s="237"/>
      <c r="O285" s="237"/>
      <c r="P285" s="237"/>
      <c r="Q285" s="250"/>
      <c r="R285" s="238"/>
      <c r="S285" s="237"/>
      <c r="T285" s="237"/>
      <c r="U285" s="237"/>
      <c r="V285" s="250"/>
      <c r="W285" s="239"/>
      <c r="X285" s="237"/>
      <c r="Y285" s="242"/>
      <c r="Z285" s="251"/>
      <c r="AA285" s="243"/>
      <c r="AB285" s="243"/>
      <c r="AC285" s="243"/>
      <c r="AD285" s="243"/>
      <c r="AE285" s="243"/>
      <c r="AF285" s="243"/>
      <c r="AG285" s="243"/>
      <c r="AH285" s="243"/>
      <c r="AI285" s="243"/>
      <c r="AJ285" s="251"/>
    </row>
    <row r="286" spans="1:36" ht="15" thickTop="1" thickBot="1" x14ac:dyDescent="0.35">
      <c r="A286" s="234"/>
      <c r="B286" s="234" t="s">
        <v>1245</v>
      </c>
      <c r="D286" s="234" t="s">
        <v>1183</v>
      </c>
      <c r="E286" s="235"/>
      <c r="F286" s="235" t="str">
        <f t="shared" si="270"/>
        <v>-</v>
      </c>
      <c r="G286" s="235" t="str">
        <f t="shared" si="271"/>
        <v>-</v>
      </c>
      <c r="H286" s="235"/>
      <c r="I286" s="236"/>
      <c r="J286" s="236"/>
      <c r="K286" s="241" t="str">
        <f ca="1">IF(Table1192[[#This Row],[VALID]],Table1192[[#This Row],[VALID]]-TODAY(),"-")</f>
        <v>-</v>
      </c>
      <c r="L286" s="244"/>
      <c r="M286" s="238"/>
      <c r="N286" s="237"/>
      <c r="O286" s="237"/>
      <c r="P286" s="237"/>
      <c r="Q286" s="250"/>
      <c r="R286" s="238"/>
      <c r="S286" s="237"/>
      <c r="T286" s="237"/>
      <c r="U286" s="237"/>
      <c r="V286" s="250"/>
      <c r="W286" s="239"/>
      <c r="X286" s="237"/>
      <c r="Y286" s="242"/>
      <c r="Z286" s="251"/>
      <c r="AA286" s="243"/>
      <c r="AB286" s="243"/>
      <c r="AC286" s="243"/>
      <c r="AD286" s="243"/>
      <c r="AE286" s="243"/>
      <c r="AF286" s="243"/>
      <c r="AG286" s="243"/>
      <c r="AH286" s="243"/>
      <c r="AI286" s="243"/>
      <c r="AJ286" s="251"/>
    </row>
    <row r="287" spans="1:36" ht="15" thickTop="1" thickBot="1" x14ac:dyDescent="0.35">
      <c r="A287" s="234"/>
      <c r="B287" s="234" t="s">
        <v>1245</v>
      </c>
      <c r="D287" s="234" t="s">
        <v>510</v>
      </c>
      <c r="E287" s="235"/>
      <c r="F287" s="235" t="str">
        <f t="shared" si="270"/>
        <v>-</v>
      </c>
      <c r="G287" s="235" t="str">
        <f t="shared" si="271"/>
        <v>-</v>
      </c>
      <c r="H287" s="235"/>
      <c r="I287" s="236"/>
      <c r="J287" s="236"/>
      <c r="K287" s="241" t="str">
        <f ca="1">IF(Table1192[[#This Row],[VALID]],Table1192[[#This Row],[VALID]]-TODAY(),"-")</f>
        <v>-</v>
      </c>
      <c r="L287" s="244"/>
      <c r="M287" s="238"/>
      <c r="N287" s="237"/>
      <c r="O287" s="237"/>
      <c r="P287" s="237"/>
      <c r="Q287" s="250"/>
      <c r="R287" s="238"/>
      <c r="S287" s="237"/>
      <c r="T287" s="237"/>
      <c r="U287" s="237"/>
      <c r="V287" s="250"/>
      <c r="W287" s="239"/>
      <c r="X287" s="237"/>
      <c r="Y287" s="242"/>
      <c r="Z287" s="251"/>
      <c r="AA287" s="243"/>
      <c r="AB287" s="243"/>
      <c r="AC287" s="243"/>
      <c r="AD287" s="243"/>
      <c r="AE287" s="243"/>
      <c r="AF287" s="243"/>
      <c r="AG287" s="243"/>
      <c r="AH287" s="243"/>
      <c r="AI287" s="243"/>
      <c r="AJ287" s="251"/>
    </row>
    <row r="288" spans="1:36" ht="15" thickTop="1" thickBot="1" x14ac:dyDescent="0.35">
      <c r="A288" s="234"/>
      <c r="B288" s="234" t="s">
        <v>1245</v>
      </c>
      <c r="D288" s="234" t="s">
        <v>536</v>
      </c>
      <c r="E288" s="235"/>
      <c r="F288" s="235" t="str">
        <f t="shared" si="270"/>
        <v>-</v>
      </c>
      <c r="G288" s="235" t="str">
        <f t="shared" si="271"/>
        <v>-</v>
      </c>
      <c r="H288" s="235"/>
      <c r="I288" s="236"/>
      <c r="J288" s="236"/>
      <c r="K288" s="241" t="str">
        <f ca="1">IF(Table1192[[#This Row],[VALID]],Table1192[[#This Row],[VALID]]-TODAY(),"-")</f>
        <v>-</v>
      </c>
      <c r="L288" s="244"/>
      <c r="M288" s="238"/>
      <c r="N288" s="237"/>
      <c r="O288" s="237"/>
      <c r="P288" s="237"/>
      <c r="Q288" s="250"/>
      <c r="R288" s="238"/>
      <c r="S288" s="237"/>
      <c r="T288" s="237"/>
      <c r="U288" s="237"/>
      <c r="V288" s="250"/>
      <c r="W288" s="239"/>
      <c r="X288" s="237"/>
      <c r="Y288" s="242"/>
      <c r="Z288" s="251"/>
      <c r="AA288" s="243"/>
      <c r="AB288" s="243"/>
      <c r="AC288" s="243"/>
      <c r="AD288" s="243"/>
      <c r="AE288" s="243"/>
      <c r="AF288" s="243"/>
      <c r="AG288" s="243"/>
      <c r="AH288" s="243"/>
      <c r="AI288" s="243"/>
      <c r="AJ288" s="251"/>
    </row>
    <row r="289" spans="1:36" ht="15" thickTop="1" thickBot="1" x14ac:dyDescent="0.35">
      <c r="A289" s="234"/>
      <c r="B289" s="234" t="s">
        <v>1245</v>
      </c>
      <c r="D289" s="234" t="s">
        <v>738</v>
      </c>
      <c r="E289" s="235"/>
      <c r="F289" s="235" t="str">
        <f t="shared" si="270"/>
        <v>-</v>
      </c>
      <c r="G289" s="235" t="str">
        <f t="shared" si="271"/>
        <v>-</v>
      </c>
      <c r="H289" s="235"/>
      <c r="I289" s="236"/>
      <c r="J289" s="236"/>
      <c r="K289" s="241" t="str">
        <f ca="1">IF(Table1192[[#This Row],[VALID]],Table1192[[#This Row],[VALID]]-TODAY(),"-")</f>
        <v>-</v>
      </c>
      <c r="L289" s="244"/>
      <c r="M289" s="238"/>
      <c r="N289" s="237"/>
      <c r="O289" s="237"/>
      <c r="P289" s="237"/>
      <c r="Q289" s="250"/>
      <c r="R289" s="238"/>
      <c r="S289" s="237"/>
      <c r="T289" s="237"/>
      <c r="U289" s="237"/>
      <c r="V289" s="250"/>
      <c r="W289" s="239"/>
      <c r="X289" s="237"/>
      <c r="Y289" s="242"/>
      <c r="Z289" s="251"/>
      <c r="AA289" s="243"/>
      <c r="AB289" s="243"/>
      <c r="AC289" s="243"/>
      <c r="AD289" s="243"/>
      <c r="AE289" s="243"/>
      <c r="AF289" s="243"/>
      <c r="AG289" s="243"/>
      <c r="AH289" s="243"/>
      <c r="AI289" s="243"/>
      <c r="AJ289" s="251"/>
    </row>
    <row r="290" spans="1:36" ht="15" thickTop="1" thickBot="1" x14ac:dyDescent="0.35">
      <c r="A290" s="234"/>
      <c r="B290" s="234" t="s">
        <v>1223</v>
      </c>
      <c r="D290" s="234" t="s">
        <v>413</v>
      </c>
      <c r="E290" s="235"/>
      <c r="F290" s="235" t="str">
        <f t="shared" si="270"/>
        <v>-</v>
      </c>
      <c r="G290" s="235" t="str">
        <f t="shared" si="271"/>
        <v>-</v>
      </c>
      <c r="H290" s="235"/>
      <c r="I290" s="236"/>
      <c r="J290" s="236"/>
      <c r="K290" s="241" t="str">
        <f ca="1">IF(Table1192[[#This Row],[VALID]],Table1192[[#This Row],[VALID]]-TODAY(),"-")</f>
        <v>-</v>
      </c>
      <c r="L290" s="244"/>
      <c r="M290" s="238"/>
      <c r="N290" s="237"/>
      <c r="O290" s="237"/>
      <c r="P290" s="237"/>
      <c r="Q290" s="250"/>
      <c r="R290" s="238"/>
      <c r="S290" s="237"/>
      <c r="T290" s="237"/>
      <c r="U290" s="237"/>
      <c r="V290" s="250"/>
      <c r="W290" s="239"/>
      <c r="X290" s="237"/>
      <c r="Y290" s="242"/>
      <c r="Z290" s="251"/>
      <c r="AA290" s="243"/>
      <c r="AB290" s="243"/>
      <c r="AC290" s="243"/>
      <c r="AD290" s="243"/>
      <c r="AE290" s="243"/>
      <c r="AF290" s="243"/>
      <c r="AG290" s="243"/>
      <c r="AH290" s="243"/>
      <c r="AI290" s="243"/>
      <c r="AJ290" s="251"/>
    </row>
    <row r="291" spans="1:36" ht="15" thickTop="1" thickBot="1" x14ac:dyDescent="0.35">
      <c r="A291" s="234"/>
      <c r="B291" s="234" t="s">
        <v>1223</v>
      </c>
      <c r="D291" s="234" t="s">
        <v>431</v>
      </c>
      <c r="E291" s="235"/>
      <c r="F291" s="235" t="str">
        <f t="shared" si="270"/>
        <v>-</v>
      </c>
      <c r="G291" s="235" t="str">
        <f t="shared" si="271"/>
        <v>-</v>
      </c>
      <c r="H291" s="235"/>
      <c r="I291" s="236"/>
      <c r="J291" s="236"/>
      <c r="K291" s="241" t="str">
        <f ca="1">IF(Table1192[[#This Row],[VALID]],Table1192[[#This Row],[VALID]]-TODAY(),"-")</f>
        <v>-</v>
      </c>
      <c r="L291" s="244"/>
      <c r="M291" s="238"/>
      <c r="N291" s="237"/>
      <c r="O291" s="237"/>
      <c r="P291" s="237"/>
      <c r="Q291" s="250"/>
      <c r="R291" s="238"/>
      <c r="S291" s="237"/>
      <c r="T291" s="237"/>
      <c r="U291" s="237"/>
      <c r="V291" s="250"/>
      <c r="W291" s="239"/>
      <c r="X291" s="237"/>
      <c r="Y291" s="242"/>
      <c r="Z291" s="251"/>
      <c r="AA291" s="243"/>
      <c r="AB291" s="243"/>
      <c r="AC291" s="243"/>
      <c r="AD291" s="243"/>
      <c r="AE291" s="243"/>
      <c r="AF291" s="243"/>
      <c r="AG291" s="243"/>
      <c r="AH291" s="243"/>
      <c r="AI291" s="243"/>
      <c r="AJ291" s="251"/>
    </row>
    <row r="292" spans="1:36" ht="15" thickTop="1" thickBot="1" x14ac:dyDescent="0.35">
      <c r="A292" s="234"/>
      <c r="B292" s="234" t="s">
        <v>1223</v>
      </c>
      <c r="D292" s="234" t="s">
        <v>441</v>
      </c>
      <c r="E292" s="235"/>
      <c r="F292" s="235" t="str">
        <f t="shared" si="270"/>
        <v>-</v>
      </c>
      <c r="G292" s="235" t="str">
        <f t="shared" si="271"/>
        <v>-</v>
      </c>
      <c r="H292" s="235"/>
      <c r="I292" s="236"/>
      <c r="J292" s="236"/>
      <c r="K292" s="241" t="str">
        <f ca="1">IF(Table1192[[#This Row],[VALID]],Table1192[[#This Row],[VALID]]-TODAY(),"-")</f>
        <v>-</v>
      </c>
      <c r="L292" s="244"/>
      <c r="M292" s="238"/>
      <c r="N292" s="237"/>
      <c r="O292" s="237"/>
      <c r="P292" s="237"/>
      <c r="Q292" s="250"/>
      <c r="R292" s="238"/>
      <c r="S292" s="237"/>
      <c r="T292" s="237"/>
      <c r="U292" s="237"/>
      <c r="V292" s="250"/>
      <c r="W292" s="239"/>
      <c r="X292" s="237"/>
      <c r="Y292" s="242"/>
      <c r="Z292" s="251"/>
      <c r="AA292" s="243"/>
      <c r="AB292" s="243"/>
      <c r="AC292" s="243"/>
      <c r="AD292" s="243"/>
      <c r="AE292" s="243"/>
      <c r="AF292" s="243"/>
      <c r="AG292" s="243"/>
      <c r="AH292" s="243"/>
      <c r="AI292" s="243"/>
      <c r="AJ292" s="251"/>
    </row>
    <row r="293" spans="1:36" ht="15" thickTop="1" thickBot="1" x14ac:dyDescent="0.35">
      <c r="A293" s="234"/>
      <c r="B293" s="234" t="s">
        <v>1223</v>
      </c>
      <c r="D293" s="234" t="s">
        <v>740</v>
      </c>
      <c r="E293" s="235"/>
      <c r="F293" s="235" t="str">
        <f t="shared" si="270"/>
        <v>-</v>
      </c>
      <c r="G293" s="235" t="str">
        <f t="shared" si="271"/>
        <v>-</v>
      </c>
      <c r="H293" s="235"/>
      <c r="I293" s="236"/>
      <c r="J293" s="236"/>
      <c r="K293" s="241" t="str">
        <f ca="1">IF(Table1192[[#This Row],[VALID]],Table1192[[#This Row],[VALID]]-TODAY(),"-")</f>
        <v>-</v>
      </c>
      <c r="L293" s="244"/>
      <c r="M293" s="238"/>
      <c r="N293" s="237"/>
      <c r="O293" s="237"/>
      <c r="P293" s="237"/>
      <c r="Q293" s="250"/>
      <c r="R293" s="238"/>
      <c r="S293" s="237"/>
      <c r="T293" s="237"/>
      <c r="U293" s="237"/>
      <c r="V293" s="250"/>
      <c r="W293" s="239"/>
      <c r="X293" s="237"/>
      <c r="Y293" s="242"/>
      <c r="Z293" s="251"/>
      <c r="AA293" s="243"/>
      <c r="AB293" s="243"/>
      <c r="AC293" s="243"/>
      <c r="AD293" s="243"/>
      <c r="AE293" s="243"/>
      <c r="AF293" s="243"/>
      <c r="AG293" s="243"/>
      <c r="AH293" s="243"/>
      <c r="AI293" s="243"/>
      <c r="AJ293" s="251"/>
    </row>
    <row r="294" spans="1:36" ht="15" thickTop="1" thickBot="1" x14ac:dyDescent="0.35">
      <c r="A294" s="234"/>
      <c r="B294" s="234" t="s">
        <v>1223</v>
      </c>
      <c r="D294" s="234" t="s">
        <v>745</v>
      </c>
      <c r="E294" s="235"/>
      <c r="F294" s="235" t="str">
        <f t="shared" si="270"/>
        <v>-</v>
      </c>
      <c r="G294" s="235" t="str">
        <f t="shared" si="271"/>
        <v>-</v>
      </c>
      <c r="H294" s="235"/>
      <c r="I294" s="236"/>
      <c r="J294" s="236"/>
      <c r="K294" s="241" t="str">
        <f ca="1">IF(Table1192[[#This Row],[VALID]],Table1192[[#This Row],[VALID]]-TODAY(),"-")</f>
        <v>-</v>
      </c>
      <c r="L294" s="244"/>
      <c r="M294" s="238"/>
      <c r="N294" s="237"/>
      <c r="O294" s="237"/>
      <c r="P294" s="237"/>
      <c r="Q294" s="250"/>
      <c r="R294" s="238"/>
      <c r="S294" s="237"/>
      <c r="T294" s="237"/>
      <c r="U294" s="237"/>
      <c r="V294" s="250"/>
      <c r="W294" s="239"/>
      <c r="X294" s="237"/>
      <c r="Y294" s="242"/>
      <c r="Z294" s="251"/>
      <c r="AA294" s="243"/>
      <c r="AB294" s="243"/>
      <c r="AC294" s="243"/>
      <c r="AD294" s="243"/>
      <c r="AE294" s="243"/>
      <c r="AF294" s="243"/>
      <c r="AG294" s="243"/>
      <c r="AH294" s="243"/>
      <c r="AI294" s="243"/>
      <c r="AJ294" s="251"/>
    </row>
    <row r="295" spans="1:36" ht="15" thickTop="1" thickBot="1" x14ac:dyDescent="0.35">
      <c r="A295" s="234"/>
      <c r="B295" s="234" t="s">
        <v>1250</v>
      </c>
      <c r="D295" s="234" t="s">
        <v>468</v>
      </c>
      <c r="E295" s="235"/>
      <c r="F295" s="235" t="str">
        <f t="shared" si="270"/>
        <v>-</v>
      </c>
      <c r="G295" s="235" t="str">
        <f t="shared" si="271"/>
        <v>-</v>
      </c>
      <c r="H295" s="235"/>
      <c r="I295" s="236"/>
      <c r="J295" s="236"/>
      <c r="K295" s="241" t="str">
        <f ca="1">IF(Table1192[[#This Row],[VALID]],Table1192[[#This Row],[VALID]]-TODAY(),"-")</f>
        <v>-</v>
      </c>
      <c r="L295" s="244"/>
      <c r="M295" s="238"/>
      <c r="N295" s="237"/>
      <c r="O295" s="237"/>
      <c r="P295" s="237"/>
      <c r="Q295" s="250"/>
      <c r="R295" s="238"/>
      <c r="S295" s="237"/>
      <c r="T295" s="237"/>
      <c r="U295" s="237"/>
      <c r="V295" s="250"/>
      <c r="W295" s="239"/>
      <c r="X295" s="237"/>
      <c r="Y295" s="242"/>
      <c r="Z295" s="251"/>
      <c r="AA295" s="243"/>
      <c r="AB295" s="243"/>
      <c r="AC295" s="243"/>
      <c r="AD295" s="243"/>
      <c r="AE295" s="243"/>
      <c r="AF295" s="243"/>
      <c r="AG295" s="243"/>
      <c r="AH295" s="243"/>
      <c r="AI295" s="243"/>
      <c r="AJ295" s="251"/>
    </row>
    <row r="296" spans="1:36" ht="15" thickTop="1" thickBot="1" x14ac:dyDescent="0.35">
      <c r="A296" s="234"/>
      <c r="B296" s="234" t="s">
        <v>1250</v>
      </c>
      <c r="D296" s="234" t="s">
        <v>518</v>
      </c>
      <c r="E296" s="235"/>
      <c r="F296" s="235" t="str">
        <f t="shared" si="270"/>
        <v>-</v>
      </c>
      <c r="G296" s="235" t="str">
        <f t="shared" si="271"/>
        <v>-</v>
      </c>
      <c r="H296" s="235"/>
      <c r="I296" s="236"/>
      <c r="J296" s="236"/>
      <c r="K296" s="241" t="str">
        <f ca="1">IF(Table1192[[#This Row],[VALID]],Table1192[[#This Row],[VALID]]-TODAY(),"-")</f>
        <v>-</v>
      </c>
      <c r="L296" s="244"/>
      <c r="M296" s="238"/>
      <c r="N296" s="237"/>
      <c r="O296" s="237"/>
      <c r="P296" s="237"/>
      <c r="Q296" s="250"/>
      <c r="R296" s="238"/>
      <c r="S296" s="237"/>
      <c r="T296" s="237"/>
      <c r="U296" s="237"/>
      <c r="V296" s="250"/>
      <c r="W296" s="239"/>
      <c r="X296" s="237"/>
      <c r="Y296" s="242"/>
      <c r="Z296" s="251"/>
      <c r="AA296" s="243"/>
      <c r="AB296" s="243"/>
      <c r="AC296" s="243"/>
      <c r="AD296" s="243"/>
      <c r="AE296" s="243"/>
      <c r="AF296" s="243"/>
      <c r="AG296" s="243"/>
      <c r="AH296" s="243"/>
      <c r="AI296" s="243"/>
      <c r="AJ296" s="251"/>
    </row>
    <row r="297" spans="1:36" ht="15" thickTop="1" thickBot="1" x14ac:dyDescent="0.35">
      <c r="A297" s="234"/>
      <c r="B297" s="234" t="s">
        <v>1291</v>
      </c>
      <c r="D297" s="234" t="s">
        <v>655</v>
      </c>
      <c r="E297" s="235"/>
      <c r="F297" s="235" t="str">
        <f t="shared" si="270"/>
        <v>-</v>
      </c>
      <c r="G297" s="235" t="str">
        <f t="shared" si="271"/>
        <v>-</v>
      </c>
      <c r="H297" s="235"/>
      <c r="I297" s="236"/>
      <c r="J297" s="236"/>
      <c r="K297" s="241" t="str">
        <f ca="1">IF(Table1192[[#This Row],[VALID]],Table1192[[#This Row],[VALID]]-TODAY(),"-")</f>
        <v>-</v>
      </c>
      <c r="L297" s="244"/>
      <c r="M297" s="238"/>
      <c r="N297" s="237"/>
      <c r="O297" s="237"/>
      <c r="P297" s="237"/>
      <c r="Q297" s="250"/>
      <c r="R297" s="238"/>
      <c r="S297" s="237"/>
      <c r="T297" s="237"/>
      <c r="U297" s="237"/>
      <c r="V297" s="250"/>
      <c r="W297" s="239"/>
      <c r="X297" s="237"/>
      <c r="Y297" s="242"/>
      <c r="Z297" s="251"/>
      <c r="AA297" s="243"/>
      <c r="AB297" s="243"/>
      <c r="AC297" s="243"/>
      <c r="AD297" s="243"/>
      <c r="AE297" s="243"/>
      <c r="AF297" s="243"/>
      <c r="AG297" s="243"/>
      <c r="AH297" s="243"/>
      <c r="AI297" s="243"/>
      <c r="AJ297" s="251"/>
    </row>
    <row r="298" spans="1:36" ht="15" thickTop="1" thickBot="1" x14ac:dyDescent="0.35">
      <c r="A298" s="234"/>
      <c r="B298" s="234" t="s">
        <v>1265</v>
      </c>
      <c r="D298" s="234" t="s">
        <v>508</v>
      </c>
      <c r="E298" s="235"/>
      <c r="F298" s="235" t="str">
        <f t="shared" si="270"/>
        <v>-</v>
      </c>
      <c r="G298" s="235" t="str">
        <f t="shared" si="271"/>
        <v>-</v>
      </c>
      <c r="H298" s="235"/>
      <c r="I298" s="236"/>
      <c r="J298" s="236"/>
      <c r="K298" s="241" t="str">
        <f ca="1">IF(Table1192[[#This Row],[VALID]],Table1192[[#This Row],[VALID]]-TODAY(),"-")</f>
        <v>-</v>
      </c>
      <c r="L298" s="244"/>
      <c r="M298" s="238"/>
      <c r="N298" s="237"/>
      <c r="O298" s="237"/>
      <c r="P298" s="237"/>
      <c r="Q298" s="250"/>
      <c r="R298" s="238"/>
      <c r="S298" s="237"/>
      <c r="T298" s="237"/>
      <c r="U298" s="237"/>
      <c r="V298" s="250"/>
      <c r="W298" s="239"/>
      <c r="X298" s="237"/>
      <c r="Y298" s="242"/>
      <c r="Z298" s="251"/>
      <c r="AA298" s="243"/>
      <c r="AB298" s="243"/>
      <c r="AC298" s="243"/>
      <c r="AD298" s="243"/>
      <c r="AE298" s="243"/>
      <c r="AF298" s="243"/>
      <c r="AG298" s="243"/>
      <c r="AH298" s="243"/>
      <c r="AI298" s="243"/>
      <c r="AJ298" s="251"/>
    </row>
    <row r="299" spans="1:36" ht="15" thickTop="1" thickBot="1" x14ac:dyDescent="0.35">
      <c r="A299" s="234"/>
      <c r="B299" s="234" t="s">
        <v>1273</v>
      </c>
      <c r="D299" s="234" t="s">
        <v>553</v>
      </c>
      <c r="E299" s="235"/>
      <c r="F299" s="235" t="str">
        <f t="shared" si="270"/>
        <v>-</v>
      </c>
      <c r="G299" s="235" t="str">
        <f t="shared" si="271"/>
        <v>-</v>
      </c>
      <c r="H299" s="235"/>
      <c r="I299" s="236"/>
      <c r="J299" s="236"/>
      <c r="K299" s="241" t="str">
        <f ca="1">IF(Table1192[[#This Row],[VALID]],Table1192[[#This Row],[VALID]]-TODAY(),"-")</f>
        <v>-</v>
      </c>
      <c r="L299" s="244"/>
      <c r="M299" s="238"/>
      <c r="N299" s="237"/>
      <c r="O299" s="237"/>
      <c r="P299" s="237"/>
      <c r="Q299" s="250"/>
      <c r="R299" s="238"/>
      <c r="S299" s="237"/>
      <c r="T299" s="237"/>
      <c r="U299" s="237"/>
      <c r="V299" s="250"/>
      <c r="W299" s="239"/>
      <c r="X299" s="237"/>
      <c r="Y299" s="242"/>
      <c r="Z299" s="251"/>
      <c r="AA299" s="243"/>
      <c r="AB299" s="243"/>
      <c r="AC299" s="243"/>
      <c r="AD299" s="243"/>
      <c r="AE299" s="243"/>
      <c r="AF299" s="243"/>
      <c r="AG299" s="243"/>
      <c r="AH299" s="243"/>
      <c r="AI299" s="243"/>
      <c r="AJ299" s="251"/>
    </row>
    <row r="300" spans="1:36" ht="15" thickTop="1" thickBot="1" x14ac:dyDescent="0.35">
      <c r="A300" s="234"/>
      <c r="B300" s="234" t="s">
        <v>1273</v>
      </c>
      <c r="D300" s="234" t="s">
        <v>556</v>
      </c>
      <c r="E300" s="235"/>
      <c r="F300" s="235" t="str">
        <f t="shared" si="270"/>
        <v>-</v>
      </c>
      <c r="G300" s="235" t="str">
        <f t="shared" si="271"/>
        <v>-</v>
      </c>
      <c r="H300" s="235"/>
      <c r="I300" s="236"/>
      <c r="J300" s="236"/>
      <c r="K300" s="241" t="str">
        <f ca="1">IF(Table1192[[#This Row],[VALID]],Table1192[[#This Row],[VALID]]-TODAY(),"-")</f>
        <v>-</v>
      </c>
      <c r="L300" s="244"/>
      <c r="M300" s="238"/>
      <c r="N300" s="237"/>
      <c r="O300" s="237"/>
      <c r="P300" s="237"/>
      <c r="Q300" s="250"/>
      <c r="R300" s="238"/>
      <c r="S300" s="237"/>
      <c r="T300" s="237"/>
      <c r="U300" s="237"/>
      <c r="V300" s="250"/>
      <c r="W300" s="239"/>
      <c r="X300" s="237"/>
      <c r="Y300" s="242"/>
      <c r="Z300" s="251"/>
      <c r="AA300" s="243"/>
      <c r="AB300" s="243"/>
      <c r="AC300" s="243"/>
      <c r="AD300" s="243"/>
      <c r="AE300" s="243"/>
      <c r="AF300" s="243"/>
      <c r="AG300" s="243"/>
      <c r="AH300" s="243"/>
      <c r="AI300" s="243"/>
      <c r="AJ300" s="251"/>
    </row>
    <row r="301" spans="1:36" ht="15" thickTop="1" thickBot="1" x14ac:dyDescent="0.35">
      <c r="A301" s="234"/>
      <c r="B301" s="234" t="s">
        <v>1273</v>
      </c>
      <c r="D301" s="234" t="s">
        <v>719</v>
      </c>
      <c r="E301" s="235"/>
      <c r="F301" s="235" t="str">
        <f t="shared" si="270"/>
        <v>-</v>
      </c>
      <c r="G301" s="235" t="str">
        <f t="shared" si="271"/>
        <v>-</v>
      </c>
      <c r="H301" s="235"/>
      <c r="I301" s="236"/>
      <c r="J301" s="236"/>
      <c r="K301" s="241" t="str">
        <f ca="1">IF(Table1192[[#This Row],[VALID]],Table1192[[#This Row],[VALID]]-TODAY(),"-")</f>
        <v>-</v>
      </c>
      <c r="L301" s="244"/>
      <c r="M301" s="238"/>
      <c r="N301" s="237"/>
      <c r="O301" s="237"/>
      <c r="P301" s="237"/>
      <c r="Q301" s="250"/>
      <c r="R301" s="238"/>
      <c r="S301" s="237"/>
      <c r="T301" s="237"/>
      <c r="U301" s="237"/>
      <c r="V301" s="250"/>
      <c r="W301" s="239"/>
      <c r="X301" s="237"/>
      <c r="Y301" s="242"/>
      <c r="Z301" s="251"/>
      <c r="AA301" s="243"/>
      <c r="AB301" s="243"/>
      <c r="AC301" s="243"/>
      <c r="AD301" s="243"/>
      <c r="AE301" s="243"/>
      <c r="AF301" s="243"/>
      <c r="AG301" s="243"/>
      <c r="AH301" s="243"/>
      <c r="AI301" s="243"/>
      <c r="AJ301" s="251"/>
    </row>
    <row r="302" spans="1:36" ht="15" thickTop="1" thickBot="1" x14ac:dyDescent="0.35">
      <c r="A302" s="234"/>
      <c r="B302" s="234" t="s">
        <v>1273</v>
      </c>
      <c r="D302" s="234" t="s">
        <v>720</v>
      </c>
      <c r="E302" s="235"/>
      <c r="F302" s="235" t="str">
        <f t="shared" si="270"/>
        <v>-</v>
      </c>
      <c r="G302" s="235" t="str">
        <f t="shared" si="271"/>
        <v>-</v>
      </c>
      <c r="H302" s="235"/>
      <c r="I302" s="236"/>
      <c r="J302" s="236"/>
      <c r="K302" s="241" t="str">
        <f ca="1">IF(Table1192[[#This Row],[VALID]],Table1192[[#This Row],[VALID]]-TODAY(),"-")</f>
        <v>-</v>
      </c>
      <c r="L302" s="244"/>
      <c r="M302" s="238"/>
      <c r="N302" s="237"/>
      <c r="O302" s="237"/>
      <c r="P302" s="237"/>
      <c r="Q302" s="250"/>
      <c r="R302" s="238"/>
      <c r="S302" s="237"/>
      <c r="T302" s="237"/>
      <c r="U302" s="237"/>
      <c r="V302" s="250"/>
      <c r="W302" s="239"/>
      <c r="X302" s="237"/>
      <c r="Y302" s="242"/>
      <c r="Z302" s="251"/>
      <c r="AA302" s="243"/>
      <c r="AB302" s="243"/>
      <c r="AC302" s="243"/>
      <c r="AD302" s="243"/>
      <c r="AE302" s="243"/>
      <c r="AF302" s="243"/>
      <c r="AG302" s="243"/>
      <c r="AH302" s="243"/>
      <c r="AI302" s="243"/>
      <c r="AJ302" s="251"/>
    </row>
    <row r="303" spans="1:36" ht="15" thickTop="1" thickBot="1" x14ac:dyDescent="0.35">
      <c r="A303" s="234"/>
      <c r="B303" s="234" t="s">
        <v>1273</v>
      </c>
      <c r="D303" s="234" t="s">
        <v>725</v>
      </c>
      <c r="E303" s="235"/>
      <c r="F303" s="235" t="str">
        <f t="shared" si="270"/>
        <v>-</v>
      </c>
      <c r="G303" s="235" t="str">
        <f t="shared" si="271"/>
        <v>-</v>
      </c>
      <c r="H303" s="235"/>
      <c r="I303" s="236"/>
      <c r="J303" s="236"/>
      <c r="K303" s="241" t="str">
        <f ca="1">IF(Table1192[[#This Row],[VALID]],Table1192[[#This Row],[VALID]]-TODAY(),"-")</f>
        <v>-</v>
      </c>
      <c r="L303" s="244"/>
      <c r="M303" s="238"/>
      <c r="N303" s="237"/>
      <c r="O303" s="237"/>
      <c r="P303" s="237"/>
      <c r="Q303" s="250"/>
      <c r="R303" s="238"/>
      <c r="S303" s="237"/>
      <c r="T303" s="237"/>
      <c r="U303" s="237"/>
      <c r="V303" s="250"/>
      <c r="W303" s="239"/>
      <c r="X303" s="237"/>
      <c r="Y303" s="242"/>
      <c r="Z303" s="251"/>
      <c r="AA303" s="243"/>
      <c r="AB303" s="243"/>
      <c r="AC303" s="243"/>
      <c r="AD303" s="243"/>
      <c r="AE303" s="243"/>
      <c r="AF303" s="243"/>
      <c r="AG303" s="243"/>
      <c r="AH303" s="243"/>
      <c r="AI303" s="243"/>
      <c r="AJ303" s="251"/>
    </row>
    <row r="304" spans="1:36" ht="15" thickTop="1" thickBot="1" x14ac:dyDescent="0.35">
      <c r="A304" s="234"/>
      <c r="B304" s="234" t="s">
        <v>1230</v>
      </c>
      <c r="D304" s="234" t="s">
        <v>423</v>
      </c>
      <c r="E304" s="235"/>
      <c r="F304" s="235" t="str">
        <f t="shared" si="270"/>
        <v>-</v>
      </c>
      <c r="G304" s="235" t="str">
        <f t="shared" si="271"/>
        <v>-</v>
      </c>
      <c r="H304" s="235"/>
      <c r="I304" s="236"/>
      <c r="J304" s="236"/>
      <c r="K304" s="241" t="str">
        <f ca="1">IF(Table1192[[#This Row],[VALID]],Table1192[[#This Row],[VALID]]-TODAY(),"-")</f>
        <v>-</v>
      </c>
      <c r="L304" s="244"/>
      <c r="M304" s="238"/>
      <c r="N304" s="237"/>
      <c r="O304" s="237"/>
      <c r="P304" s="237"/>
      <c r="Q304" s="250"/>
      <c r="R304" s="238"/>
      <c r="S304" s="237"/>
      <c r="T304" s="237"/>
      <c r="U304" s="237"/>
      <c r="V304" s="250"/>
      <c r="W304" s="239"/>
      <c r="X304" s="237"/>
      <c r="Y304" s="242"/>
      <c r="Z304" s="251"/>
      <c r="AA304" s="243"/>
      <c r="AB304" s="243"/>
      <c r="AC304" s="243"/>
      <c r="AD304" s="243"/>
      <c r="AE304" s="243"/>
      <c r="AF304" s="243"/>
      <c r="AG304" s="243"/>
      <c r="AH304" s="243"/>
      <c r="AI304" s="243"/>
      <c r="AJ304" s="251"/>
    </row>
    <row r="305" spans="1:36" ht="15" thickTop="1" thickBot="1" x14ac:dyDescent="0.35">
      <c r="A305" s="234"/>
      <c r="B305" s="234" t="s">
        <v>1230</v>
      </c>
      <c r="D305" s="234" t="s">
        <v>479</v>
      </c>
      <c r="E305" s="235"/>
      <c r="F305" s="235" t="str">
        <f t="shared" si="270"/>
        <v>-</v>
      </c>
      <c r="G305" s="235" t="str">
        <f t="shared" si="271"/>
        <v>-</v>
      </c>
      <c r="H305" s="235"/>
      <c r="I305" s="236"/>
      <c r="J305" s="236"/>
      <c r="K305" s="241" t="str">
        <f ca="1">IF(Table1192[[#This Row],[VALID]],Table1192[[#This Row],[VALID]]-TODAY(),"-")</f>
        <v>-</v>
      </c>
      <c r="L305" s="244"/>
      <c r="M305" s="238"/>
      <c r="N305" s="237"/>
      <c r="O305" s="237"/>
      <c r="P305" s="237"/>
      <c r="Q305" s="250"/>
      <c r="R305" s="238"/>
      <c r="S305" s="237"/>
      <c r="T305" s="237"/>
      <c r="U305" s="237"/>
      <c r="V305" s="250"/>
      <c r="W305" s="239"/>
      <c r="X305" s="237"/>
      <c r="Y305" s="242"/>
      <c r="Z305" s="251"/>
      <c r="AA305" s="243"/>
      <c r="AB305" s="243"/>
      <c r="AC305" s="243"/>
      <c r="AD305" s="243"/>
      <c r="AE305" s="243"/>
      <c r="AF305" s="243"/>
      <c r="AG305" s="243"/>
      <c r="AH305" s="243"/>
      <c r="AI305" s="243"/>
      <c r="AJ305" s="251"/>
    </row>
    <row r="306" spans="1:36" ht="15" thickTop="1" thickBot="1" x14ac:dyDescent="0.35">
      <c r="A306" s="234"/>
      <c r="B306" s="234" t="s">
        <v>1230</v>
      </c>
      <c r="D306" s="234" t="s">
        <v>769</v>
      </c>
      <c r="E306" s="235"/>
      <c r="F306" s="235" t="str">
        <f t="shared" si="270"/>
        <v>-</v>
      </c>
      <c r="G306" s="235" t="str">
        <f t="shared" si="271"/>
        <v>-</v>
      </c>
      <c r="H306" s="235"/>
      <c r="I306" s="236"/>
      <c r="J306" s="236"/>
      <c r="K306" s="241" t="str">
        <f ca="1">IF(Table1192[[#This Row],[VALID]],Table1192[[#This Row],[VALID]]-TODAY(),"-")</f>
        <v>-</v>
      </c>
      <c r="L306" s="244"/>
      <c r="M306" s="238"/>
      <c r="N306" s="237"/>
      <c r="O306" s="237"/>
      <c r="P306" s="237"/>
      <c r="Q306" s="250"/>
      <c r="R306" s="238"/>
      <c r="S306" s="237"/>
      <c r="T306" s="237"/>
      <c r="U306" s="237"/>
      <c r="V306" s="250"/>
      <c r="W306" s="239"/>
      <c r="X306" s="237"/>
      <c r="Y306" s="242"/>
      <c r="Z306" s="251"/>
      <c r="AA306" s="243"/>
      <c r="AB306" s="243"/>
      <c r="AC306" s="243"/>
      <c r="AD306" s="243"/>
      <c r="AE306" s="243"/>
      <c r="AF306" s="243"/>
      <c r="AG306" s="243"/>
      <c r="AH306" s="243"/>
      <c r="AI306" s="243"/>
      <c r="AJ306" s="251"/>
    </row>
    <row r="307" spans="1:36" ht="15" thickTop="1" thickBot="1" x14ac:dyDescent="0.35">
      <c r="A307" s="234"/>
      <c r="B307" s="234" t="s">
        <v>1234</v>
      </c>
      <c r="D307" s="234" t="s">
        <v>429</v>
      </c>
      <c r="E307" s="235"/>
      <c r="F307" s="235" t="str">
        <f t="shared" si="270"/>
        <v>-</v>
      </c>
      <c r="G307" s="235" t="str">
        <f t="shared" si="271"/>
        <v>-</v>
      </c>
      <c r="H307" s="235"/>
      <c r="I307" s="236"/>
      <c r="J307" s="236"/>
      <c r="K307" s="241" t="str">
        <f ca="1">IF(Table1192[[#This Row],[VALID]],Table1192[[#This Row],[VALID]]-TODAY(),"-")</f>
        <v>-</v>
      </c>
      <c r="L307" s="244"/>
      <c r="M307" s="238"/>
      <c r="N307" s="237"/>
      <c r="O307" s="237"/>
      <c r="P307" s="237"/>
      <c r="Q307" s="250"/>
      <c r="R307" s="238"/>
      <c r="S307" s="237"/>
      <c r="T307" s="237"/>
      <c r="U307" s="237"/>
      <c r="V307" s="250"/>
      <c r="W307" s="239"/>
      <c r="X307" s="237"/>
      <c r="Y307" s="242"/>
      <c r="Z307" s="251"/>
      <c r="AA307" s="243"/>
      <c r="AB307" s="243"/>
      <c r="AC307" s="243"/>
      <c r="AD307" s="243"/>
      <c r="AE307" s="243"/>
      <c r="AF307" s="243"/>
      <c r="AG307" s="243"/>
      <c r="AH307" s="243"/>
      <c r="AI307" s="243"/>
      <c r="AJ307" s="251"/>
    </row>
    <row r="308" spans="1:36" ht="15" thickTop="1" thickBot="1" x14ac:dyDescent="0.35">
      <c r="A308" s="234"/>
      <c r="B308" s="234" t="s">
        <v>1234</v>
      </c>
      <c r="D308" s="234" t="s">
        <v>430</v>
      </c>
      <c r="E308" s="235"/>
      <c r="F308" s="235" t="str">
        <f t="shared" si="270"/>
        <v>-</v>
      </c>
      <c r="G308" s="235" t="str">
        <f t="shared" si="271"/>
        <v>-</v>
      </c>
      <c r="H308" s="235"/>
      <c r="I308" s="236"/>
      <c r="J308" s="236"/>
      <c r="K308" s="241" t="str">
        <f ca="1">IF(Table1192[[#This Row],[VALID]],Table1192[[#This Row],[VALID]]-TODAY(),"-")</f>
        <v>-</v>
      </c>
      <c r="L308" s="244"/>
      <c r="M308" s="238"/>
      <c r="N308" s="237"/>
      <c r="O308" s="237"/>
      <c r="P308" s="237"/>
      <c r="Q308" s="250"/>
      <c r="R308" s="238"/>
      <c r="S308" s="237"/>
      <c r="T308" s="237"/>
      <c r="U308" s="237"/>
      <c r="V308" s="250"/>
      <c r="W308" s="239"/>
      <c r="X308" s="237"/>
      <c r="Y308" s="242"/>
      <c r="Z308" s="251"/>
      <c r="AA308" s="243"/>
      <c r="AB308" s="243"/>
      <c r="AC308" s="243"/>
      <c r="AD308" s="243"/>
      <c r="AE308" s="243"/>
      <c r="AF308" s="243"/>
      <c r="AG308" s="243"/>
      <c r="AH308" s="243"/>
      <c r="AI308" s="243"/>
      <c r="AJ308" s="251"/>
    </row>
    <row r="309" spans="1:36" ht="15" thickTop="1" thickBot="1" x14ac:dyDescent="0.35">
      <c r="A309" s="234"/>
      <c r="B309" s="234" t="s">
        <v>1234</v>
      </c>
      <c r="D309" s="234" t="s">
        <v>567</v>
      </c>
      <c r="E309" s="235"/>
      <c r="F309" s="235" t="str">
        <f t="shared" si="270"/>
        <v>-</v>
      </c>
      <c r="G309" s="235" t="str">
        <f t="shared" si="271"/>
        <v>-</v>
      </c>
      <c r="H309" s="235"/>
      <c r="I309" s="236"/>
      <c r="J309" s="236"/>
      <c r="K309" s="241" t="str">
        <f ca="1">IF(Table1192[[#This Row],[VALID]],Table1192[[#This Row],[VALID]]-TODAY(),"-")</f>
        <v>-</v>
      </c>
      <c r="L309" s="244"/>
      <c r="M309" s="238"/>
      <c r="N309" s="237"/>
      <c r="O309" s="237"/>
      <c r="P309" s="237"/>
      <c r="Q309" s="250"/>
      <c r="R309" s="238"/>
      <c r="S309" s="237"/>
      <c r="T309" s="237"/>
      <c r="U309" s="237"/>
      <c r="V309" s="250"/>
      <c r="W309" s="239"/>
      <c r="X309" s="237"/>
      <c r="Y309" s="242"/>
      <c r="Z309" s="251"/>
      <c r="AA309" s="243"/>
      <c r="AB309" s="243"/>
      <c r="AC309" s="243"/>
      <c r="AD309" s="243"/>
      <c r="AE309" s="243"/>
      <c r="AF309" s="243"/>
      <c r="AG309" s="243"/>
      <c r="AH309" s="243"/>
      <c r="AI309" s="243"/>
      <c r="AJ309" s="251"/>
    </row>
    <row r="310" spans="1:36" ht="15" thickTop="1" thickBot="1" x14ac:dyDescent="0.35">
      <c r="A310" s="234"/>
      <c r="B310" s="234" t="s">
        <v>1234</v>
      </c>
      <c r="D310" s="234" t="s">
        <v>570</v>
      </c>
      <c r="E310" s="235"/>
      <c r="F310" s="235" t="str">
        <f t="shared" si="270"/>
        <v>-</v>
      </c>
      <c r="G310" s="235" t="str">
        <f t="shared" si="271"/>
        <v>-</v>
      </c>
      <c r="H310" s="235"/>
      <c r="I310" s="236"/>
      <c r="J310" s="236"/>
      <c r="K310" s="241" t="str">
        <f ca="1">IF(Table1192[[#This Row],[VALID]],Table1192[[#This Row],[VALID]]-TODAY(),"-")</f>
        <v>-</v>
      </c>
      <c r="L310" s="244"/>
      <c r="M310" s="238"/>
      <c r="N310" s="237"/>
      <c r="O310" s="237"/>
      <c r="P310" s="237"/>
      <c r="Q310" s="250"/>
      <c r="R310" s="238"/>
      <c r="S310" s="237"/>
      <c r="T310" s="237"/>
      <c r="U310" s="237"/>
      <c r="V310" s="250"/>
      <c r="W310" s="239"/>
      <c r="X310" s="237"/>
      <c r="Y310" s="242"/>
      <c r="Z310" s="251"/>
      <c r="AA310" s="243"/>
      <c r="AB310" s="243"/>
      <c r="AC310" s="243"/>
      <c r="AD310" s="243"/>
      <c r="AE310" s="243"/>
      <c r="AF310" s="243"/>
      <c r="AG310" s="243"/>
      <c r="AH310" s="243"/>
      <c r="AI310" s="243"/>
      <c r="AJ310" s="251"/>
    </row>
    <row r="311" spans="1:36" ht="15" thickTop="1" thickBot="1" x14ac:dyDescent="0.35">
      <c r="A311" s="234"/>
      <c r="B311" s="234" t="s">
        <v>1284</v>
      </c>
      <c r="D311" s="234" t="s">
        <v>579</v>
      </c>
      <c r="E311" s="235"/>
      <c r="F311" s="235" t="str">
        <f t="shared" si="270"/>
        <v>-</v>
      </c>
      <c r="G311" s="235" t="str">
        <f t="shared" si="271"/>
        <v>-</v>
      </c>
      <c r="H311" s="235"/>
      <c r="I311" s="236"/>
      <c r="J311" s="236"/>
      <c r="K311" s="241" t="str">
        <f ca="1">IF(Table1192[[#This Row],[VALID]],Table1192[[#This Row],[VALID]]-TODAY(),"-")</f>
        <v>-</v>
      </c>
      <c r="L311" s="244"/>
      <c r="M311" s="238"/>
      <c r="N311" s="237"/>
      <c r="O311" s="237"/>
      <c r="P311" s="237"/>
      <c r="Q311" s="250"/>
      <c r="R311" s="238"/>
      <c r="S311" s="237"/>
      <c r="T311" s="237"/>
      <c r="U311" s="237"/>
      <c r="V311" s="250"/>
      <c r="W311" s="239"/>
      <c r="X311" s="237"/>
      <c r="Y311" s="242"/>
      <c r="Z311" s="251"/>
      <c r="AA311" s="243"/>
      <c r="AB311" s="243"/>
      <c r="AC311" s="243"/>
      <c r="AD311" s="243"/>
      <c r="AE311" s="243"/>
      <c r="AF311" s="243"/>
      <c r="AG311" s="243"/>
      <c r="AH311" s="243"/>
      <c r="AI311" s="243"/>
      <c r="AJ311" s="251"/>
    </row>
    <row r="312" spans="1:36" ht="15" thickTop="1" thickBot="1" x14ac:dyDescent="0.35">
      <c r="A312" s="234"/>
      <c r="B312" s="234" t="s">
        <v>1242</v>
      </c>
      <c r="D312" s="234" t="s">
        <v>443</v>
      </c>
      <c r="E312" s="235"/>
      <c r="F312" s="235" t="str">
        <f t="shared" si="270"/>
        <v>-</v>
      </c>
      <c r="G312" s="235" t="str">
        <f t="shared" si="271"/>
        <v>-</v>
      </c>
      <c r="H312" s="235"/>
      <c r="I312" s="236"/>
      <c r="J312" s="236"/>
      <c r="K312" s="241" t="str">
        <f ca="1">IF(Table1192[[#This Row],[VALID]],Table1192[[#This Row],[VALID]]-TODAY(),"-")</f>
        <v>-</v>
      </c>
      <c r="L312" s="244"/>
      <c r="M312" s="238"/>
      <c r="N312" s="237"/>
      <c r="O312" s="237"/>
      <c r="P312" s="237"/>
      <c r="Q312" s="250"/>
      <c r="R312" s="238"/>
      <c r="S312" s="237"/>
      <c r="T312" s="237"/>
      <c r="U312" s="237"/>
      <c r="V312" s="250"/>
      <c r="W312" s="239"/>
      <c r="X312" s="237"/>
      <c r="Y312" s="242"/>
      <c r="Z312" s="251"/>
      <c r="AA312" s="243"/>
      <c r="AB312" s="243"/>
      <c r="AC312" s="243"/>
      <c r="AD312" s="243"/>
      <c r="AE312" s="243"/>
      <c r="AF312" s="243"/>
      <c r="AG312" s="243"/>
      <c r="AH312" s="243"/>
      <c r="AI312" s="243"/>
      <c r="AJ312" s="251"/>
    </row>
    <row r="313" spans="1:36" ht="15" thickTop="1" thickBot="1" x14ac:dyDescent="0.35">
      <c r="A313" s="234"/>
      <c r="B313" s="234" t="s">
        <v>1242</v>
      </c>
      <c r="D313" s="234" t="s">
        <v>670</v>
      </c>
      <c r="E313" s="235"/>
      <c r="F313" s="235" t="str">
        <f t="shared" si="270"/>
        <v>-</v>
      </c>
      <c r="G313" s="235" t="str">
        <f t="shared" si="271"/>
        <v>-</v>
      </c>
      <c r="H313" s="235"/>
      <c r="I313" s="236"/>
      <c r="J313" s="236"/>
      <c r="K313" s="241" t="str">
        <f ca="1">IF(Table1192[[#This Row],[VALID]],Table1192[[#This Row],[VALID]]-TODAY(),"-")</f>
        <v>-</v>
      </c>
      <c r="L313" s="244"/>
      <c r="M313" s="238"/>
      <c r="N313" s="237"/>
      <c r="O313" s="237"/>
      <c r="P313" s="237"/>
      <c r="Q313" s="250"/>
      <c r="R313" s="238"/>
      <c r="S313" s="237"/>
      <c r="T313" s="237"/>
      <c r="U313" s="237"/>
      <c r="V313" s="250"/>
      <c r="W313" s="239"/>
      <c r="X313" s="237"/>
      <c r="Y313" s="242"/>
      <c r="Z313" s="251"/>
      <c r="AA313" s="243"/>
      <c r="AB313" s="243"/>
      <c r="AC313" s="243"/>
      <c r="AD313" s="243"/>
      <c r="AE313" s="243"/>
      <c r="AF313" s="243"/>
      <c r="AG313" s="243"/>
      <c r="AH313" s="243"/>
      <c r="AI313" s="243"/>
      <c r="AJ313" s="251"/>
    </row>
    <row r="314" spans="1:36" ht="15" thickTop="1" thickBot="1" x14ac:dyDescent="0.35">
      <c r="A314" s="234"/>
      <c r="B314" s="234" t="s">
        <v>1242</v>
      </c>
      <c r="D314" s="234" t="s">
        <v>694</v>
      </c>
      <c r="E314" s="235"/>
      <c r="F314" s="235" t="str">
        <f t="shared" si="270"/>
        <v>-</v>
      </c>
      <c r="G314" s="235" t="str">
        <f t="shared" si="271"/>
        <v>-</v>
      </c>
      <c r="H314" s="235"/>
      <c r="I314" s="236"/>
      <c r="J314" s="236"/>
      <c r="K314" s="241" t="str">
        <f ca="1">IF(Table1192[[#This Row],[VALID]],Table1192[[#This Row],[VALID]]-TODAY(),"-")</f>
        <v>-</v>
      </c>
      <c r="L314" s="244"/>
      <c r="M314" s="238"/>
      <c r="N314" s="237"/>
      <c r="O314" s="237"/>
      <c r="P314" s="237"/>
      <c r="Q314" s="250"/>
      <c r="R314" s="238"/>
      <c r="S314" s="237"/>
      <c r="T314" s="237"/>
      <c r="U314" s="237"/>
      <c r="V314" s="250"/>
      <c r="W314" s="239"/>
      <c r="X314" s="237"/>
      <c r="Y314" s="242"/>
      <c r="Z314" s="251"/>
      <c r="AA314" s="243"/>
      <c r="AB314" s="243"/>
      <c r="AC314" s="243"/>
      <c r="AD314" s="243"/>
      <c r="AE314" s="243"/>
      <c r="AF314" s="243"/>
      <c r="AG314" s="243"/>
      <c r="AH314" s="243"/>
      <c r="AI314" s="243"/>
      <c r="AJ314" s="251"/>
    </row>
    <row r="315" spans="1:36" ht="15" thickTop="1" thickBot="1" x14ac:dyDescent="0.35">
      <c r="A315" s="234"/>
      <c r="B315" s="234" t="s">
        <v>1262</v>
      </c>
      <c r="D315" s="234" t="s">
        <v>495</v>
      </c>
      <c r="E315" s="235"/>
      <c r="F315" s="235" t="str">
        <f t="shared" si="270"/>
        <v>-</v>
      </c>
      <c r="G315" s="235" t="str">
        <f t="shared" si="271"/>
        <v>-</v>
      </c>
      <c r="H315" s="235"/>
      <c r="I315" s="236"/>
      <c r="J315" s="236"/>
      <c r="K315" s="241" t="str">
        <f ca="1">IF(Table1192[[#This Row],[VALID]],Table1192[[#This Row],[VALID]]-TODAY(),"-")</f>
        <v>-</v>
      </c>
      <c r="L315" s="244"/>
      <c r="M315" s="238"/>
      <c r="N315" s="237"/>
      <c r="O315" s="237"/>
      <c r="P315" s="237"/>
      <c r="Q315" s="250"/>
      <c r="R315" s="238"/>
      <c r="S315" s="237"/>
      <c r="T315" s="237"/>
      <c r="U315" s="237"/>
      <c r="V315" s="250"/>
      <c r="W315" s="239"/>
      <c r="X315" s="237"/>
      <c r="Y315" s="242"/>
      <c r="Z315" s="251"/>
      <c r="AA315" s="243"/>
      <c r="AB315" s="243"/>
      <c r="AC315" s="243"/>
      <c r="AD315" s="243"/>
      <c r="AE315" s="243"/>
      <c r="AF315" s="243"/>
      <c r="AG315" s="243"/>
      <c r="AH315" s="243"/>
      <c r="AI315" s="243"/>
      <c r="AJ315" s="251"/>
    </row>
    <row r="316" spans="1:36" ht="15" thickTop="1" thickBot="1" x14ac:dyDescent="0.35">
      <c r="A316" s="234"/>
      <c r="B316" s="234" t="s">
        <v>1262</v>
      </c>
      <c r="D316" s="234" t="s">
        <v>502</v>
      </c>
      <c r="E316" s="235"/>
      <c r="F316" s="235" t="str">
        <f t="shared" si="270"/>
        <v>-</v>
      </c>
      <c r="G316" s="235" t="str">
        <f t="shared" si="271"/>
        <v>-</v>
      </c>
      <c r="H316" s="235"/>
      <c r="I316" s="236"/>
      <c r="J316" s="236"/>
      <c r="K316" s="241" t="str">
        <f ca="1">IF(Table1192[[#This Row],[VALID]],Table1192[[#This Row],[VALID]]-TODAY(),"-")</f>
        <v>-</v>
      </c>
      <c r="L316" s="244"/>
      <c r="M316" s="238"/>
      <c r="N316" s="237"/>
      <c r="O316" s="237"/>
      <c r="P316" s="237"/>
      <c r="Q316" s="250"/>
      <c r="R316" s="238"/>
      <c r="S316" s="237"/>
      <c r="T316" s="237"/>
      <c r="U316" s="237"/>
      <c r="V316" s="250"/>
      <c r="W316" s="239"/>
      <c r="X316" s="237"/>
      <c r="Y316" s="242"/>
      <c r="Z316" s="251"/>
      <c r="AA316" s="243"/>
      <c r="AB316" s="243"/>
      <c r="AC316" s="243"/>
      <c r="AD316" s="243"/>
      <c r="AE316" s="243"/>
      <c r="AF316" s="243"/>
      <c r="AG316" s="243"/>
      <c r="AH316" s="243"/>
      <c r="AI316" s="243"/>
      <c r="AJ316" s="251"/>
    </row>
    <row r="317" spans="1:36" ht="15" thickTop="1" thickBot="1" x14ac:dyDescent="0.35">
      <c r="A317" s="234"/>
      <c r="B317" s="234" t="s">
        <v>1262</v>
      </c>
      <c r="D317" s="234" t="s">
        <v>538</v>
      </c>
      <c r="E317" s="235"/>
      <c r="F317" s="235" t="str">
        <f t="shared" si="270"/>
        <v>-</v>
      </c>
      <c r="G317" s="235" t="str">
        <f t="shared" si="271"/>
        <v>-</v>
      </c>
      <c r="H317" s="235"/>
      <c r="I317" s="236"/>
      <c r="J317" s="236"/>
      <c r="K317" s="241" t="str">
        <f ca="1">IF(Table1192[[#This Row],[VALID]],Table1192[[#This Row],[VALID]]-TODAY(),"-")</f>
        <v>-</v>
      </c>
      <c r="L317" s="244"/>
      <c r="M317" s="238"/>
      <c r="N317" s="237"/>
      <c r="O317" s="237"/>
      <c r="P317" s="237"/>
      <c r="Q317" s="250"/>
      <c r="R317" s="238"/>
      <c r="S317" s="237"/>
      <c r="T317" s="237"/>
      <c r="U317" s="237"/>
      <c r="V317" s="250"/>
      <c r="W317" s="239"/>
      <c r="X317" s="237"/>
      <c r="Y317" s="242"/>
      <c r="Z317" s="251"/>
      <c r="AA317" s="243"/>
      <c r="AB317" s="243"/>
      <c r="AC317" s="243"/>
      <c r="AD317" s="243"/>
      <c r="AE317" s="243"/>
      <c r="AF317" s="243"/>
      <c r="AG317" s="243"/>
      <c r="AH317" s="243"/>
      <c r="AI317" s="243"/>
      <c r="AJ317" s="251"/>
    </row>
    <row r="318" spans="1:36" ht="15" thickTop="1" thickBot="1" x14ac:dyDescent="0.35">
      <c r="A318" s="234"/>
      <c r="B318" s="234" t="s">
        <v>1262</v>
      </c>
      <c r="D318" s="234" t="s">
        <v>540</v>
      </c>
      <c r="E318" s="235"/>
      <c r="F318" s="235" t="str">
        <f t="shared" si="270"/>
        <v>-</v>
      </c>
      <c r="G318" s="235" t="str">
        <f t="shared" si="271"/>
        <v>-</v>
      </c>
      <c r="H318" s="235"/>
      <c r="I318" s="236"/>
      <c r="J318" s="236"/>
      <c r="K318" s="241" t="str">
        <f ca="1">IF(Table1192[[#This Row],[VALID]],Table1192[[#This Row],[VALID]]-TODAY(),"-")</f>
        <v>-</v>
      </c>
      <c r="L318" s="244"/>
      <c r="M318" s="238"/>
      <c r="N318" s="237"/>
      <c r="O318" s="237"/>
      <c r="P318" s="237"/>
      <c r="Q318" s="250"/>
      <c r="R318" s="238"/>
      <c r="S318" s="237"/>
      <c r="T318" s="237"/>
      <c r="U318" s="237"/>
      <c r="V318" s="250"/>
      <c r="W318" s="239"/>
      <c r="X318" s="237"/>
      <c r="Y318" s="242"/>
      <c r="Z318" s="251"/>
      <c r="AA318" s="243"/>
      <c r="AB318" s="243"/>
      <c r="AC318" s="243"/>
      <c r="AD318" s="243"/>
      <c r="AE318" s="243"/>
      <c r="AF318" s="243"/>
      <c r="AG318" s="243"/>
      <c r="AH318" s="243"/>
      <c r="AI318" s="243"/>
      <c r="AJ318" s="251"/>
    </row>
    <row r="319" spans="1:36" ht="15" thickTop="1" thickBot="1" x14ac:dyDescent="0.35">
      <c r="A319" s="234"/>
      <c r="B319" s="234" t="s">
        <v>1262</v>
      </c>
      <c r="D319" s="234" t="s">
        <v>542</v>
      </c>
      <c r="E319" s="235"/>
      <c r="F319" s="235" t="str">
        <f t="shared" si="270"/>
        <v>-</v>
      </c>
      <c r="G319" s="235" t="str">
        <f t="shared" si="271"/>
        <v>-</v>
      </c>
      <c r="H319" s="235"/>
      <c r="I319" s="236"/>
      <c r="J319" s="236"/>
      <c r="K319" s="241" t="str">
        <f ca="1">IF(Table1192[[#This Row],[VALID]],Table1192[[#This Row],[VALID]]-TODAY(),"-")</f>
        <v>-</v>
      </c>
      <c r="L319" s="244"/>
      <c r="M319" s="238"/>
      <c r="N319" s="237"/>
      <c r="O319" s="237"/>
      <c r="P319" s="237"/>
      <c r="Q319" s="250"/>
      <c r="R319" s="238"/>
      <c r="S319" s="237"/>
      <c r="T319" s="237"/>
      <c r="U319" s="237"/>
      <c r="V319" s="250"/>
      <c r="W319" s="239"/>
      <c r="X319" s="237"/>
      <c r="Y319" s="242"/>
      <c r="Z319" s="251"/>
      <c r="AA319" s="243"/>
      <c r="AB319" s="243"/>
      <c r="AC319" s="243"/>
      <c r="AD319" s="243"/>
      <c r="AE319" s="243"/>
      <c r="AF319" s="243"/>
      <c r="AG319" s="243"/>
      <c r="AH319" s="243"/>
      <c r="AI319" s="243"/>
      <c r="AJ319" s="251"/>
    </row>
    <row r="320" spans="1:36" ht="15" thickTop="1" thickBot="1" x14ac:dyDescent="0.35">
      <c r="A320" s="234"/>
      <c r="B320" s="234" t="s">
        <v>1262</v>
      </c>
      <c r="D320" s="234" t="s">
        <v>1212</v>
      </c>
      <c r="E320" s="235"/>
      <c r="F320" s="235" t="str">
        <f t="shared" si="270"/>
        <v>-</v>
      </c>
      <c r="G320" s="235" t="str">
        <f t="shared" si="271"/>
        <v>-</v>
      </c>
      <c r="H320" s="235"/>
      <c r="I320" s="236"/>
      <c r="J320" s="236"/>
      <c r="K320" s="241" t="str">
        <f ca="1">IF(Table1192[[#This Row],[VALID]],Table1192[[#This Row],[VALID]]-TODAY(),"-")</f>
        <v>-</v>
      </c>
      <c r="L320" s="244"/>
      <c r="M320" s="238"/>
      <c r="N320" s="237"/>
      <c r="O320" s="237"/>
      <c r="P320" s="237"/>
      <c r="Q320" s="250"/>
      <c r="R320" s="238"/>
      <c r="S320" s="237"/>
      <c r="T320" s="237"/>
      <c r="U320" s="237"/>
      <c r="V320" s="250"/>
      <c r="W320" s="239"/>
      <c r="X320" s="237"/>
      <c r="Y320" s="242"/>
      <c r="Z320" s="251"/>
      <c r="AA320" s="243"/>
      <c r="AB320" s="243"/>
      <c r="AC320" s="243"/>
      <c r="AD320" s="243"/>
      <c r="AE320" s="243"/>
      <c r="AF320" s="243"/>
      <c r="AG320" s="243"/>
      <c r="AH320" s="243"/>
      <c r="AI320" s="243"/>
      <c r="AJ320" s="778"/>
    </row>
    <row r="321" spans="1:36" ht="15" thickTop="1" thickBot="1" x14ac:dyDescent="0.35">
      <c r="A321" s="234"/>
      <c r="B321" s="234" t="s">
        <v>1262</v>
      </c>
      <c r="D321" s="234" t="s">
        <v>602</v>
      </c>
      <c r="E321" s="235"/>
      <c r="F321" s="235" t="str">
        <f t="shared" si="270"/>
        <v>-</v>
      </c>
      <c r="G321" s="235" t="str">
        <f t="shared" si="271"/>
        <v>-</v>
      </c>
      <c r="H321" s="235"/>
      <c r="I321" s="236"/>
      <c r="J321" s="236"/>
      <c r="K321" s="241" t="str">
        <f ca="1">IF(Table1192[[#This Row],[VALID]],Table1192[[#This Row],[VALID]]-TODAY(),"-")</f>
        <v>-</v>
      </c>
      <c r="L321" s="244"/>
      <c r="M321" s="238"/>
      <c r="N321" s="237"/>
      <c r="O321" s="237"/>
      <c r="P321" s="237"/>
      <c r="Q321" s="250"/>
      <c r="R321" s="238"/>
      <c r="S321" s="237"/>
      <c r="T321" s="237"/>
      <c r="U321" s="237"/>
      <c r="V321" s="250"/>
      <c r="W321" s="239"/>
      <c r="X321" s="237"/>
      <c r="Y321" s="242"/>
      <c r="Z321" s="251"/>
      <c r="AA321" s="243"/>
      <c r="AB321" s="243"/>
      <c r="AC321" s="243"/>
      <c r="AD321" s="243"/>
      <c r="AE321" s="243"/>
      <c r="AF321" s="243"/>
      <c r="AG321" s="243"/>
      <c r="AH321" s="243"/>
      <c r="AI321" s="243"/>
      <c r="AJ321" s="251"/>
    </row>
    <row r="322" spans="1:36" ht="15" thickTop="1" thickBot="1" x14ac:dyDescent="0.35">
      <c r="A322" s="234"/>
      <c r="B322" s="234" t="s">
        <v>1238</v>
      </c>
      <c r="D322" s="234" t="s">
        <v>403</v>
      </c>
      <c r="E322" s="235"/>
      <c r="F322" s="235" t="str">
        <f t="shared" si="270"/>
        <v>-</v>
      </c>
      <c r="G322" s="235" t="str">
        <f t="shared" si="271"/>
        <v>-</v>
      </c>
      <c r="H322" s="235"/>
      <c r="I322" s="236"/>
      <c r="J322" s="236"/>
      <c r="K322" s="241" t="str">
        <f ca="1">IF(Table1192[[#This Row],[VALID]],Table1192[[#This Row],[VALID]]-TODAY(),"-")</f>
        <v>-</v>
      </c>
      <c r="L322" s="244"/>
      <c r="M322" s="238"/>
      <c r="N322" s="237"/>
      <c r="O322" s="237"/>
      <c r="P322" s="237"/>
      <c r="Q322" s="250"/>
      <c r="R322" s="238"/>
      <c r="S322" s="237"/>
      <c r="T322" s="237"/>
      <c r="U322" s="237"/>
      <c r="V322" s="250"/>
      <c r="W322" s="239"/>
      <c r="X322" s="237"/>
      <c r="Y322" s="242"/>
      <c r="Z322" s="251"/>
      <c r="AA322" s="243"/>
      <c r="AB322" s="243"/>
      <c r="AC322" s="243"/>
      <c r="AD322" s="243"/>
      <c r="AE322" s="243"/>
      <c r="AF322" s="243"/>
      <c r="AG322" s="243"/>
      <c r="AH322" s="243"/>
      <c r="AI322" s="243"/>
      <c r="AJ322" s="251"/>
    </row>
    <row r="323" spans="1:36" ht="15" thickTop="1" thickBot="1" x14ac:dyDescent="0.35">
      <c r="A323" s="234"/>
      <c r="B323" s="234" t="s">
        <v>1238</v>
      </c>
      <c r="D323" s="234" t="s">
        <v>545</v>
      </c>
      <c r="E323" s="235"/>
      <c r="F323" s="235" t="str">
        <f t="shared" si="270"/>
        <v>-</v>
      </c>
      <c r="G323" s="235" t="str">
        <f t="shared" si="271"/>
        <v>-</v>
      </c>
      <c r="H323" s="235"/>
      <c r="I323" s="236"/>
      <c r="J323" s="236"/>
      <c r="K323" s="241" t="str">
        <f ca="1">IF(Table1192[[#This Row],[VALID]],Table1192[[#This Row],[VALID]]-TODAY(),"-")</f>
        <v>-</v>
      </c>
      <c r="L323" s="244"/>
      <c r="M323" s="238"/>
      <c r="N323" s="237"/>
      <c r="O323" s="237"/>
      <c r="P323" s="237"/>
      <c r="Q323" s="250"/>
      <c r="R323" s="238"/>
      <c r="S323" s="237"/>
      <c r="T323" s="237"/>
      <c r="U323" s="237"/>
      <c r="V323" s="250"/>
      <c r="W323" s="239"/>
      <c r="X323" s="237"/>
      <c r="Y323" s="242"/>
      <c r="Z323" s="251"/>
      <c r="AA323" s="243"/>
      <c r="AB323" s="243"/>
      <c r="AC323" s="243"/>
      <c r="AD323" s="243"/>
      <c r="AE323" s="243"/>
      <c r="AF323" s="243"/>
      <c r="AG323" s="243"/>
      <c r="AH323" s="243"/>
      <c r="AI323" s="243"/>
      <c r="AJ323" s="251"/>
    </row>
    <row r="324" spans="1:36" ht="15" thickTop="1" thickBot="1" x14ac:dyDescent="0.35">
      <c r="A324" s="234"/>
      <c r="B324" s="234" t="s">
        <v>1238</v>
      </c>
      <c r="D324" s="234" t="s">
        <v>557</v>
      </c>
      <c r="E324" s="235"/>
      <c r="F324" s="235" t="str">
        <f t="shared" si="270"/>
        <v>-</v>
      </c>
      <c r="G324" s="235" t="str">
        <f t="shared" si="271"/>
        <v>-</v>
      </c>
      <c r="H324" s="235"/>
      <c r="I324" s="236"/>
      <c r="J324" s="236"/>
      <c r="K324" s="241" t="str">
        <f ca="1">IF(Table1192[[#This Row],[VALID]],Table1192[[#This Row],[VALID]]-TODAY(),"-")</f>
        <v>-</v>
      </c>
      <c r="L324" s="244"/>
      <c r="M324" s="238"/>
      <c r="N324" s="237"/>
      <c r="O324" s="237"/>
      <c r="P324" s="237"/>
      <c r="Q324" s="250"/>
      <c r="R324" s="238"/>
      <c r="S324" s="237"/>
      <c r="T324" s="237"/>
      <c r="U324" s="237"/>
      <c r="V324" s="250"/>
      <c r="W324" s="239"/>
      <c r="X324" s="237"/>
      <c r="Y324" s="242"/>
      <c r="Z324" s="251"/>
      <c r="AA324" s="243"/>
      <c r="AB324" s="243"/>
      <c r="AC324" s="243"/>
      <c r="AD324" s="243"/>
      <c r="AE324" s="243"/>
      <c r="AF324" s="243"/>
      <c r="AG324" s="243"/>
      <c r="AH324" s="243"/>
      <c r="AI324" s="243"/>
      <c r="AJ324" s="251"/>
    </row>
    <row r="325" spans="1:36" ht="15" thickTop="1" thickBot="1" x14ac:dyDescent="0.35">
      <c r="A325" s="234"/>
      <c r="B325" s="234" t="s">
        <v>1238</v>
      </c>
      <c r="D325" s="234" t="s">
        <v>697</v>
      </c>
      <c r="E325" s="235"/>
      <c r="F325" s="235" t="str">
        <f t="shared" ref="F325:F402" si="274">IF(M325,SUM(M325:P325,W325:X325),"-")</f>
        <v>-</v>
      </c>
      <c r="G325" s="235" t="str">
        <f t="shared" ref="G325:G402" si="275">IF(R325,SUM(R325:U325,W325:X325),"-")</f>
        <v>-</v>
      </c>
      <c r="H325" s="235"/>
      <c r="I325" s="236"/>
      <c r="J325" s="236"/>
      <c r="K325" s="241" t="str">
        <f ca="1">IF(Table1192[[#This Row],[VALID]],Table1192[[#This Row],[VALID]]-TODAY(),"-")</f>
        <v>-</v>
      </c>
      <c r="L325" s="244"/>
      <c r="M325" s="238"/>
      <c r="N325" s="237"/>
      <c r="O325" s="237"/>
      <c r="P325" s="237"/>
      <c r="Q325" s="250"/>
      <c r="R325" s="238"/>
      <c r="S325" s="237"/>
      <c r="T325" s="237"/>
      <c r="U325" s="237"/>
      <c r="V325" s="250"/>
      <c r="W325" s="239"/>
      <c r="X325" s="237"/>
      <c r="Y325" s="242"/>
      <c r="Z325" s="251"/>
      <c r="AA325" s="243"/>
      <c r="AB325" s="243"/>
      <c r="AC325" s="243"/>
      <c r="AD325" s="243"/>
      <c r="AE325" s="243"/>
      <c r="AF325" s="243"/>
      <c r="AG325" s="243"/>
      <c r="AH325" s="243"/>
      <c r="AI325" s="243"/>
      <c r="AJ325" s="251"/>
    </row>
    <row r="326" spans="1:36" ht="15" thickTop="1" thickBot="1" x14ac:dyDescent="0.35">
      <c r="A326" s="234"/>
      <c r="B326" s="234" t="s">
        <v>1305</v>
      </c>
      <c r="D326" s="234" t="s">
        <v>487</v>
      </c>
      <c r="E326" s="235"/>
      <c r="F326" s="235" t="str">
        <f t="shared" si="274"/>
        <v>-</v>
      </c>
      <c r="G326" s="235" t="str">
        <f t="shared" si="275"/>
        <v>-</v>
      </c>
      <c r="H326" s="235"/>
      <c r="I326" s="236"/>
      <c r="J326" s="236"/>
      <c r="K326" s="241" t="str">
        <f ca="1">IF(Table1192[[#This Row],[VALID]],Table1192[[#This Row],[VALID]]-TODAY(),"-")</f>
        <v>-</v>
      </c>
      <c r="L326" s="244"/>
      <c r="M326" s="238"/>
      <c r="N326" s="237"/>
      <c r="O326" s="237"/>
      <c r="P326" s="237"/>
      <c r="Q326" s="250"/>
      <c r="R326" s="238"/>
      <c r="S326" s="237"/>
      <c r="T326" s="237"/>
      <c r="U326" s="237"/>
      <c r="V326" s="250"/>
      <c r="W326" s="239"/>
      <c r="X326" s="237"/>
      <c r="Y326" s="242"/>
      <c r="Z326" s="251"/>
      <c r="AA326" s="243"/>
      <c r="AB326" s="243"/>
      <c r="AC326" s="243"/>
      <c r="AD326" s="243"/>
      <c r="AE326" s="243"/>
      <c r="AF326" s="243"/>
      <c r="AG326" s="243"/>
      <c r="AH326" s="243"/>
      <c r="AI326" s="776"/>
      <c r="AJ326" s="251"/>
    </row>
    <row r="327" spans="1:36" ht="15" thickTop="1" thickBot="1" x14ac:dyDescent="0.35">
      <c r="A327" s="234"/>
      <c r="B327" s="234" t="s">
        <v>1305</v>
      </c>
      <c r="D327" s="234" t="s">
        <v>577</v>
      </c>
      <c r="E327" s="235"/>
      <c r="F327" s="235" t="str">
        <f t="shared" si="274"/>
        <v>-</v>
      </c>
      <c r="G327" s="235" t="str">
        <f t="shared" si="275"/>
        <v>-</v>
      </c>
      <c r="H327" s="235"/>
      <c r="I327" s="236"/>
      <c r="J327" s="236"/>
      <c r="K327" s="241" t="str">
        <f ca="1">IF(Table1192[[#This Row],[VALID]],Table1192[[#This Row],[VALID]]-TODAY(),"-")</f>
        <v>-</v>
      </c>
      <c r="L327" s="244"/>
      <c r="M327" s="238"/>
      <c r="N327" s="237"/>
      <c r="O327" s="237"/>
      <c r="P327" s="237"/>
      <c r="Q327" s="250"/>
      <c r="R327" s="238"/>
      <c r="S327" s="237"/>
      <c r="T327" s="237"/>
      <c r="U327" s="237"/>
      <c r="V327" s="250"/>
      <c r="W327" s="239"/>
      <c r="X327" s="237"/>
      <c r="Y327" s="242"/>
      <c r="Z327" s="251"/>
      <c r="AA327" s="243"/>
      <c r="AB327" s="243"/>
      <c r="AC327" s="243"/>
      <c r="AD327" s="243"/>
      <c r="AE327" s="243"/>
      <c r="AF327" s="243"/>
      <c r="AG327" s="243"/>
      <c r="AH327" s="243"/>
      <c r="AI327" s="243"/>
      <c r="AJ327" s="251"/>
    </row>
    <row r="328" spans="1:36" ht="15" thickTop="1" thickBot="1" x14ac:dyDescent="0.35">
      <c r="A328" s="234"/>
      <c r="B328" s="234" t="s">
        <v>1305</v>
      </c>
      <c r="D328" s="234" t="s">
        <v>580</v>
      </c>
      <c r="E328" s="235"/>
      <c r="F328" s="235" t="str">
        <f t="shared" si="274"/>
        <v>-</v>
      </c>
      <c r="G328" s="235" t="str">
        <f t="shared" si="275"/>
        <v>-</v>
      </c>
      <c r="H328" s="235"/>
      <c r="I328" s="236"/>
      <c r="J328" s="236"/>
      <c r="K328" s="241" t="str">
        <f ca="1">IF(Table1192[[#This Row],[VALID]],Table1192[[#This Row],[VALID]]-TODAY(),"-")</f>
        <v>-</v>
      </c>
      <c r="L328" s="244"/>
      <c r="M328" s="238"/>
      <c r="N328" s="237"/>
      <c r="O328" s="237"/>
      <c r="P328" s="237"/>
      <c r="Q328" s="250"/>
      <c r="R328" s="238"/>
      <c r="S328" s="237"/>
      <c r="T328" s="237"/>
      <c r="U328" s="237"/>
      <c r="V328" s="250"/>
      <c r="W328" s="239"/>
      <c r="X328" s="237"/>
      <c r="Y328" s="242"/>
      <c r="Z328" s="251"/>
      <c r="AA328" s="243"/>
      <c r="AB328" s="243"/>
      <c r="AC328" s="243"/>
      <c r="AD328" s="243"/>
      <c r="AE328" s="243"/>
      <c r="AF328" s="243"/>
      <c r="AG328" s="243"/>
      <c r="AH328" s="243"/>
      <c r="AI328" s="243"/>
      <c r="AJ328" s="251"/>
    </row>
    <row r="329" spans="1:36" ht="15" thickTop="1" thickBot="1" x14ac:dyDescent="0.35">
      <c r="A329" s="234"/>
      <c r="B329" s="234" t="s">
        <v>1305</v>
      </c>
      <c r="D329" s="234" t="s">
        <v>712</v>
      </c>
      <c r="E329" s="235"/>
      <c r="F329" s="235" t="str">
        <f t="shared" si="274"/>
        <v>-</v>
      </c>
      <c r="G329" s="235" t="str">
        <f t="shared" si="275"/>
        <v>-</v>
      </c>
      <c r="H329" s="235"/>
      <c r="I329" s="236"/>
      <c r="J329" s="236"/>
      <c r="K329" s="241" t="str">
        <f ca="1">IF(Table1192[[#This Row],[VALID]],Table1192[[#This Row],[VALID]]-TODAY(),"-")</f>
        <v>-</v>
      </c>
      <c r="L329" s="244"/>
      <c r="M329" s="238"/>
      <c r="N329" s="237"/>
      <c r="O329" s="237"/>
      <c r="P329" s="237"/>
      <c r="Q329" s="250"/>
      <c r="R329" s="238"/>
      <c r="S329" s="237"/>
      <c r="T329" s="237"/>
      <c r="U329" s="237"/>
      <c r="V329" s="250"/>
      <c r="W329" s="239"/>
      <c r="X329" s="237"/>
      <c r="Y329" s="242"/>
      <c r="Z329" s="251"/>
      <c r="AA329" s="243"/>
      <c r="AB329" s="243"/>
      <c r="AC329" s="243"/>
      <c r="AD329" s="243"/>
      <c r="AE329" s="243"/>
      <c r="AF329" s="243"/>
      <c r="AG329" s="243"/>
      <c r="AH329" s="243"/>
      <c r="AI329" s="243"/>
      <c r="AJ329" s="251"/>
    </row>
    <row r="330" spans="1:36" ht="15" thickTop="1" thickBot="1" x14ac:dyDescent="0.35">
      <c r="A330" s="234"/>
      <c r="B330" s="234" t="s">
        <v>1286</v>
      </c>
      <c r="D330" s="234" t="s">
        <v>611</v>
      </c>
      <c r="E330" s="235"/>
      <c r="F330" s="235" t="str">
        <f t="shared" si="274"/>
        <v>-</v>
      </c>
      <c r="G330" s="235" t="str">
        <f t="shared" si="275"/>
        <v>-</v>
      </c>
      <c r="H330" s="235"/>
      <c r="I330" s="236"/>
      <c r="J330" s="236"/>
      <c r="K330" s="241" t="str">
        <f ca="1">IF(Table1192[[#This Row],[VALID]],Table1192[[#This Row],[VALID]]-TODAY(),"-")</f>
        <v>-</v>
      </c>
      <c r="L330" s="244"/>
      <c r="M330" s="238"/>
      <c r="N330" s="237"/>
      <c r="O330" s="237"/>
      <c r="P330" s="237"/>
      <c r="Q330" s="250"/>
      <c r="R330" s="238"/>
      <c r="S330" s="237"/>
      <c r="T330" s="237"/>
      <c r="U330" s="237"/>
      <c r="V330" s="250"/>
      <c r="W330" s="239"/>
      <c r="X330" s="237"/>
      <c r="Y330" s="242"/>
      <c r="Z330" s="251"/>
      <c r="AA330" s="243"/>
      <c r="AB330" s="243"/>
      <c r="AC330" s="243"/>
      <c r="AD330" s="243"/>
      <c r="AE330" s="243"/>
      <c r="AF330" s="243"/>
      <c r="AG330" s="243"/>
      <c r="AH330" s="243"/>
      <c r="AI330" s="243"/>
      <c r="AJ330" s="251"/>
    </row>
    <row r="331" spans="1:36" ht="15" thickTop="1" thickBot="1" x14ac:dyDescent="0.35">
      <c r="A331" s="234"/>
      <c r="B331" s="234" t="s">
        <v>1286</v>
      </c>
      <c r="D331" s="234" t="s">
        <v>630</v>
      </c>
      <c r="E331" s="235"/>
      <c r="F331" s="235" t="str">
        <f t="shared" si="274"/>
        <v>-</v>
      </c>
      <c r="G331" s="235" t="str">
        <f t="shared" si="275"/>
        <v>-</v>
      </c>
      <c r="H331" s="235"/>
      <c r="I331" s="236"/>
      <c r="J331" s="236"/>
      <c r="K331" s="241" t="str">
        <f ca="1">IF(Table1192[[#This Row],[VALID]],Table1192[[#This Row],[VALID]]-TODAY(),"-")</f>
        <v>-</v>
      </c>
      <c r="L331" s="244"/>
      <c r="M331" s="238"/>
      <c r="N331" s="237"/>
      <c r="O331" s="237"/>
      <c r="P331" s="237"/>
      <c r="Q331" s="250"/>
      <c r="R331" s="238"/>
      <c r="S331" s="237"/>
      <c r="T331" s="237"/>
      <c r="U331" s="237"/>
      <c r="V331" s="250"/>
      <c r="W331" s="239"/>
      <c r="X331" s="237"/>
      <c r="Y331" s="242"/>
      <c r="Z331" s="251"/>
      <c r="AA331" s="243"/>
      <c r="AB331" s="243"/>
      <c r="AC331" s="243"/>
      <c r="AD331" s="243"/>
      <c r="AE331" s="243"/>
      <c r="AF331" s="243"/>
      <c r="AG331" s="243"/>
      <c r="AH331" s="243"/>
      <c r="AI331" s="243"/>
      <c r="AJ331" s="251"/>
    </row>
    <row r="332" spans="1:36" ht="15" thickTop="1" thickBot="1" x14ac:dyDescent="0.35">
      <c r="A332" s="234"/>
      <c r="B332" s="234" t="s">
        <v>1306</v>
      </c>
      <c r="D332" s="234" t="s">
        <v>886</v>
      </c>
      <c r="E332" s="235"/>
      <c r="F332" s="235" t="str">
        <f t="shared" si="274"/>
        <v>-</v>
      </c>
      <c r="G332" s="235" t="str">
        <f t="shared" si="275"/>
        <v>-</v>
      </c>
      <c r="H332" s="235"/>
      <c r="I332" s="236"/>
      <c r="J332" s="236"/>
      <c r="K332" s="241" t="str">
        <f ca="1">IF(Table1192[[#This Row],[VALID]],Table1192[[#This Row],[VALID]]-TODAY(),"-")</f>
        <v>-</v>
      </c>
      <c r="L332" s="244"/>
      <c r="M332" s="238"/>
      <c r="N332" s="237"/>
      <c r="O332" s="237"/>
      <c r="P332" s="237"/>
      <c r="Q332" s="250"/>
      <c r="R332" s="238"/>
      <c r="S332" s="237"/>
      <c r="T332" s="237"/>
      <c r="U332" s="237"/>
      <c r="V332" s="250"/>
      <c r="W332" s="239"/>
      <c r="X332" s="237"/>
      <c r="Y332" s="242"/>
      <c r="Z332" s="251"/>
      <c r="AA332" s="243"/>
      <c r="AB332" s="243"/>
      <c r="AC332" s="243"/>
      <c r="AD332" s="243"/>
      <c r="AE332" s="243"/>
      <c r="AF332" s="243"/>
      <c r="AG332" s="243"/>
      <c r="AH332" s="243"/>
      <c r="AI332" s="243"/>
      <c r="AJ332" s="251"/>
    </row>
    <row r="333" spans="1:36" ht="15" thickTop="1" thickBot="1" x14ac:dyDescent="0.35">
      <c r="A333" s="234"/>
      <c r="B333" s="234" t="s">
        <v>1306</v>
      </c>
      <c r="D333" s="234" t="s">
        <v>887</v>
      </c>
      <c r="E333" s="235"/>
      <c r="F333" s="235" t="str">
        <f t="shared" si="274"/>
        <v>-</v>
      </c>
      <c r="G333" s="235" t="str">
        <f t="shared" si="275"/>
        <v>-</v>
      </c>
      <c r="H333" s="235"/>
      <c r="I333" s="236"/>
      <c r="J333" s="236"/>
      <c r="K333" s="241" t="str">
        <f ca="1">IF(Table1192[[#This Row],[VALID]],Table1192[[#This Row],[VALID]]-TODAY(),"-")</f>
        <v>-</v>
      </c>
      <c r="L333" s="244"/>
      <c r="M333" s="238"/>
      <c r="N333" s="237"/>
      <c r="O333" s="237"/>
      <c r="P333" s="237"/>
      <c r="Q333" s="250"/>
      <c r="R333" s="238"/>
      <c r="S333" s="237"/>
      <c r="T333" s="237"/>
      <c r="U333" s="237"/>
      <c r="V333" s="250"/>
      <c r="W333" s="239"/>
      <c r="X333" s="237"/>
      <c r="Y333" s="242"/>
      <c r="Z333" s="251"/>
      <c r="AA333" s="243"/>
      <c r="AB333" s="243"/>
      <c r="AC333" s="243"/>
      <c r="AD333" s="243"/>
      <c r="AE333" s="243"/>
      <c r="AF333" s="243"/>
      <c r="AG333" s="243"/>
      <c r="AH333" s="243"/>
      <c r="AI333" s="243"/>
      <c r="AJ333" s="251"/>
    </row>
    <row r="334" spans="1:36" ht="15" thickTop="1" thickBot="1" x14ac:dyDescent="0.35">
      <c r="A334" s="234"/>
      <c r="B334" s="234" t="s">
        <v>1306</v>
      </c>
      <c r="D334" s="234" t="s">
        <v>890</v>
      </c>
      <c r="E334" s="235"/>
      <c r="F334" s="235" t="str">
        <f t="shared" si="274"/>
        <v>-</v>
      </c>
      <c r="G334" s="235" t="str">
        <f t="shared" si="275"/>
        <v>-</v>
      </c>
      <c r="H334" s="235"/>
      <c r="I334" s="236"/>
      <c r="J334" s="236"/>
      <c r="K334" s="241" t="str">
        <f ca="1">IF(Table1192[[#This Row],[VALID]],Table1192[[#This Row],[VALID]]-TODAY(),"-")</f>
        <v>-</v>
      </c>
      <c r="L334" s="244"/>
      <c r="M334" s="238"/>
      <c r="N334" s="237"/>
      <c r="O334" s="237"/>
      <c r="P334" s="237"/>
      <c r="Q334" s="250"/>
      <c r="R334" s="238"/>
      <c r="S334" s="237"/>
      <c r="T334" s="237"/>
      <c r="U334" s="237"/>
      <c r="V334" s="250"/>
      <c r="W334" s="239"/>
      <c r="X334" s="237"/>
      <c r="Y334" s="242"/>
      <c r="Z334" s="251"/>
      <c r="AA334" s="243"/>
      <c r="AB334" s="243"/>
      <c r="AC334" s="243"/>
      <c r="AD334" s="243"/>
      <c r="AE334" s="243"/>
      <c r="AF334" s="243"/>
      <c r="AG334" s="243"/>
      <c r="AH334" s="243"/>
      <c r="AI334" s="243"/>
      <c r="AJ334" s="251"/>
    </row>
    <row r="335" spans="1:36" ht="15" thickTop="1" thickBot="1" x14ac:dyDescent="0.35">
      <c r="A335" s="234"/>
      <c r="B335" s="234" t="s">
        <v>1306</v>
      </c>
      <c r="D335" s="234" t="s">
        <v>898</v>
      </c>
      <c r="E335" s="235"/>
      <c r="F335" s="235" t="str">
        <f t="shared" si="274"/>
        <v>-</v>
      </c>
      <c r="G335" s="235" t="str">
        <f t="shared" si="275"/>
        <v>-</v>
      </c>
      <c r="H335" s="235"/>
      <c r="I335" s="236"/>
      <c r="J335" s="236"/>
      <c r="K335" s="241" t="str">
        <f ca="1">IF(Table1192[[#This Row],[VALID]],Table1192[[#This Row],[VALID]]-TODAY(),"-")</f>
        <v>-</v>
      </c>
      <c r="L335" s="244"/>
      <c r="M335" s="238"/>
      <c r="N335" s="237"/>
      <c r="O335" s="237"/>
      <c r="P335" s="237"/>
      <c r="Q335" s="250"/>
      <c r="R335" s="238"/>
      <c r="S335" s="237"/>
      <c r="T335" s="237"/>
      <c r="U335" s="237"/>
      <c r="V335" s="250"/>
      <c r="W335" s="239"/>
      <c r="X335" s="237"/>
      <c r="Y335" s="242"/>
      <c r="Z335" s="251"/>
      <c r="AA335" s="243"/>
      <c r="AB335" s="243"/>
      <c r="AC335" s="243"/>
      <c r="AD335" s="243"/>
      <c r="AE335" s="243"/>
      <c r="AF335" s="243"/>
      <c r="AG335" s="243"/>
      <c r="AH335" s="243"/>
      <c r="AI335" s="243"/>
      <c r="AJ335" s="251"/>
    </row>
    <row r="336" spans="1:36" ht="15" thickTop="1" thickBot="1" x14ac:dyDescent="0.35">
      <c r="A336" s="234"/>
      <c r="B336" s="234" t="s">
        <v>1306</v>
      </c>
      <c r="D336" s="234" t="s">
        <v>900</v>
      </c>
      <c r="E336" s="235"/>
      <c r="F336" s="235" t="str">
        <f t="shared" si="274"/>
        <v>-</v>
      </c>
      <c r="G336" s="235" t="str">
        <f t="shared" si="275"/>
        <v>-</v>
      </c>
      <c r="H336" s="235"/>
      <c r="I336" s="236"/>
      <c r="J336" s="236"/>
      <c r="K336" s="241" t="str">
        <f ca="1">IF(Table1192[[#This Row],[VALID]],Table1192[[#This Row],[VALID]]-TODAY(),"-")</f>
        <v>-</v>
      </c>
      <c r="L336" s="244"/>
      <c r="M336" s="238"/>
      <c r="N336" s="237"/>
      <c r="O336" s="237"/>
      <c r="P336" s="237"/>
      <c r="Q336" s="250"/>
      <c r="R336" s="238"/>
      <c r="S336" s="237"/>
      <c r="T336" s="237"/>
      <c r="U336" s="237"/>
      <c r="V336" s="250"/>
      <c r="W336" s="239"/>
      <c r="X336" s="237"/>
      <c r="Y336" s="242"/>
      <c r="Z336" s="251"/>
      <c r="AA336" s="243"/>
      <c r="AB336" s="243"/>
      <c r="AC336" s="243"/>
      <c r="AD336" s="243"/>
      <c r="AE336" s="243"/>
      <c r="AF336" s="243"/>
      <c r="AG336" s="243"/>
      <c r="AH336" s="243"/>
      <c r="AI336" s="243"/>
      <c r="AJ336" s="251"/>
    </row>
    <row r="337" spans="1:36" ht="15" thickTop="1" thickBot="1" x14ac:dyDescent="0.35">
      <c r="A337" s="234"/>
      <c r="B337" s="234" t="s">
        <v>1306</v>
      </c>
      <c r="D337" s="234" t="s">
        <v>1190</v>
      </c>
      <c r="E337" s="235"/>
      <c r="F337" s="235" t="str">
        <f t="shared" si="274"/>
        <v>-</v>
      </c>
      <c r="G337" s="235" t="str">
        <f t="shared" si="275"/>
        <v>-</v>
      </c>
      <c r="H337" s="235"/>
      <c r="I337" s="236"/>
      <c r="J337" s="236"/>
      <c r="K337" s="241" t="str">
        <f ca="1">IF(Table1192[[#This Row],[VALID]],Table1192[[#This Row],[VALID]]-TODAY(),"-")</f>
        <v>-</v>
      </c>
      <c r="L337" s="244"/>
      <c r="M337" s="238"/>
      <c r="N337" s="237"/>
      <c r="O337" s="237"/>
      <c r="P337" s="237"/>
      <c r="Q337" s="250"/>
      <c r="R337" s="238"/>
      <c r="S337" s="237"/>
      <c r="T337" s="237"/>
      <c r="U337" s="237"/>
      <c r="V337" s="250"/>
      <c r="W337" s="239"/>
      <c r="X337" s="237"/>
      <c r="Y337" s="242"/>
      <c r="Z337" s="251"/>
      <c r="AA337" s="243"/>
      <c r="AB337" s="243"/>
      <c r="AC337" s="243"/>
      <c r="AD337" s="243"/>
      <c r="AE337" s="243"/>
      <c r="AF337" s="243"/>
      <c r="AG337" s="243"/>
      <c r="AH337" s="243"/>
      <c r="AI337" s="243"/>
      <c r="AJ337" s="251"/>
    </row>
    <row r="338" spans="1:36" ht="15" thickTop="1" thickBot="1" x14ac:dyDescent="0.35">
      <c r="A338" s="234"/>
      <c r="B338" s="234" t="s">
        <v>1306</v>
      </c>
      <c r="D338" s="234" t="s">
        <v>1191</v>
      </c>
      <c r="E338" s="235"/>
      <c r="F338" s="235" t="str">
        <f t="shared" si="274"/>
        <v>-</v>
      </c>
      <c r="G338" s="235" t="str">
        <f t="shared" si="275"/>
        <v>-</v>
      </c>
      <c r="H338" s="235"/>
      <c r="I338" s="236"/>
      <c r="J338" s="236"/>
      <c r="K338" s="241" t="str">
        <f ca="1">IF(Table1192[[#This Row],[VALID]],Table1192[[#This Row],[VALID]]-TODAY(),"-")</f>
        <v>-</v>
      </c>
      <c r="L338" s="244"/>
      <c r="M338" s="238"/>
      <c r="N338" s="237"/>
      <c r="O338" s="237"/>
      <c r="P338" s="237"/>
      <c r="Q338" s="250"/>
      <c r="R338" s="238"/>
      <c r="S338" s="237"/>
      <c r="T338" s="237"/>
      <c r="U338" s="237"/>
      <c r="V338" s="250"/>
      <c r="W338" s="239"/>
      <c r="X338" s="237"/>
      <c r="Y338" s="242"/>
      <c r="Z338" s="251"/>
      <c r="AA338" s="243"/>
      <c r="AB338" s="243"/>
      <c r="AC338" s="243"/>
      <c r="AD338" s="243"/>
      <c r="AE338" s="243"/>
      <c r="AF338" s="243"/>
      <c r="AG338" s="243"/>
      <c r="AH338" s="243"/>
      <c r="AI338" s="243"/>
      <c r="AJ338" s="251"/>
    </row>
    <row r="339" spans="1:36" ht="15" thickTop="1" thickBot="1" x14ac:dyDescent="0.35">
      <c r="A339" s="234"/>
      <c r="B339" s="234" t="s">
        <v>1306</v>
      </c>
      <c r="D339" s="234" t="s">
        <v>888</v>
      </c>
      <c r="E339" s="235"/>
      <c r="F339" s="235" t="str">
        <f t="shared" si="274"/>
        <v>-</v>
      </c>
      <c r="G339" s="235" t="str">
        <f t="shared" si="275"/>
        <v>-</v>
      </c>
      <c r="H339" s="235"/>
      <c r="I339" s="236"/>
      <c r="J339" s="236"/>
      <c r="K339" s="241" t="str">
        <f ca="1">IF(Table1192[[#This Row],[VALID]],Table1192[[#This Row],[VALID]]-TODAY(),"-")</f>
        <v>-</v>
      </c>
      <c r="L339" s="244"/>
      <c r="M339" s="238"/>
      <c r="N339" s="237"/>
      <c r="O339" s="237"/>
      <c r="P339" s="237"/>
      <c r="Q339" s="250"/>
      <c r="R339" s="238"/>
      <c r="S339" s="237"/>
      <c r="T339" s="237"/>
      <c r="U339" s="237"/>
      <c r="V339" s="250"/>
      <c r="W339" s="239"/>
      <c r="X339" s="237"/>
      <c r="Y339" s="242"/>
      <c r="Z339" s="251"/>
      <c r="AA339" s="243"/>
      <c r="AB339" s="243"/>
      <c r="AC339" s="243"/>
      <c r="AD339" s="243"/>
      <c r="AE339" s="243"/>
      <c r="AF339" s="243"/>
      <c r="AG339" s="243"/>
      <c r="AH339" s="243"/>
      <c r="AI339" s="243"/>
      <c r="AJ339" s="251"/>
    </row>
    <row r="340" spans="1:36" ht="15" thickTop="1" thickBot="1" x14ac:dyDescent="0.35">
      <c r="A340" s="234"/>
      <c r="B340" s="234" t="s">
        <v>1306</v>
      </c>
      <c r="D340" s="234" t="s">
        <v>888</v>
      </c>
      <c r="E340" s="235"/>
      <c r="F340" s="235" t="str">
        <f t="shared" si="274"/>
        <v>-</v>
      </c>
      <c r="G340" s="235" t="str">
        <f t="shared" si="275"/>
        <v>-</v>
      </c>
      <c r="H340" s="235"/>
      <c r="I340" s="236"/>
      <c r="J340" s="236"/>
      <c r="K340" s="241" t="str">
        <f ca="1">IF(Table1192[[#This Row],[VALID]],Table1192[[#This Row],[VALID]]-TODAY(),"-")</f>
        <v>-</v>
      </c>
      <c r="L340" s="244"/>
      <c r="M340" s="238"/>
      <c r="N340" s="237"/>
      <c r="O340" s="237"/>
      <c r="P340" s="237"/>
      <c r="Q340" s="250"/>
      <c r="R340" s="238"/>
      <c r="S340" s="237"/>
      <c r="T340" s="237"/>
      <c r="U340" s="237"/>
      <c r="V340" s="250"/>
      <c r="W340" s="239"/>
      <c r="X340" s="237"/>
      <c r="Y340" s="242"/>
      <c r="Z340" s="251"/>
      <c r="AA340" s="243"/>
      <c r="AB340" s="243"/>
      <c r="AC340" s="243"/>
      <c r="AD340" s="243"/>
      <c r="AE340" s="243"/>
      <c r="AF340" s="243"/>
      <c r="AG340" s="243"/>
      <c r="AH340" s="243"/>
      <c r="AI340" s="243"/>
      <c r="AJ340" s="251"/>
    </row>
    <row r="341" spans="1:36" ht="15" thickTop="1" thickBot="1" x14ac:dyDescent="0.35">
      <c r="A341" s="234"/>
      <c r="B341" s="234" t="s">
        <v>1306</v>
      </c>
      <c r="D341" s="234" t="s">
        <v>888</v>
      </c>
      <c r="E341" s="235"/>
      <c r="F341" s="235" t="str">
        <f t="shared" si="274"/>
        <v>-</v>
      </c>
      <c r="G341" s="235" t="str">
        <f t="shared" si="275"/>
        <v>-</v>
      </c>
      <c r="H341" s="235"/>
      <c r="I341" s="236"/>
      <c r="J341" s="236"/>
      <c r="K341" s="241" t="str">
        <f ca="1">IF(Table1192[[#This Row],[VALID]],Table1192[[#This Row],[VALID]]-TODAY(),"-")</f>
        <v>-</v>
      </c>
      <c r="L341" s="244"/>
      <c r="M341" s="238"/>
      <c r="N341" s="237"/>
      <c r="O341" s="237"/>
      <c r="P341" s="237"/>
      <c r="Q341" s="250"/>
      <c r="R341" s="238"/>
      <c r="S341" s="237"/>
      <c r="T341" s="237"/>
      <c r="U341" s="237"/>
      <c r="V341" s="250"/>
      <c r="W341" s="239"/>
      <c r="X341" s="237"/>
      <c r="Y341" s="242"/>
      <c r="Z341" s="251"/>
      <c r="AA341" s="243"/>
      <c r="AB341" s="243"/>
      <c r="AC341" s="243"/>
      <c r="AD341" s="243"/>
      <c r="AE341" s="243"/>
      <c r="AF341" s="243"/>
      <c r="AG341" s="243"/>
      <c r="AH341" s="243"/>
      <c r="AI341" s="776"/>
      <c r="AJ341" s="251"/>
    </row>
    <row r="342" spans="1:36" ht="15" thickTop="1" thickBot="1" x14ac:dyDescent="0.35">
      <c r="A342" s="234"/>
      <c r="B342" s="234" t="s">
        <v>1306</v>
      </c>
      <c r="D342" s="234" t="s">
        <v>888</v>
      </c>
      <c r="E342" s="235"/>
      <c r="F342" s="235" t="str">
        <f t="shared" si="274"/>
        <v>-</v>
      </c>
      <c r="G342" s="235" t="str">
        <f t="shared" si="275"/>
        <v>-</v>
      </c>
      <c r="H342" s="235"/>
      <c r="I342" s="236"/>
      <c r="J342" s="236"/>
      <c r="K342" s="241" t="str">
        <f ca="1">IF(Table1192[[#This Row],[VALID]],Table1192[[#This Row],[VALID]]-TODAY(),"-")</f>
        <v>-</v>
      </c>
      <c r="L342" s="244"/>
      <c r="M342" s="238"/>
      <c r="N342" s="237"/>
      <c r="O342" s="237"/>
      <c r="P342" s="237"/>
      <c r="Q342" s="250"/>
      <c r="R342" s="238"/>
      <c r="S342" s="237"/>
      <c r="T342" s="237"/>
      <c r="U342" s="237"/>
      <c r="V342" s="250"/>
      <c r="W342" s="239"/>
      <c r="X342" s="237"/>
      <c r="Y342" s="242"/>
      <c r="Z342" s="251"/>
      <c r="AA342" s="243"/>
      <c r="AB342" s="243"/>
      <c r="AC342" s="243"/>
      <c r="AD342" s="243"/>
      <c r="AE342" s="243"/>
      <c r="AF342" s="243"/>
      <c r="AG342" s="243"/>
      <c r="AH342" s="243"/>
      <c r="AI342" s="243"/>
      <c r="AJ342" s="251"/>
    </row>
    <row r="343" spans="1:36" ht="15" thickTop="1" thickBot="1" x14ac:dyDescent="0.35">
      <c r="A343" s="234" t="s">
        <v>1319</v>
      </c>
      <c r="B343" s="234" t="s">
        <v>1306</v>
      </c>
      <c r="C343" s="234" t="s">
        <v>53</v>
      </c>
      <c r="D343" s="234" t="s">
        <v>888</v>
      </c>
      <c r="E343" s="235" t="s">
        <v>3</v>
      </c>
      <c r="F343" s="235">
        <f>IF(M343,SUM(M343:P343,W343:X343),"-")</f>
        <v>1459.05</v>
      </c>
      <c r="G343" s="235">
        <f>IF(R343,SUM(R343:U343,W343:X343),"-")</f>
        <v>1523.1</v>
      </c>
      <c r="H343" s="235" t="s">
        <v>128</v>
      </c>
      <c r="I343" s="236">
        <v>46070</v>
      </c>
      <c r="J343" s="236">
        <v>46081</v>
      </c>
      <c r="K343" s="241">
        <f ca="1">IF(Table1192[[#This Row],[VALID]],Table1192[[#This Row],[VALID]]-TODAY(),"-")</f>
        <v>-5</v>
      </c>
      <c r="L343" s="244"/>
      <c r="M343" s="238">
        <v>1056</v>
      </c>
      <c r="N343" s="237">
        <v>403.05</v>
      </c>
      <c r="O343" s="237"/>
      <c r="P343" s="237"/>
      <c r="Q343" s="250"/>
      <c r="R343" s="238">
        <v>762</v>
      </c>
      <c r="S343" s="237">
        <v>761.1</v>
      </c>
      <c r="T343" s="237"/>
      <c r="U343" s="237"/>
      <c r="V343" s="250"/>
      <c r="W343" s="239"/>
      <c r="X343" s="237"/>
      <c r="Y343" s="242"/>
      <c r="Z343" s="251"/>
      <c r="AA343" s="243"/>
      <c r="AB343" s="243"/>
      <c r="AC343" s="243"/>
      <c r="AD343" s="243"/>
      <c r="AE343" s="243"/>
      <c r="AF343" s="243"/>
      <c r="AG343" s="243"/>
      <c r="AH343" s="243"/>
      <c r="AI343" s="243"/>
      <c r="AJ343" s="251"/>
    </row>
    <row r="344" spans="1:36" ht="15" thickTop="1" thickBot="1" x14ac:dyDescent="0.35">
      <c r="A344" s="234" t="s">
        <v>1320</v>
      </c>
      <c r="B344" s="234" t="s">
        <v>1306</v>
      </c>
      <c r="C344" s="234" t="s">
        <v>124</v>
      </c>
      <c r="D344" s="234" t="s">
        <v>888</v>
      </c>
      <c r="E344" s="235" t="s">
        <v>3</v>
      </c>
      <c r="F344" s="235">
        <f>IF(M344,SUM(M344:P344,W344:X344),"-")</f>
        <v>1459.05</v>
      </c>
      <c r="G344" s="235">
        <f>IF(R344,SUM(R344:U344,W344:X344),"-")</f>
        <v>1523.1</v>
      </c>
      <c r="H344" s="235" t="s">
        <v>128</v>
      </c>
      <c r="I344" s="236">
        <v>46070</v>
      </c>
      <c r="J344" s="236">
        <v>46081</v>
      </c>
      <c r="K344" s="241">
        <f ca="1">IF(Table1192[[#This Row],[VALID]],Table1192[[#This Row],[VALID]]-TODAY(),"-")</f>
        <v>-5</v>
      </c>
      <c r="L344" s="244"/>
      <c r="M344" s="238">
        <v>1056</v>
      </c>
      <c r="N344" s="237">
        <v>403.05</v>
      </c>
      <c r="O344" s="237"/>
      <c r="P344" s="237"/>
      <c r="Q344" s="250"/>
      <c r="R344" s="238">
        <v>762</v>
      </c>
      <c r="S344" s="237">
        <v>761.1</v>
      </c>
      <c r="T344" s="237"/>
      <c r="U344" s="237"/>
      <c r="V344" s="250"/>
      <c r="W344" s="239"/>
      <c r="X344" s="237"/>
      <c r="Y344" s="242"/>
      <c r="Z344" s="251"/>
      <c r="AA344" s="243"/>
      <c r="AB344" s="243"/>
      <c r="AC344" s="243"/>
      <c r="AD344" s="243"/>
      <c r="AE344" s="243"/>
      <c r="AF344" s="243"/>
      <c r="AG344" s="243"/>
      <c r="AH344" s="243"/>
      <c r="AI344" s="243"/>
      <c r="AJ344" s="251"/>
    </row>
    <row r="345" spans="1:36" ht="15" thickTop="1" thickBot="1" x14ac:dyDescent="0.35">
      <c r="A345" s="234" t="s">
        <v>1327</v>
      </c>
      <c r="B345" s="234" t="s">
        <v>1306</v>
      </c>
      <c r="C345" s="234" t="s">
        <v>775</v>
      </c>
      <c r="D345" s="234" t="s">
        <v>888</v>
      </c>
      <c r="E345" s="235" t="s">
        <v>3</v>
      </c>
      <c r="F345" s="235">
        <f>IF(M345,SUM(M345:P345,W345:X345),"-")</f>
        <v>1559.05</v>
      </c>
      <c r="G345" s="235">
        <f>IF(R345,SUM(R345:U345,W345:X345),"-")</f>
        <v>1673.1</v>
      </c>
      <c r="H345" s="235" t="s">
        <v>128</v>
      </c>
      <c r="I345" s="236">
        <v>46070</v>
      </c>
      <c r="J345" s="236">
        <v>46081</v>
      </c>
      <c r="K345" s="241">
        <f ca="1">IF(Table1192[[#This Row],[VALID]],Table1192[[#This Row],[VALID]]-TODAY(),"-")</f>
        <v>-5</v>
      </c>
      <c r="L345" s="244"/>
      <c r="M345" s="238">
        <v>1156</v>
      </c>
      <c r="N345" s="237">
        <v>403.05</v>
      </c>
      <c r="O345" s="237"/>
      <c r="P345" s="237"/>
      <c r="Q345" s="250"/>
      <c r="R345" s="238">
        <v>912</v>
      </c>
      <c r="S345" s="237">
        <v>761.1</v>
      </c>
      <c r="T345" s="237"/>
      <c r="U345" s="237"/>
      <c r="V345" s="250"/>
      <c r="W345" s="239"/>
      <c r="X345" s="237"/>
      <c r="Y345" s="242"/>
      <c r="Z345" s="251"/>
      <c r="AA345" s="243"/>
      <c r="AB345" s="243"/>
      <c r="AC345" s="243"/>
      <c r="AD345" s="243"/>
      <c r="AE345" s="243"/>
      <c r="AF345" s="243"/>
      <c r="AG345" s="243"/>
      <c r="AH345" s="243"/>
      <c r="AI345" s="243"/>
      <c r="AJ345" s="251"/>
    </row>
    <row r="346" spans="1:36" ht="15" thickTop="1" thickBot="1" x14ac:dyDescent="0.35">
      <c r="A346" s="234"/>
      <c r="B346" s="234" t="s">
        <v>1306</v>
      </c>
      <c r="D346" s="234" t="s">
        <v>1192</v>
      </c>
      <c r="E346" s="235"/>
      <c r="F346" s="235" t="str">
        <f t="shared" si="274"/>
        <v>-</v>
      </c>
      <c r="G346" s="235" t="str">
        <f t="shared" si="275"/>
        <v>-</v>
      </c>
      <c r="H346" s="235"/>
      <c r="I346" s="236"/>
      <c r="J346" s="236"/>
      <c r="K346" s="241" t="str">
        <f ca="1">IF(Table1192[[#This Row],[VALID]],Table1192[[#This Row],[VALID]]-TODAY(),"-")</f>
        <v>-</v>
      </c>
      <c r="L346" s="244"/>
      <c r="M346" s="238"/>
      <c r="N346" s="237"/>
      <c r="O346" s="237"/>
      <c r="P346" s="237"/>
      <c r="Q346" s="250"/>
      <c r="R346" s="238"/>
      <c r="S346" s="237"/>
      <c r="T346" s="237"/>
      <c r="U346" s="237"/>
      <c r="V346" s="250"/>
      <c r="W346" s="239"/>
      <c r="X346" s="237"/>
      <c r="Y346" s="242"/>
      <c r="Z346" s="251"/>
      <c r="AA346" s="243"/>
      <c r="AB346" s="243"/>
      <c r="AC346" s="243"/>
      <c r="AD346" s="243"/>
      <c r="AE346" s="243"/>
      <c r="AF346" s="243"/>
      <c r="AG346" s="243"/>
      <c r="AH346" s="243"/>
      <c r="AI346" s="243"/>
      <c r="AJ346" s="251"/>
    </row>
    <row r="347" spans="1:36" ht="15" thickTop="1" thickBot="1" x14ac:dyDescent="0.35">
      <c r="A347" s="234"/>
      <c r="B347" s="234" t="s">
        <v>1306</v>
      </c>
      <c r="D347" s="234" t="s">
        <v>897</v>
      </c>
      <c r="E347" s="235"/>
      <c r="F347" s="235" t="str">
        <f t="shared" si="274"/>
        <v>-</v>
      </c>
      <c r="G347" s="235" t="str">
        <f t="shared" si="275"/>
        <v>-</v>
      </c>
      <c r="H347" s="235"/>
      <c r="I347" s="236"/>
      <c r="J347" s="236"/>
      <c r="K347" s="241" t="str">
        <f ca="1">IF(Table1192[[#This Row],[VALID]],Table1192[[#This Row],[VALID]]-TODAY(),"-")</f>
        <v>-</v>
      </c>
      <c r="L347" s="244"/>
      <c r="M347" s="238"/>
      <c r="N347" s="237"/>
      <c r="O347" s="237"/>
      <c r="P347" s="237"/>
      <c r="Q347" s="250"/>
      <c r="R347" s="238"/>
      <c r="S347" s="237"/>
      <c r="T347" s="237"/>
      <c r="U347" s="237"/>
      <c r="V347" s="250"/>
      <c r="W347" s="239"/>
      <c r="X347" s="237"/>
      <c r="Y347" s="242"/>
      <c r="Z347" s="251"/>
      <c r="AA347" s="243"/>
      <c r="AB347" s="243"/>
      <c r="AC347" s="243"/>
      <c r="AD347" s="243"/>
      <c r="AE347" s="243"/>
      <c r="AF347" s="243"/>
      <c r="AG347" s="243"/>
      <c r="AH347" s="243"/>
      <c r="AI347" s="243"/>
      <c r="AJ347" s="251"/>
    </row>
    <row r="348" spans="1:36" ht="15" thickTop="1" thickBot="1" x14ac:dyDescent="0.35">
      <c r="A348" s="234"/>
      <c r="B348" s="234" t="s">
        <v>1306</v>
      </c>
      <c r="D348" s="234" t="s">
        <v>897</v>
      </c>
      <c r="E348" s="235"/>
      <c r="F348" s="235" t="str">
        <f t="shared" si="274"/>
        <v>-</v>
      </c>
      <c r="G348" s="235" t="str">
        <f t="shared" si="275"/>
        <v>-</v>
      </c>
      <c r="H348" s="235"/>
      <c r="I348" s="236"/>
      <c r="J348" s="236"/>
      <c r="K348" s="241" t="str">
        <f ca="1">IF(Table1192[[#This Row],[VALID]],Table1192[[#This Row],[VALID]]-TODAY(),"-")</f>
        <v>-</v>
      </c>
      <c r="L348" s="244"/>
      <c r="M348" s="238"/>
      <c r="N348" s="237"/>
      <c r="O348" s="237"/>
      <c r="P348" s="237"/>
      <c r="Q348" s="250"/>
      <c r="R348" s="238"/>
      <c r="S348" s="237"/>
      <c r="T348" s="237"/>
      <c r="U348" s="237"/>
      <c r="V348" s="250"/>
      <c r="W348" s="239"/>
      <c r="X348" s="237"/>
      <c r="Y348" s="242"/>
      <c r="Z348" s="251"/>
      <c r="AA348" s="243"/>
      <c r="AB348" s="243"/>
      <c r="AC348" s="243"/>
      <c r="AD348" s="243"/>
      <c r="AE348" s="243"/>
      <c r="AF348" s="243"/>
      <c r="AG348" s="243"/>
      <c r="AH348" s="243"/>
      <c r="AI348" s="243"/>
      <c r="AJ348" s="251"/>
    </row>
    <row r="349" spans="1:36" ht="15" thickTop="1" thickBot="1" x14ac:dyDescent="0.35">
      <c r="A349" s="234"/>
      <c r="B349" s="234" t="s">
        <v>1306</v>
      </c>
      <c r="D349" s="234" t="s">
        <v>897</v>
      </c>
      <c r="E349" s="235"/>
      <c r="F349" s="235" t="str">
        <f t="shared" si="274"/>
        <v>-</v>
      </c>
      <c r="G349" s="235" t="str">
        <f t="shared" si="275"/>
        <v>-</v>
      </c>
      <c r="H349" s="235"/>
      <c r="I349" s="236"/>
      <c r="J349" s="236"/>
      <c r="K349" s="241" t="str">
        <f ca="1">IF(Table1192[[#This Row],[VALID]],Table1192[[#This Row],[VALID]]-TODAY(),"-")</f>
        <v>-</v>
      </c>
      <c r="L349" s="244"/>
      <c r="M349" s="238"/>
      <c r="N349" s="237"/>
      <c r="O349" s="237"/>
      <c r="P349" s="237"/>
      <c r="Q349" s="250"/>
      <c r="R349" s="238"/>
      <c r="S349" s="237"/>
      <c r="T349" s="237"/>
      <c r="U349" s="237"/>
      <c r="V349" s="250"/>
      <c r="W349" s="239"/>
      <c r="X349" s="237"/>
      <c r="Y349" s="242"/>
      <c r="Z349" s="251"/>
      <c r="AA349" s="243"/>
      <c r="AB349" s="243"/>
      <c r="AC349" s="243"/>
      <c r="AD349" s="243"/>
      <c r="AE349" s="243"/>
      <c r="AF349" s="243"/>
      <c r="AG349" s="243"/>
      <c r="AH349" s="243"/>
      <c r="AI349" s="243"/>
      <c r="AJ349" s="251"/>
    </row>
    <row r="350" spans="1:36" ht="15" thickTop="1" thickBot="1" x14ac:dyDescent="0.35">
      <c r="A350" s="234"/>
      <c r="B350" s="234" t="s">
        <v>1306</v>
      </c>
      <c r="D350" s="234" t="s">
        <v>897</v>
      </c>
      <c r="E350" s="235"/>
      <c r="F350" s="235" t="str">
        <f t="shared" si="274"/>
        <v>-</v>
      </c>
      <c r="G350" s="235" t="str">
        <f t="shared" si="275"/>
        <v>-</v>
      </c>
      <c r="H350" s="235"/>
      <c r="I350" s="236"/>
      <c r="J350" s="236"/>
      <c r="K350" s="241" t="str">
        <f ca="1">IF(Table1192[[#This Row],[VALID]],Table1192[[#This Row],[VALID]]-TODAY(),"-")</f>
        <v>-</v>
      </c>
      <c r="L350" s="244"/>
      <c r="M350" s="238"/>
      <c r="N350" s="237"/>
      <c r="O350" s="237"/>
      <c r="P350" s="237"/>
      <c r="Q350" s="250"/>
      <c r="R350" s="238"/>
      <c r="S350" s="237"/>
      <c r="T350" s="237"/>
      <c r="U350" s="237"/>
      <c r="V350" s="250"/>
      <c r="W350" s="239"/>
      <c r="X350" s="237"/>
      <c r="Y350" s="242"/>
      <c r="Z350" s="251"/>
      <c r="AA350" s="243"/>
      <c r="AB350" s="243"/>
      <c r="AC350" s="243"/>
      <c r="AD350" s="243"/>
      <c r="AE350" s="243"/>
      <c r="AF350" s="243"/>
      <c r="AG350" s="243"/>
      <c r="AH350" s="243"/>
      <c r="AI350" s="243"/>
      <c r="AJ350" s="251"/>
    </row>
    <row r="351" spans="1:36" ht="15" thickTop="1" thickBot="1" x14ac:dyDescent="0.35">
      <c r="A351" s="234" t="s">
        <v>1321</v>
      </c>
      <c r="B351" s="234" t="s">
        <v>1306</v>
      </c>
      <c r="C351" s="234" t="s">
        <v>53</v>
      </c>
      <c r="D351" s="234" t="s">
        <v>897</v>
      </c>
      <c r="E351" s="235" t="s">
        <v>3</v>
      </c>
      <c r="F351" s="235">
        <f>IF(M351,SUM(M351:P351,W351:X351),"-")</f>
        <v>1445</v>
      </c>
      <c r="G351" s="235">
        <f>IF(R351,SUM(R351:U351,W351:X351),"-")</f>
        <v>1495</v>
      </c>
      <c r="H351" s="235" t="s">
        <v>128</v>
      </c>
      <c r="I351" s="236">
        <v>46070</v>
      </c>
      <c r="J351" s="236">
        <v>46081</v>
      </c>
      <c r="K351" s="241">
        <f ca="1">IF(Table1192[[#This Row],[VALID]],Table1192[[#This Row],[VALID]]-TODAY(),"-")</f>
        <v>-5</v>
      </c>
      <c r="L351" s="244"/>
      <c r="M351" s="238">
        <v>1056</v>
      </c>
      <c r="N351" s="237">
        <v>389</v>
      </c>
      <c r="O351" s="237"/>
      <c r="P351" s="237"/>
      <c r="Q351" s="250"/>
      <c r="R351" s="238">
        <v>762</v>
      </c>
      <c r="S351" s="237">
        <v>733</v>
      </c>
      <c r="T351" s="237"/>
      <c r="U351" s="237"/>
      <c r="V351" s="250"/>
      <c r="W351" s="239"/>
      <c r="X351" s="237"/>
      <c r="Y351" s="242"/>
      <c r="Z351" s="251"/>
      <c r="AA351" s="243"/>
      <c r="AB351" s="243"/>
      <c r="AC351" s="243"/>
      <c r="AD351" s="243"/>
      <c r="AE351" s="243"/>
      <c r="AF351" s="243"/>
      <c r="AG351" s="243"/>
      <c r="AH351" s="243"/>
      <c r="AI351" s="243"/>
      <c r="AJ351" s="251"/>
    </row>
    <row r="352" spans="1:36" ht="15" thickTop="1" thickBot="1" x14ac:dyDescent="0.35">
      <c r="A352" s="234" t="s">
        <v>1324</v>
      </c>
      <c r="B352" s="234" t="s">
        <v>1306</v>
      </c>
      <c r="C352" s="234" t="s">
        <v>124</v>
      </c>
      <c r="D352" s="234" t="s">
        <v>897</v>
      </c>
      <c r="E352" s="235" t="s">
        <v>3</v>
      </c>
      <c r="F352" s="235">
        <f>IF(M352,SUM(M352:P352,W352:X352),"-")</f>
        <v>1445</v>
      </c>
      <c r="G352" s="235">
        <f>IF(R352,SUM(R352:U352,W352:X352),"-")</f>
        <v>1495</v>
      </c>
      <c r="H352" s="235" t="s">
        <v>128</v>
      </c>
      <c r="I352" s="236">
        <v>46070</v>
      </c>
      <c r="J352" s="236">
        <v>46081</v>
      </c>
      <c r="K352" s="241">
        <f ca="1">IF(Table1192[[#This Row],[VALID]],Table1192[[#This Row],[VALID]]-TODAY(),"-")</f>
        <v>-5</v>
      </c>
      <c r="L352" s="244"/>
      <c r="M352" s="238">
        <v>1056</v>
      </c>
      <c r="N352" s="237">
        <v>389</v>
      </c>
      <c r="O352" s="237"/>
      <c r="P352" s="237"/>
      <c r="Q352" s="250"/>
      <c r="R352" s="238">
        <v>762</v>
      </c>
      <c r="S352" s="237">
        <v>733</v>
      </c>
      <c r="T352" s="237"/>
      <c r="U352" s="237"/>
      <c r="V352" s="250"/>
      <c r="W352" s="239"/>
      <c r="X352" s="237"/>
      <c r="Y352" s="242"/>
      <c r="Z352" s="251"/>
      <c r="AA352" s="243"/>
      <c r="AB352" s="243"/>
      <c r="AC352" s="243"/>
      <c r="AD352" s="243"/>
      <c r="AE352" s="243"/>
      <c r="AF352" s="243"/>
      <c r="AG352" s="243"/>
      <c r="AH352" s="243"/>
      <c r="AI352" s="243"/>
      <c r="AJ352" s="251"/>
    </row>
    <row r="353" spans="1:36" ht="15" thickTop="1" thickBot="1" x14ac:dyDescent="0.35">
      <c r="A353" s="234" t="s">
        <v>1321</v>
      </c>
      <c r="B353" s="234" t="s">
        <v>1306</v>
      </c>
      <c r="C353" s="234" t="s">
        <v>775</v>
      </c>
      <c r="D353" s="234" t="s">
        <v>897</v>
      </c>
      <c r="E353" s="235" t="s">
        <v>3</v>
      </c>
      <c r="F353" s="235">
        <f>IF(M353,SUM(M353:P353,W353:X353),"-")</f>
        <v>1545</v>
      </c>
      <c r="G353" s="235">
        <f>IF(R353,SUM(R353:U353,W353:X353),"-")</f>
        <v>1645</v>
      </c>
      <c r="H353" s="235" t="s">
        <v>128</v>
      </c>
      <c r="I353" s="236">
        <v>46070</v>
      </c>
      <c r="J353" s="236">
        <v>46081</v>
      </c>
      <c r="K353" s="241">
        <f ca="1">IF(Table1192[[#This Row],[VALID]],Table1192[[#This Row],[VALID]]-TODAY(),"-")</f>
        <v>-5</v>
      </c>
      <c r="L353" s="244"/>
      <c r="M353" s="238">
        <v>1156</v>
      </c>
      <c r="N353" s="237">
        <v>389</v>
      </c>
      <c r="O353" s="237"/>
      <c r="P353" s="237"/>
      <c r="Q353" s="250"/>
      <c r="R353" s="238">
        <v>912</v>
      </c>
      <c r="S353" s="237">
        <v>733</v>
      </c>
      <c r="T353" s="237"/>
      <c r="U353" s="237"/>
      <c r="V353" s="250"/>
      <c r="W353" s="239"/>
      <c r="X353" s="237"/>
      <c r="Y353" s="242"/>
      <c r="Z353" s="251"/>
      <c r="AA353" s="243"/>
      <c r="AB353" s="243"/>
      <c r="AC353" s="243"/>
      <c r="AD353" s="243"/>
      <c r="AE353" s="243"/>
      <c r="AF353" s="243"/>
      <c r="AG353" s="243"/>
      <c r="AH353" s="243"/>
      <c r="AI353" s="243"/>
      <c r="AJ353" s="251"/>
    </row>
    <row r="354" spans="1:36" ht="15" thickTop="1" thickBot="1" x14ac:dyDescent="0.35">
      <c r="A354" s="234"/>
      <c r="B354" s="234" t="s">
        <v>1306</v>
      </c>
      <c r="D354" s="234" t="s">
        <v>1088</v>
      </c>
      <c r="E354" s="235"/>
      <c r="F354" s="235" t="str">
        <f t="shared" si="274"/>
        <v>-</v>
      </c>
      <c r="G354" s="235" t="str">
        <f t="shared" si="275"/>
        <v>-</v>
      </c>
      <c r="H354" s="235"/>
      <c r="I354" s="236"/>
      <c r="J354" s="236"/>
      <c r="K354" s="241" t="str">
        <f ca="1">IF(Table1192[[#This Row],[VALID]],Table1192[[#This Row],[VALID]]-TODAY(),"-")</f>
        <v>-</v>
      </c>
      <c r="L354" s="244"/>
      <c r="M354" s="238"/>
      <c r="N354" s="237"/>
      <c r="O354" s="237"/>
      <c r="P354" s="237"/>
      <c r="Q354" s="250"/>
      <c r="R354" s="238"/>
      <c r="S354" s="237"/>
      <c r="T354" s="237"/>
      <c r="U354" s="237"/>
      <c r="V354" s="250"/>
      <c r="W354" s="239"/>
      <c r="X354" s="237"/>
      <c r="Y354" s="242"/>
      <c r="Z354" s="251"/>
      <c r="AA354" s="243"/>
      <c r="AB354" s="243"/>
      <c r="AC354" s="243"/>
      <c r="AD354" s="243"/>
      <c r="AE354" s="243"/>
      <c r="AF354" s="243"/>
      <c r="AG354" s="243"/>
      <c r="AH354" s="243"/>
      <c r="AI354" s="243"/>
      <c r="AJ354" s="251"/>
    </row>
    <row r="355" spans="1:36" ht="15" thickTop="1" thickBot="1" x14ac:dyDescent="0.35">
      <c r="A355" s="234"/>
      <c r="B355" s="234" t="s">
        <v>1306</v>
      </c>
      <c r="D355" s="234" t="s">
        <v>1088</v>
      </c>
      <c r="E355" s="235"/>
      <c r="F355" s="235" t="str">
        <f t="shared" si="274"/>
        <v>-</v>
      </c>
      <c r="G355" s="235" t="str">
        <f t="shared" si="275"/>
        <v>-</v>
      </c>
      <c r="H355" s="235"/>
      <c r="I355" s="236"/>
      <c r="J355" s="236"/>
      <c r="K355" s="241" t="str">
        <f ca="1">IF(Table1192[[#This Row],[VALID]],Table1192[[#This Row],[VALID]]-TODAY(),"-")</f>
        <v>-</v>
      </c>
      <c r="L355" s="244"/>
      <c r="M355" s="238"/>
      <c r="N355" s="237"/>
      <c r="O355" s="237"/>
      <c r="P355" s="237"/>
      <c r="Q355" s="250"/>
      <c r="R355" s="238"/>
      <c r="S355" s="237"/>
      <c r="T355" s="237"/>
      <c r="U355" s="237"/>
      <c r="V355" s="250"/>
      <c r="W355" s="239"/>
      <c r="X355" s="237"/>
      <c r="Y355" s="242"/>
      <c r="Z355" s="251"/>
      <c r="AA355" s="243"/>
      <c r="AB355" s="243"/>
      <c r="AC355" s="243"/>
      <c r="AD355" s="243"/>
      <c r="AE355" s="243"/>
      <c r="AF355" s="243"/>
      <c r="AG355" s="243"/>
      <c r="AH355" s="243"/>
      <c r="AI355" s="243"/>
      <c r="AJ355" s="251"/>
    </row>
    <row r="356" spans="1:36" ht="15" thickTop="1" thickBot="1" x14ac:dyDescent="0.35">
      <c r="A356" s="234"/>
      <c r="B356" s="234" t="s">
        <v>1306</v>
      </c>
      <c r="D356" s="234" t="s">
        <v>1088</v>
      </c>
      <c r="E356" s="235"/>
      <c r="F356" s="235" t="str">
        <f t="shared" si="274"/>
        <v>-</v>
      </c>
      <c r="G356" s="235" t="str">
        <f t="shared" si="275"/>
        <v>-</v>
      </c>
      <c r="H356" s="235"/>
      <c r="I356" s="236"/>
      <c r="J356" s="236"/>
      <c r="K356" s="241" t="str">
        <f ca="1">IF(Table1192[[#This Row],[VALID]],Table1192[[#This Row],[VALID]]-TODAY(),"-")</f>
        <v>-</v>
      </c>
      <c r="L356" s="244"/>
      <c r="M356" s="238"/>
      <c r="N356" s="237"/>
      <c r="O356" s="237"/>
      <c r="P356" s="237"/>
      <c r="Q356" s="250"/>
      <c r="R356" s="238"/>
      <c r="S356" s="237"/>
      <c r="T356" s="237"/>
      <c r="U356" s="237"/>
      <c r="V356" s="250"/>
      <c r="W356" s="239"/>
      <c r="X356" s="237"/>
      <c r="Y356" s="242"/>
      <c r="Z356" s="251"/>
      <c r="AA356" s="243"/>
      <c r="AB356" s="243"/>
      <c r="AC356" s="243"/>
      <c r="AD356" s="243"/>
      <c r="AE356" s="243"/>
      <c r="AF356" s="243"/>
      <c r="AG356" s="243"/>
      <c r="AH356" s="243"/>
      <c r="AI356" s="776"/>
      <c r="AJ356" s="251"/>
    </row>
    <row r="357" spans="1:36" ht="15" thickTop="1" thickBot="1" x14ac:dyDescent="0.35">
      <c r="A357" s="234"/>
      <c r="B357" s="234" t="s">
        <v>1306</v>
      </c>
      <c r="D357" s="234" t="s">
        <v>1088</v>
      </c>
      <c r="E357" s="235"/>
      <c r="F357" s="235" t="str">
        <f t="shared" si="274"/>
        <v>-</v>
      </c>
      <c r="G357" s="235" t="str">
        <f t="shared" si="275"/>
        <v>-</v>
      </c>
      <c r="H357" s="235"/>
      <c r="I357" s="236"/>
      <c r="J357" s="236"/>
      <c r="K357" s="241" t="str">
        <f ca="1">IF(Table1192[[#This Row],[VALID]],Table1192[[#This Row],[VALID]]-TODAY(),"-")</f>
        <v>-</v>
      </c>
      <c r="L357" s="244"/>
      <c r="M357" s="238"/>
      <c r="N357" s="237"/>
      <c r="O357" s="237"/>
      <c r="P357" s="237"/>
      <c r="Q357" s="250"/>
      <c r="R357" s="238"/>
      <c r="S357" s="237"/>
      <c r="T357" s="237"/>
      <c r="U357" s="237"/>
      <c r="V357" s="250"/>
      <c r="W357" s="239"/>
      <c r="X357" s="237"/>
      <c r="Y357" s="242"/>
      <c r="Z357" s="251"/>
      <c r="AA357" s="243"/>
      <c r="AB357" s="243"/>
      <c r="AC357" s="243"/>
      <c r="AD357" s="243"/>
      <c r="AE357" s="243"/>
      <c r="AF357" s="243"/>
      <c r="AG357" s="243"/>
      <c r="AH357" s="243"/>
      <c r="AI357" s="243"/>
      <c r="AJ357" s="251"/>
    </row>
    <row r="358" spans="1:36" ht="15" thickTop="1" thickBot="1" x14ac:dyDescent="0.35">
      <c r="A358" s="234" t="s">
        <v>1323</v>
      </c>
      <c r="B358" s="234" t="s">
        <v>1306</v>
      </c>
      <c r="C358" s="234" t="s">
        <v>53</v>
      </c>
      <c r="D358" s="234" t="s">
        <v>1088</v>
      </c>
      <c r="E358" s="235" t="s">
        <v>3</v>
      </c>
      <c r="F358" s="235">
        <f>IF(M358,SUM(M358:P358,W358:X358),"-")</f>
        <v>1445</v>
      </c>
      <c r="G358" s="235">
        <f>IF(R358,SUM(R358:U358,W358:X358),"-")</f>
        <v>1495</v>
      </c>
      <c r="H358" s="235" t="s">
        <v>128</v>
      </c>
      <c r="I358" s="236">
        <v>46070</v>
      </c>
      <c r="J358" s="236">
        <v>46081</v>
      </c>
      <c r="K358" s="241">
        <f ca="1">IF(Table1192[[#This Row],[VALID]],Table1192[[#This Row],[VALID]]-TODAY(),"-")</f>
        <v>-5</v>
      </c>
      <c r="L358" s="244"/>
      <c r="M358" s="238">
        <v>1056</v>
      </c>
      <c r="N358" s="237">
        <v>389</v>
      </c>
      <c r="O358" s="237"/>
      <c r="P358" s="237"/>
      <c r="Q358" s="250"/>
      <c r="R358" s="238">
        <v>762</v>
      </c>
      <c r="S358" s="237">
        <v>733</v>
      </c>
      <c r="T358" s="237"/>
      <c r="U358" s="237"/>
      <c r="V358" s="250"/>
      <c r="W358" s="239"/>
      <c r="X358" s="237"/>
      <c r="Y358" s="242"/>
      <c r="Z358" s="251"/>
      <c r="AA358" s="243"/>
      <c r="AB358" s="243"/>
      <c r="AC358" s="243"/>
      <c r="AD358" s="243"/>
      <c r="AE358" s="243"/>
      <c r="AF358" s="243"/>
      <c r="AG358" s="243"/>
      <c r="AH358" s="243"/>
      <c r="AI358" s="243"/>
      <c r="AJ358" s="251"/>
    </row>
    <row r="359" spans="1:36" ht="15" thickTop="1" thickBot="1" x14ac:dyDescent="0.35">
      <c r="A359" s="234" t="s">
        <v>1326</v>
      </c>
      <c r="B359" s="234" t="s">
        <v>1306</v>
      </c>
      <c r="C359" s="234" t="s">
        <v>124</v>
      </c>
      <c r="D359" s="234" t="s">
        <v>1088</v>
      </c>
      <c r="E359" s="235" t="s">
        <v>3</v>
      </c>
      <c r="F359" s="235">
        <f>IF(M359,SUM(M359:P359,W359:X359),"-")</f>
        <v>1445</v>
      </c>
      <c r="G359" s="235">
        <f>IF(R359,SUM(R359:U359,W359:X359),"-")</f>
        <v>1495</v>
      </c>
      <c r="H359" s="235" t="s">
        <v>128</v>
      </c>
      <c r="I359" s="236">
        <v>46070</v>
      </c>
      <c r="J359" s="236">
        <v>46081</v>
      </c>
      <c r="K359" s="241">
        <f ca="1">IF(Table1192[[#This Row],[VALID]],Table1192[[#This Row],[VALID]]-TODAY(),"-")</f>
        <v>-5</v>
      </c>
      <c r="L359" s="244"/>
      <c r="M359" s="238">
        <v>1056</v>
      </c>
      <c r="N359" s="237">
        <v>389</v>
      </c>
      <c r="O359" s="237"/>
      <c r="P359" s="237"/>
      <c r="Q359" s="250"/>
      <c r="R359" s="238">
        <v>762</v>
      </c>
      <c r="S359" s="237">
        <v>733</v>
      </c>
      <c r="T359" s="237"/>
      <c r="U359" s="237"/>
      <c r="V359" s="250"/>
      <c r="W359" s="239"/>
      <c r="X359" s="237"/>
      <c r="Y359" s="242"/>
      <c r="Z359" s="251"/>
      <c r="AA359" s="243"/>
      <c r="AB359" s="243"/>
      <c r="AC359" s="243"/>
      <c r="AD359" s="243"/>
      <c r="AE359" s="243"/>
      <c r="AF359" s="243"/>
      <c r="AG359" s="243"/>
      <c r="AH359" s="243"/>
      <c r="AI359" s="243"/>
      <c r="AJ359" s="251"/>
    </row>
    <row r="360" spans="1:36" ht="15" thickTop="1" thickBot="1" x14ac:dyDescent="0.35">
      <c r="A360" s="234" t="s">
        <v>1323</v>
      </c>
      <c r="B360" s="234" t="s">
        <v>1306</v>
      </c>
      <c r="C360" s="234" t="s">
        <v>775</v>
      </c>
      <c r="D360" s="234" t="s">
        <v>1088</v>
      </c>
      <c r="E360" s="235" t="s">
        <v>3</v>
      </c>
      <c r="F360" s="235">
        <f>IF(M360,SUM(M360:P360,W360:X360),"-")</f>
        <v>1545</v>
      </c>
      <c r="G360" s="235">
        <f>IF(R360,SUM(R360:U360,W360:X360),"-")</f>
        <v>1645</v>
      </c>
      <c r="H360" s="235" t="s">
        <v>128</v>
      </c>
      <c r="I360" s="236">
        <v>46070</v>
      </c>
      <c r="J360" s="236">
        <v>46081</v>
      </c>
      <c r="K360" s="241">
        <f ca="1">IF(Table1192[[#This Row],[VALID]],Table1192[[#This Row],[VALID]]-TODAY(),"-")</f>
        <v>-5</v>
      </c>
      <c r="L360" s="244"/>
      <c r="M360" s="238">
        <v>1156</v>
      </c>
      <c r="N360" s="237">
        <v>389</v>
      </c>
      <c r="O360" s="237"/>
      <c r="P360" s="237"/>
      <c r="Q360" s="250"/>
      <c r="R360" s="238">
        <v>912</v>
      </c>
      <c r="S360" s="237">
        <v>733</v>
      </c>
      <c r="T360" s="237"/>
      <c r="U360" s="237"/>
      <c r="V360" s="250"/>
      <c r="W360" s="239"/>
      <c r="X360" s="237"/>
      <c r="Y360" s="242"/>
      <c r="Z360" s="251"/>
      <c r="AA360" s="243"/>
      <c r="AB360" s="243"/>
      <c r="AC360" s="243"/>
      <c r="AD360" s="243"/>
      <c r="AE360" s="243"/>
      <c r="AF360" s="243"/>
      <c r="AG360" s="243"/>
      <c r="AH360" s="243"/>
      <c r="AI360" s="243"/>
      <c r="AJ360" s="251"/>
    </row>
    <row r="361" spans="1:36" ht="15" thickTop="1" thickBot="1" x14ac:dyDescent="0.35">
      <c r="A361" s="234"/>
      <c r="B361" s="234" t="s">
        <v>1306</v>
      </c>
      <c r="D361" s="234" t="s">
        <v>880</v>
      </c>
      <c r="E361" s="235"/>
      <c r="F361" s="235" t="str">
        <f t="shared" si="274"/>
        <v>-</v>
      </c>
      <c r="G361" s="235" t="str">
        <f t="shared" si="275"/>
        <v>-</v>
      </c>
      <c r="H361" s="235"/>
      <c r="I361" s="236"/>
      <c r="J361" s="236"/>
      <c r="K361" s="241" t="str">
        <f ca="1">IF(Table1192[[#This Row],[VALID]],Table1192[[#This Row],[VALID]]-TODAY(),"-")</f>
        <v>-</v>
      </c>
      <c r="L361" s="244"/>
      <c r="M361" s="238"/>
      <c r="N361" s="237"/>
      <c r="O361" s="237"/>
      <c r="P361" s="237"/>
      <c r="Q361" s="250"/>
      <c r="R361" s="238"/>
      <c r="S361" s="237"/>
      <c r="T361" s="237"/>
      <c r="U361" s="237"/>
      <c r="V361" s="250"/>
      <c r="W361" s="239"/>
      <c r="X361" s="237"/>
      <c r="Y361" s="242"/>
      <c r="Z361" s="251"/>
      <c r="AA361" s="243"/>
      <c r="AB361" s="243"/>
      <c r="AC361" s="243"/>
      <c r="AD361" s="243"/>
      <c r="AE361" s="243"/>
      <c r="AF361" s="243"/>
      <c r="AG361" s="243"/>
      <c r="AH361" s="243"/>
      <c r="AI361" s="243"/>
      <c r="AJ361" s="251"/>
    </row>
    <row r="362" spans="1:36" ht="15" thickTop="1" thickBot="1" x14ac:dyDescent="0.35">
      <c r="A362" s="234"/>
      <c r="B362" s="234" t="s">
        <v>1306</v>
      </c>
      <c r="D362" s="234" t="s">
        <v>880</v>
      </c>
      <c r="E362" s="235"/>
      <c r="F362" s="235" t="str">
        <f t="shared" si="274"/>
        <v>-</v>
      </c>
      <c r="G362" s="235" t="str">
        <f t="shared" si="275"/>
        <v>-</v>
      </c>
      <c r="H362" s="235"/>
      <c r="I362" s="236"/>
      <c r="J362" s="236"/>
      <c r="K362" s="241" t="str">
        <f ca="1">IF(Table1192[[#This Row],[VALID]],Table1192[[#This Row],[VALID]]-TODAY(),"-")</f>
        <v>-</v>
      </c>
      <c r="L362" s="244"/>
      <c r="M362" s="238"/>
      <c r="N362" s="237"/>
      <c r="O362" s="237"/>
      <c r="P362" s="237"/>
      <c r="Q362" s="250"/>
      <c r="R362" s="238"/>
      <c r="S362" s="237"/>
      <c r="T362" s="237"/>
      <c r="U362" s="237"/>
      <c r="V362" s="250"/>
      <c r="W362" s="239"/>
      <c r="X362" s="237"/>
      <c r="Y362" s="242"/>
      <c r="Z362" s="251"/>
      <c r="AA362" s="243"/>
      <c r="AB362" s="243"/>
      <c r="AC362" s="243"/>
      <c r="AD362" s="243"/>
      <c r="AE362" s="243"/>
      <c r="AF362" s="243"/>
      <c r="AG362" s="243"/>
      <c r="AH362" s="243"/>
      <c r="AI362" s="243"/>
      <c r="AJ362" s="251"/>
    </row>
    <row r="363" spans="1:36" ht="15" thickTop="1" thickBot="1" x14ac:dyDescent="0.35">
      <c r="A363" s="234"/>
      <c r="B363" s="234" t="s">
        <v>1306</v>
      </c>
      <c r="D363" s="234" t="s">
        <v>880</v>
      </c>
      <c r="E363" s="235"/>
      <c r="F363" s="235" t="str">
        <f t="shared" si="274"/>
        <v>-</v>
      </c>
      <c r="G363" s="235" t="str">
        <f t="shared" si="275"/>
        <v>-</v>
      </c>
      <c r="H363" s="235"/>
      <c r="I363" s="236"/>
      <c r="J363" s="236"/>
      <c r="K363" s="241" t="str">
        <f ca="1">IF(Table1192[[#This Row],[VALID]],Table1192[[#This Row],[VALID]]-TODAY(),"-")</f>
        <v>-</v>
      </c>
      <c r="L363" s="244"/>
      <c r="M363" s="238"/>
      <c r="N363" s="237"/>
      <c r="O363" s="237"/>
      <c r="P363" s="237"/>
      <c r="Q363" s="250"/>
      <c r="R363" s="238"/>
      <c r="S363" s="237"/>
      <c r="T363" s="237"/>
      <c r="U363" s="237"/>
      <c r="V363" s="250"/>
      <c r="W363" s="239"/>
      <c r="X363" s="237"/>
      <c r="Y363" s="242"/>
      <c r="Z363" s="251"/>
      <c r="AA363" s="243"/>
      <c r="AB363" s="243"/>
      <c r="AC363" s="243"/>
      <c r="AD363" s="243"/>
      <c r="AE363" s="243"/>
      <c r="AF363" s="243"/>
      <c r="AG363" s="243"/>
      <c r="AH363" s="243"/>
      <c r="AI363" s="243"/>
      <c r="AJ363" s="251"/>
    </row>
    <row r="364" spans="1:36" ht="15" thickTop="1" thickBot="1" x14ac:dyDescent="0.35">
      <c r="A364" s="234"/>
      <c r="B364" s="234" t="s">
        <v>1306</v>
      </c>
      <c r="D364" s="234" t="s">
        <v>880</v>
      </c>
      <c r="E364" s="235"/>
      <c r="F364" s="235" t="str">
        <f t="shared" si="274"/>
        <v>-</v>
      </c>
      <c r="G364" s="235" t="str">
        <f t="shared" si="275"/>
        <v>-</v>
      </c>
      <c r="H364" s="235"/>
      <c r="I364" s="236"/>
      <c r="J364" s="236"/>
      <c r="K364" s="241" t="str">
        <f ca="1">IF(Table1192[[#This Row],[VALID]],Table1192[[#This Row],[VALID]]-TODAY(),"-")</f>
        <v>-</v>
      </c>
      <c r="L364" s="244"/>
      <c r="M364" s="238"/>
      <c r="N364" s="237"/>
      <c r="O364" s="237"/>
      <c r="P364" s="237"/>
      <c r="Q364" s="250"/>
      <c r="R364" s="238"/>
      <c r="S364" s="237"/>
      <c r="T364" s="237"/>
      <c r="U364" s="237"/>
      <c r="V364" s="250"/>
      <c r="W364" s="239"/>
      <c r="X364" s="237"/>
      <c r="Y364" s="242"/>
      <c r="Z364" s="251"/>
      <c r="AA364" s="243"/>
      <c r="AB364" s="243"/>
      <c r="AC364" s="243"/>
      <c r="AD364" s="243"/>
      <c r="AE364" s="243"/>
      <c r="AF364" s="243"/>
      <c r="AG364" s="243"/>
      <c r="AH364" s="243"/>
      <c r="AI364" s="243"/>
      <c r="AJ364" s="251"/>
    </row>
    <row r="365" spans="1:36" ht="15" thickTop="1" thickBot="1" x14ac:dyDescent="0.35">
      <c r="A365" s="234" t="s">
        <v>1322</v>
      </c>
      <c r="B365" s="234" t="s">
        <v>1306</v>
      </c>
      <c r="C365" s="234" t="s">
        <v>53</v>
      </c>
      <c r="D365" s="234" t="s">
        <v>880</v>
      </c>
      <c r="E365" s="235" t="s">
        <v>3</v>
      </c>
      <c r="F365" s="235">
        <f>IF(M365,SUM(M365:P365,W365:X365),"-")</f>
        <v>1445</v>
      </c>
      <c r="G365" s="235">
        <f>IF(R365,SUM(R365:U365,W365:X365),"-")</f>
        <v>1495</v>
      </c>
      <c r="H365" s="235" t="s">
        <v>128</v>
      </c>
      <c r="I365" s="236">
        <v>46070</v>
      </c>
      <c r="J365" s="236">
        <v>46081</v>
      </c>
      <c r="K365" s="241">
        <f ca="1">IF(Table1192[[#This Row],[VALID]],Table1192[[#This Row],[VALID]]-TODAY(),"-")</f>
        <v>-5</v>
      </c>
      <c r="L365" s="244"/>
      <c r="M365" s="238">
        <v>1056</v>
      </c>
      <c r="N365" s="237">
        <v>389</v>
      </c>
      <c r="O365" s="237"/>
      <c r="P365" s="237"/>
      <c r="Q365" s="250"/>
      <c r="R365" s="238">
        <v>762</v>
      </c>
      <c r="S365" s="237">
        <v>733</v>
      </c>
      <c r="T365" s="237"/>
      <c r="U365" s="237"/>
      <c r="V365" s="250"/>
      <c r="W365" s="239"/>
      <c r="X365" s="237"/>
      <c r="Y365" s="242"/>
      <c r="Z365" s="251"/>
      <c r="AA365" s="243"/>
      <c r="AB365" s="243"/>
      <c r="AC365" s="243"/>
      <c r="AD365" s="243"/>
      <c r="AE365" s="243"/>
      <c r="AF365" s="243"/>
      <c r="AG365" s="243"/>
      <c r="AH365" s="243"/>
      <c r="AI365" s="243"/>
      <c r="AJ365" s="251"/>
    </row>
    <row r="366" spans="1:36" ht="15" thickTop="1" thickBot="1" x14ac:dyDescent="0.35">
      <c r="A366" s="234" t="s">
        <v>1325</v>
      </c>
      <c r="B366" s="234" t="s">
        <v>1306</v>
      </c>
      <c r="C366" s="234" t="s">
        <v>124</v>
      </c>
      <c r="D366" s="234" t="s">
        <v>880</v>
      </c>
      <c r="E366" s="235" t="s">
        <v>3</v>
      </c>
      <c r="F366" s="235">
        <f>IF(M366,SUM(M366:P366,W366:X366),"-")</f>
        <v>1445</v>
      </c>
      <c r="G366" s="235">
        <f>IF(R366,SUM(R366:U366,W366:X366),"-")</f>
        <v>1495</v>
      </c>
      <c r="H366" s="235" t="s">
        <v>128</v>
      </c>
      <c r="I366" s="236">
        <v>46070</v>
      </c>
      <c r="J366" s="236">
        <v>46081</v>
      </c>
      <c r="K366" s="241">
        <f ca="1">IF(Table1192[[#This Row],[VALID]],Table1192[[#This Row],[VALID]]-TODAY(),"-")</f>
        <v>-5</v>
      </c>
      <c r="L366" s="244"/>
      <c r="M366" s="238">
        <v>1056</v>
      </c>
      <c r="N366" s="237">
        <v>389</v>
      </c>
      <c r="O366" s="237"/>
      <c r="P366" s="237"/>
      <c r="Q366" s="250"/>
      <c r="R366" s="238">
        <v>762</v>
      </c>
      <c r="S366" s="237">
        <v>733</v>
      </c>
      <c r="T366" s="237"/>
      <c r="U366" s="237"/>
      <c r="V366" s="250"/>
      <c r="W366" s="239"/>
      <c r="X366" s="237"/>
      <c r="Y366" s="242"/>
      <c r="Z366" s="251"/>
      <c r="AA366" s="243"/>
      <c r="AB366" s="243"/>
      <c r="AC366" s="243"/>
      <c r="AD366" s="243"/>
      <c r="AE366" s="243"/>
      <c r="AF366" s="243"/>
      <c r="AG366" s="243"/>
      <c r="AH366" s="243"/>
      <c r="AI366" s="243"/>
      <c r="AJ366" s="251"/>
    </row>
    <row r="367" spans="1:36" ht="15" thickTop="1" thickBot="1" x14ac:dyDescent="0.35">
      <c r="A367" s="234" t="s">
        <v>1322</v>
      </c>
      <c r="B367" s="234" t="s">
        <v>1306</v>
      </c>
      <c r="C367" s="234" t="s">
        <v>775</v>
      </c>
      <c r="D367" s="234" t="s">
        <v>880</v>
      </c>
      <c r="E367" s="235" t="s">
        <v>3</v>
      </c>
      <c r="F367" s="235">
        <f>IF(M367,SUM(M367:P367,W367:X367),"-")</f>
        <v>1545</v>
      </c>
      <c r="G367" s="235">
        <f>IF(R367,SUM(R367:U367,W367:X367),"-")</f>
        <v>1645</v>
      </c>
      <c r="H367" s="235" t="s">
        <v>128</v>
      </c>
      <c r="I367" s="236">
        <v>46070</v>
      </c>
      <c r="J367" s="236">
        <v>46081</v>
      </c>
      <c r="K367" s="241">
        <f ca="1">IF(Table1192[[#This Row],[VALID]],Table1192[[#This Row],[VALID]]-TODAY(),"-")</f>
        <v>-5</v>
      </c>
      <c r="L367" s="244"/>
      <c r="M367" s="238">
        <v>1156</v>
      </c>
      <c r="N367" s="237">
        <v>389</v>
      </c>
      <c r="O367" s="237"/>
      <c r="P367" s="237"/>
      <c r="Q367" s="250"/>
      <c r="R367" s="238">
        <v>912</v>
      </c>
      <c r="S367" s="237">
        <v>733</v>
      </c>
      <c r="T367" s="237"/>
      <c r="U367" s="237"/>
      <c r="V367" s="250"/>
      <c r="W367" s="239"/>
      <c r="X367" s="237"/>
      <c r="Y367" s="242"/>
      <c r="Z367" s="251"/>
      <c r="AA367" s="243"/>
      <c r="AB367" s="243"/>
      <c r="AC367" s="243"/>
      <c r="AD367" s="243"/>
      <c r="AE367" s="243"/>
      <c r="AF367" s="243"/>
      <c r="AG367" s="243"/>
      <c r="AH367" s="243"/>
      <c r="AI367" s="243"/>
      <c r="AJ367" s="251"/>
    </row>
    <row r="368" spans="1:36" ht="15" thickTop="1" thickBot="1" x14ac:dyDescent="0.35">
      <c r="A368" s="234"/>
      <c r="B368" s="234" t="s">
        <v>1306</v>
      </c>
      <c r="D368" s="234" t="s">
        <v>1097</v>
      </c>
      <c r="E368" s="235"/>
      <c r="F368" s="235" t="str">
        <f t="shared" si="274"/>
        <v>-</v>
      </c>
      <c r="G368" s="235" t="str">
        <f t="shared" si="275"/>
        <v>-</v>
      </c>
      <c r="H368" s="235"/>
      <c r="I368" s="236"/>
      <c r="J368" s="236"/>
      <c r="K368" s="241" t="str">
        <f ca="1">IF(Table1192[[#This Row],[VALID]],Table1192[[#This Row],[VALID]]-TODAY(),"-")</f>
        <v>-</v>
      </c>
      <c r="L368" s="244"/>
      <c r="M368" s="238"/>
      <c r="N368" s="237"/>
      <c r="O368" s="237"/>
      <c r="P368" s="237"/>
      <c r="Q368" s="250"/>
      <c r="R368" s="238"/>
      <c r="S368" s="237"/>
      <c r="T368" s="237"/>
      <c r="U368" s="237"/>
      <c r="V368" s="250"/>
      <c r="W368" s="239"/>
      <c r="X368" s="237"/>
      <c r="Y368" s="242"/>
      <c r="Z368" s="251"/>
      <c r="AA368" s="243"/>
      <c r="AB368" s="243"/>
      <c r="AC368" s="243"/>
      <c r="AD368" s="243"/>
      <c r="AE368" s="243"/>
      <c r="AF368" s="243"/>
      <c r="AG368" s="243"/>
      <c r="AH368" s="243"/>
      <c r="AI368" s="243"/>
      <c r="AJ368" s="251"/>
    </row>
    <row r="369" spans="1:36" ht="15" thickTop="1" thickBot="1" x14ac:dyDescent="0.35">
      <c r="A369" s="234"/>
      <c r="B369" s="234" t="s">
        <v>1306</v>
      </c>
      <c r="D369" s="234" t="s">
        <v>862</v>
      </c>
      <c r="E369" s="235"/>
      <c r="F369" s="235" t="str">
        <f t="shared" si="274"/>
        <v>-</v>
      </c>
      <c r="G369" s="235" t="str">
        <f t="shared" si="275"/>
        <v>-</v>
      </c>
      <c r="H369" s="235"/>
      <c r="I369" s="236"/>
      <c r="J369" s="236"/>
      <c r="K369" s="241" t="str">
        <f ca="1">IF(Table1192[[#This Row],[VALID]],Table1192[[#This Row],[VALID]]-TODAY(),"-")</f>
        <v>-</v>
      </c>
      <c r="L369" s="244"/>
      <c r="M369" s="238"/>
      <c r="N369" s="237"/>
      <c r="O369" s="237"/>
      <c r="P369" s="237"/>
      <c r="Q369" s="250"/>
      <c r="R369" s="238"/>
      <c r="S369" s="237"/>
      <c r="T369" s="237"/>
      <c r="U369" s="237"/>
      <c r="V369" s="250"/>
      <c r="W369" s="239"/>
      <c r="X369" s="237"/>
      <c r="Y369" s="242"/>
      <c r="Z369" s="251"/>
      <c r="AA369" s="243"/>
      <c r="AB369" s="243"/>
      <c r="AC369" s="243"/>
      <c r="AD369" s="243"/>
      <c r="AE369" s="243"/>
      <c r="AF369" s="243"/>
      <c r="AG369" s="243"/>
      <c r="AH369" s="243"/>
      <c r="AI369" s="243"/>
      <c r="AJ369" s="251"/>
    </row>
    <row r="370" spans="1:36" ht="15" thickTop="1" thickBot="1" x14ac:dyDescent="0.35">
      <c r="A370" s="234"/>
      <c r="B370" s="234" t="s">
        <v>1306</v>
      </c>
      <c r="D370" s="234" t="s">
        <v>1314</v>
      </c>
      <c r="E370" s="235"/>
      <c r="F370" s="235" t="str">
        <f t="shared" si="274"/>
        <v>-</v>
      </c>
      <c r="G370" s="235" t="str">
        <f t="shared" si="275"/>
        <v>-</v>
      </c>
      <c r="H370" s="235"/>
      <c r="I370" s="236"/>
      <c r="J370" s="236"/>
      <c r="K370" s="241" t="str">
        <f ca="1">IF(Table1192[[#This Row],[VALID]],Table1192[[#This Row],[VALID]]-TODAY(),"-")</f>
        <v>-</v>
      </c>
      <c r="L370" s="244"/>
      <c r="M370" s="238"/>
      <c r="N370" s="237"/>
      <c r="O370" s="237"/>
      <c r="P370" s="237"/>
      <c r="Q370" s="250"/>
      <c r="R370" s="238"/>
      <c r="S370" s="237"/>
      <c r="T370" s="237"/>
      <c r="U370" s="237"/>
      <c r="V370" s="250"/>
      <c r="W370" s="239"/>
      <c r="X370" s="237"/>
      <c r="Y370" s="242"/>
      <c r="Z370" s="251"/>
      <c r="AA370" s="243"/>
      <c r="AB370" s="243"/>
      <c r="AC370" s="243"/>
      <c r="AD370" s="243"/>
      <c r="AE370" s="243"/>
      <c r="AF370" s="243"/>
      <c r="AG370" s="243"/>
      <c r="AH370" s="243"/>
      <c r="AI370" s="243"/>
      <c r="AJ370" s="251"/>
    </row>
    <row r="371" spans="1:36" ht="15" thickTop="1" thickBot="1" x14ac:dyDescent="0.35">
      <c r="A371" s="234"/>
      <c r="B371" s="234" t="s">
        <v>1306</v>
      </c>
      <c r="D371" s="234" t="s">
        <v>1193</v>
      </c>
      <c r="E371" s="235"/>
      <c r="F371" s="235" t="str">
        <f t="shared" si="274"/>
        <v>-</v>
      </c>
      <c r="G371" s="235" t="str">
        <f t="shared" si="275"/>
        <v>-</v>
      </c>
      <c r="H371" s="235"/>
      <c r="I371" s="236"/>
      <c r="J371" s="236"/>
      <c r="K371" s="241" t="str">
        <f ca="1">IF(Table1192[[#This Row],[VALID]],Table1192[[#This Row],[VALID]]-TODAY(),"-")</f>
        <v>-</v>
      </c>
      <c r="L371" s="244"/>
      <c r="M371" s="238"/>
      <c r="N371" s="237"/>
      <c r="O371" s="237"/>
      <c r="P371" s="237"/>
      <c r="Q371" s="250"/>
      <c r="R371" s="238"/>
      <c r="S371" s="237"/>
      <c r="T371" s="237"/>
      <c r="U371" s="237"/>
      <c r="V371" s="250"/>
      <c r="W371" s="239"/>
      <c r="X371" s="237"/>
      <c r="Y371" s="242"/>
      <c r="Z371" s="251"/>
      <c r="AA371" s="243"/>
      <c r="AB371" s="243"/>
      <c r="AC371" s="243"/>
      <c r="AD371" s="243"/>
      <c r="AE371" s="243"/>
      <c r="AF371" s="243"/>
      <c r="AG371" s="243"/>
      <c r="AH371" s="243"/>
      <c r="AI371" s="243"/>
      <c r="AJ371" s="251"/>
    </row>
    <row r="372" spans="1:36" ht="15" thickTop="1" thickBot="1" x14ac:dyDescent="0.35">
      <c r="A372" s="234"/>
      <c r="B372" s="234" t="s">
        <v>1306</v>
      </c>
      <c r="D372" s="234" t="s">
        <v>885</v>
      </c>
      <c r="E372" s="235"/>
      <c r="F372" s="235" t="str">
        <f t="shared" si="274"/>
        <v>-</v>
      </c>
      <c r="G372" s="235" t="str">
        <f t="shared" si="275"/>
        <v>-</v>
      </c>
      <c r="H372" s="235"/>
      <c r="I372" s="236"/>
      <c r="J372" s="236"/>
      <c r="K372" s="241" t="str">
        <f ca="1">IF(Table1192[[#This Row],[VALID]],Table1192[[#This Row],[VALID]]-TODAY(),"-")</f>
        <v>-</v>
      </c>
      <c r="L372" s="244"/>
      <c r="M372" s="238"/>
      <c r="N372" s="237"/>
      <c r="O372" s="237"/>
      <c r="P372" s="237"/>
      <c r="Q372" s="250"/>
      <c r="R372" s="238"/>
      <c r="S372" s="237"/>
      <c r="T372" s="237"/>
      <c r="U372" s="237"/>
      <c r="V372" s="250"/>
      <c r="W372" s="239"/>
      <c r="X372" s="237"/>
      <c r="Y372" s="242"/>
      <c r="Z372" s="251"/>
      <c r="AA372" s="243"/>
      <c r="AB372" s="243"/>
      <c r="AC372" s="243"/>
      <c r="AD372" s="243"/>
      <c r="AE372" s="243"/>
      <c r="AF372" s="243"/>
      <c r="AG372" s="243"/>
      <c r="AH372" s="243"/>
      <c r="AI372" s="243"/>
      <c r="AJ372" s="251"/>
    </row>
    <row r="373" spans="1:36" ht="15" thickTop="1" thickBot="1" x14ac:dyDescent="0.35">
      <c r="A373" s="234"/>
      <c r="B373" s="234" t="s">
        <v>1306</v>
      </c>
      <c r="D373" s="234" t="s">
        <v>1194</v>
      </c>
      <c r="E373" s="235"/>
      <c r="F373" s="235" t="str">
        <f t="shared" si="274"/>
        <v>-</v>
      </c>
      <c r="G373" s="235" t="str">
        <f t="shared" si="275"/>
        <v>-</v>
      </c>
      <c r="H373" s="235"/>
      <c r="I373" s="236"/>
      <c r="J373" s="236"/>
      <c r="K373" s="241" t="str">
        <f ca="1">IF(Table1192[[#This Row],[VALID]],Table1192[[#This Row],[VALID]]-TODAY(),"-")</f>
        <v>-</v>
      </c>
      <c r="L373" s="244"/>
      <c r="M373" s="238"/>
      <c r="N373" s="237"/>
      <c r="O373" s="237"/>
      <c r="P373" s="237"/>
      <c r="Q373" s="250"/>
      <c r="R373" s="238"/>
      <c r="S373" s="237"/>
      <c r="T373" s="237"/>
      <c r="U373" s="237"/>
      <c r="V373" s="250"/>
      <c r="W373" s="239"/>
      <c r="X373" s="237"/>
      <c r="Y373" s="242"/>
      <c r="Z373" s="251"/>
      <c r="AA373" s="243"/>
      <c r="AB373" s="243"/>
      <c r="AC373" s="243"/>
      <c r="AD373" s="243"/>
      <c r="AE373" s="243"/>
      <c r="AF373" s="243"/>
      <c r="AG373" s="243"/>
      <c r="AH373" s="243"/>
      <c r="AI373" s="243"/>
      <c r="AJ373" s="251"/>
    </row>
    <row r="374" spans="1:36" ht="15" thickTop="1" thickBot="1" x14ac:dyDescent="0.35">
      <c r="A374" s="234"/>
      <c r="B374" s="234" t="s">
        <v>1306</v>
      </c>
      <c r="D374" s="234" t="s">
        <v>1195</v>
      </c>
      <c r="E374" s="235"/>
      <c r="F374" s="235" t="str">
        <f t="shared" si="274"/>
        <v>-</v>
      </c>
      <c r="G374" s="235" t="str">
        <f t="shared" si="275"/>
        <v>-</v>
      </c>
      <c r="H374" s="235"/>
      <c r="I374" s="236"/>
      <c r="J374" s="236"/>
      <c r="K374" s="241" t="str">
        <f ca="1">IF(Table1192[[#This Row],[VALID]],Table1192[[#This Row],[VALID]]-TODAY(),"-")</f>
        <v>-</v>
      </c>
      <c r="L374" s="244"/>
      <c r="M374" s="238"/>
      <c r="N374" s="237"/>
      <c r="O374" s="237"/>
      <c r="P374" s="237"/>
      <c r="Q374" s="250"/>
      <c r="R374" s="238"/>
      <c r="S374" s="237"/>
      <c r="T374" s="237"/>
      <c r="U374" s="237"/>
      <c r="V374" s="250"/>
      <c r="W374" s="239"/>
      <c r="X374" s="237"/>
      <c r="Y374" s="242"/>
      <c r="Z374" s="251"/>
      <c r="AA374" s="243"/>
      <c r="AB374" s="243"/>
      <c r="AC374" s="243"/>
      <c r="AD374" s="243"/>
      <c r="AE374" s="243"/>
      <c r="AF374" s="243"/>
      <c r="AG374" s="243"/>
      <c r="AH374" s="243"/>
      <c r="AI374" s="243"/>
      <c r="AJ374" s="251"/>
    </row>
    <row r="375" spans="1:36" ht="15" thickTop="1" thickBot="1" x14ac:dyDescent="0.35">
      <c r="A375" s="234"/>
      <c r="B375" s="234" t="s">
        <v>1306</v>
      </c>
      <c r="D375" s="234" t="s">
        <v>1196</v>
      </c>
      <c r="E375" s="235"/>
      <c r="F375" s="235" t="str">
        <f t="shared" si="274"/>
        <v>-</v>
      </c>
      <c r="G375" s="235" t="str">
        <f t="shared" si="275"/>
        <v>-</v>
      </c>
      <c r="H375" s="235"/>
      <c r="I375" s="236"/>
      <c r="J375" s="236"/>
      <c r="K375" s="241" t="str">
        <f ca="1">IF(Table1192[[#This Row],[VALID]],Table1192[[#This Row],[VALID]]-TODAY(),"-")</f>
        <v>-</v>
      </c>
      <c r="L375" s="244"/>
      <c r="M375" s="238"/>
      <c r="N375" s="237"/>
      <c r="O375" s="237"/>
      <c r="P375" s="237"/>
      <c r="Q375" s="250"/>
      <c r="R375" s="238"/>
      <c r="S375" s="237"/>
      <c r="T375" s="237"/>
      <c r="U375" s="237"/>
      <c r="V375" s="250"/>
      <c r="W375" s="239"/>
      <c r="X375" s="237"/>
      <c r="Y375" s="242"/>
      <c r="Z375" s="251"/>
      <c r="AA375" s="243"/>
      <c r="AB375" s="243"/>
      <c r="AC375" s="243"/>
      <c r="AD375" s="243"/>
      <c r="AE375" s="243"/>
      <c r="AF375" s="243"/>
      <c r="AG375" s="243"/>
      <c r="AH375" s="243"/>
      <c r="AI375" s="243"/>
      <c r="AJ375" s="251"/>
    </row>
    <row r="376" spans="1:36" ht="15" thickTop="1" thickBot="1" x14ac:dyDescent="0.35">
      <c r="A376" s="234"/>
      <c r="B376" s="234" t="s">
        <v>1306</v>
      </c>
      <c r="D376" s="234" t="s">
        <v>603</v>
      </c>
      <c r="E376" s="235"/>
      <c r="F376" s="235" t="str">
        <f t="shared" si="274"/>
        <v>-</v>
      </c>
      <c r="G376" s="235" t="str">
        <f t="shared" si="275"/>
        <v>-</v>
      </c>
      <c r="H376" s="235"/>
      <c r="I376" s="236"/>
      <c r="J376" s="236"/>
      <c r="K376" s="241" t="str">
        <f ca="1">IF(Table1192[[#This Row],[VALID]],Table1192[[#This Row],[VALID]]-TODAY(),"-")</f>
        <v>-</v>
      </c>
      <c r="L376" s="244"/>
      <c r="M376" s="238"/>
      <c r="N376" s="237"/>
      <c r="O376" s="237"/>
      <c r="P376" s="237"/>
      <c r="Q376" s="250"/>
      <c r="R376" s="238"/>
      <c r="S376" s="237"/>
      <c r="T376" s="237"/>
      <c r="U376" s="237"/>
      <c r="V376" s="250"/>
      <c r="W376" s="239"/>
      <c r="X376" s="237"/>
      <c r="Y376" s="242"/>
      <c r="Z376" s="251"/>
      <c r="AA376" s="243"/>
      <c r="AB376" s="243"/>
      <c r="AC376" s="243"/>
      <c r="AD376" s="243"/>
      <c r="AE376" s="243"/>
      <c r="AF376" s="243"/>
      <c r="AG376" s="243"/>
      <c r="AH376" s="243"/>
      <c r="AI376" s="243"/>
      <c r="AJ376" s="251"/>
    </row>
    <row r="377" spans="1:36" ht="15" thickTop="1" thickBot="1" x14ac:dyDescent="0.35">
      <c r="A377" s="234"/>
      <c r="B377" s="234" t="s">
        <v>1306</v>
      </c>
      <c r="D377" s="234" t="s">
        <v>894</v>
      </c>
      <c r="E377" s="235"/>
      <c r="F377" s="235" t="str">
        <f t="shared" si="274"/>
        <v>-</v>
      </c>
      <c r="G377" s="235" t="str">
        <f t="shared" si="275"/>
        <v>-</v>
      </c>
      <c r="H377" s="235"/>
      <c r="I377" s="236"/>
      <c r="J377" s="236"/>
      <c r="K377" s="241" t="str">
        <f ca="1">IF(Table1192[[#This Row],[VALID]],Table1192[[#This Row],[VALID]]-TODAY(),"-")</f>
        <v>-</v>
      </c>
      <c r="L377" s="244"/>
      <c r="M377" s="238"/>
      <c r="N377" s="237"/>
      <c r="O377" s="237"/>
      <c r="P377" s="237"/>
      <c r="Q377" s="250"/>
      <c r="R377" s="238"/>
      <c r="S377" s="237"/>
      <c r="T377" s="237"/>
      <c r="U377" s="237"/>
      <c r="V377" s="250"/>
      <c r="W377" s="239"/>
      <c r="X377" s="237"/>
      <c r="Y377" s="242"/>
      <c r="Z377" s="251"/>
      <c r="AA377" s="243"/>
      <c r="AB377" s="243"/>
      <c r="AC377" s="243"/>
      <c r="AD377" s="243"/>
      <c r="AE377" s="243"/>
      <c r="AF377" s="243"/>
      <c r="AG377" s="243"/>
      <c r="AH377" s="243"/>
      <c r="AI377" s="243"/>
      <c r="AJ377" s="251"/>
    </row>
    <row r="378" spans="1:36" ht="15" thickTop="1" thickBot="1" x14ac:dyDescent="0.35">
      <c r="A378" s="234"/>
      <c r="B378" s="234" t="s">
        <v>1306</v>
      </c>
      <c r="D378" s="234" t="s">
        <v>1213</v>
      </c>
      <c r="E378" s="235"/>
      <c r="F378" s="235" t="str">
        <f t="shared" si="274"/>
        <v>-</v>
      </c>
      <c r="G378" s="235" t="str">
        <f t="shared" si="275"/>
        <v>-</v>
      </c>
      <c r="H378" s="235"/>
      <c r="I378" s="236"/>
      <c r="J378" s="236"/>
      <c r="K378" s="241" t="str">
        <f ca="1">IF(Table1192[[#This Row],[VALID]],Table1192[[#This Row],[VALID]]-TODAY(),"-")</f>
        <v>-</v>
      </c>
      <c r="L378" s="244"/>
      <c r="M378" s="238"/>
      <c r="N378" s="237"/>
      <c r="O378" s="237"/>
      <c r="P378" s="237"/>
      <c r="Q378" s="250"/>
      <c r="R378" s="238"/>
      <c r="S378" s="237"/>
      <c r="T378" s="237"/>
      <c r="U378" s="237"/>
      <c r="V378" s="250"/>
      <c r="W378" s="239"/>
      <c r="X378" s="237"/>
      <c r="Y378" s="242"/>
      <c r="Z378" s="251"/>
      <c r="AA378" s="243"/>
      <c r="AB378" s="243"/>
      <c r="AC378" s="243"/>
      <c r="AD378" s="243"/>
      <c r="AE378" s="243"/>
      <c r="AF378" s="243"/>
      <c r="AG378" s="243"/>
      <c r="AH378" s="243"/>
      <c r="AI378" s="243"/>
      <c r="AJ378" s="251"/>
    </row>
    <row r="379" spans="1:36" ht="15" thickTop="1" thickBot="1" x14ac:dyDescent="0.35">
      <c r="A379" s="234"/>
      <c r="B379" s="234" t="s">
        <v>1306</v>
      </c>
      <c r="D379" s="234" t="s">
        <v>624</v>
      </c>
      <c r="E379" s="235"/>
      <c r="F379" s="235" t="str">
        <f t="shared" si="274"/>
        <v>-</v>
      </c>
      <c r="G379" s="235" t="str">
        <f t="shared" si="275"/>
        <v>-</v>
      </c>
      <c r="H379" s="235"/>
      <c r="I379" s="236"/>
      <c r="J379" s="236"/>
      <c r="K379" s="241" t="str">
        <f ca="1">IF(Table1192[[#This Row],[VALID]],Table1192[[#This Row],[VALID]]-TODAY(),"-")</f>
        <v>-</v>
      </c>
      <c r="L379" s="244"/>
      <c r="M379" s="238"/>
      <c r="N379" s="237"/>
      <c r="O379" s="237"/>
      <c r="P379" s="237"/>
      <c r="Q379" s="250"/>
      <c r="R379" s="238"/>
      <c r="S379" s="237"/>
      <c r="T379" s="237"/>
      <c r="U379" s="237"/>
      <c r="V379" s="250"/>
      <c r="W379" s="239"/>
      <c r="X379" s="237"/>
      <c r="Y379" s="242"/>
      <c r="Z379" s="251"/>
      <c r="AA379" s="243"/>
      <c r="AB379" s="243"/>
      <c r="AC379" s="243"/>
      <c r="AD379" s="243"/>
      <c r="AE379" s="243"/>
      <c r="AF379" s="243"/>
      <c r="AG379" s="243"/>
      <c r="AH379" s="243"/>
      <c r="AI379" s="243"/>
      <c r="AJ379" s="251"/>
    </row>
    <row r="380" spans="1:36" ht="15" thickTop="1" thickBot="1" x14ac:dyDescent="0.35">
      <c r="A380" s="234"/>
      <c r="B380" s="234" t="s">
        <v>1306</v>
      </c>
      <c r="D380" s="234" t="s">
        <v>628</v>
      </c>
      <c r="E380" s="235"/>
      <c r="F380" s="235" t="str">
        <f t="shared" si="274"/>
        <v>-</v>
      </c>
      <c r="G380" s="235" t="str">
        <f t="shared" si="275"/>
        <v>-</v>
      </c>
      <c r="H380" s="235"/>
      <c r="I380" s="236"/>
      <c r="J380" s="236"/>
      <c r="K380" s="241" t="str">
        <f ca="1">IF(Table1192[[#This Row],[VALID]],Table1192[[#This Row],[VALID]]-TODAY(),"-")</f>
        <v>-</v>
      </c>
      <c r="L380" s="244"/>
      <c r="M380" s="238"/>
      <c r="N380" s="237"/>
      <c r="O380" s="237"/>
      <c r="P380" s="237"/>
      <c r="Q380" s="250"/>
      <c r="R380" s="238"/>
      <c r="S380" s="237"/>
      <c r="T380" s="237"/>
      <c r="U380" s="237"/>
      <c r="V380" s="250"/>
      <c r="W380" s="239"/>
      <c r="X380" s="237"/>
      <c r="Y380" s="242"/>
      <c r="Z380" s="251"/>
      <c r="AA380" s="243"/>
      <c r="AB380" s="243"/>
      <c r="AC380" s="243"/>
      <c r="AD380" s="243"/>
      <c r="AE380" s="243"/>
      <c r="AF380" s="243"/>
      <c r="AG380" s="243"/>
      <c r="AH380" s="243"/>
      <c r="AI380" s="243"/>
      <c r="AJ380" s="251"/>
    </row>
    <row r="381" spans="1:36" ht="15" thickTop="1" thickBot="1" x14ac:dyDescent="0.35">
      <c r="A381" s="234"/>
      <c r="B381" s="234" t="s">
        <v>1306</v>
      </c>
      <c r="D381" s="234" t="s">
        <v>642</v>
      </c>
      <c r="E381" s="235"/>
      <c r="F381" s="235" t="str">
        <f t="shared" si="274"/>
        <v>-</v>
      </c>
      <c r="G381" s="235" t="str">
        <f t="shared" si="275"/>
        <v>-</v>
      </c>
      <c r="H381" s="235"/>
      <c r="I381" s="236"/>
      <c r="J381" s="236"/>
      <c r="K381" s="241" t="str">
        <f ca="1">IF(Table1192[[#This Row],[VALID]],Table1192[[#This Row],[VALID]]-TODAY(),"-")</f>
        <v>-</v>
      </c>
      <c r="L381" s="244"/>
      <c r="M381" s="238"/>
      <c r="N381" s="237"/>
      <c r="O381" s="237"/>
      <c r="P381" s="237"/>
      <c r="Q381" s="250"/>
      <c r="R381" s="238"/>
      <c r="S381" s="237"/>
      <c r="T381" s="237"/>
      <c r="U381" s="237"/>
      <c r="V381" s="250"/>
      <c r="W381" s="239"/>
      <c r="X381" s="237"/>
      <c r="Y381" s="242"/>
      <c r="Z381" s="251"/>
      <c r="AA381" s="243"/>
      <c r="AB381" s="243"/>
      <c r="AC381" s="243"/>
      <c r="AD381" s="243"/>
      <c r="AE381" s="243"/>
      <c r="AF381" s="243"/>
      <c r="AG381" s="243"/>
      <c r="AH381" s="243"/>
      <c r="AI381" s="243"/>
      <c r="AJ381" s="251"/>
    </row>
    <row r="382" spans="1:36" ht="15" thickTop="1" thickBot="1" x14ac:dyDescent="0.35">
      <c r="A382" s="234"/>
      <c r="B382" s="234" t="s">
        <v>1306</v>
      </c>
      <c r="D382" s="234" t="s">
        <v>881</v>
      </c>
      <c r="E382" s="235"/>
      <c r="F382" s="235" t="str">
        <f t="shared" si="274"/>
        <v>-</v>
      </c>
      <c r="G382" s="235" t="str">
        <f t="shared" si="275"/>
        <v>-</v>
      </c>
      <c r="H382" s="235"/>
      <c r="I382" s="236"/>
      <c r="J382" s="236"/>
      <c r="K382" s="241" t="str">
        <f ca="1">IF(Table1192[[#This Row],[VALID]],Table1192[[#This Row],[VALID]]-TODAY(),"-")</f>
        <v>-</v>
      </c>
      <c r="L382" s="244"/>
      <c r="M382" s="238"/>
      <c r="N382" s="237"/>
      <c r="O382" s="237"/>
      <c r="P382" s="237"/>
      <c r="Q382" s="250"/>
      <c r="R382" s="238"/>
      <c r="S382" s="237"/>
      <c r="T382" s="237"/>
      <c r="U382" s="237"/>
      <c r="V382" s="250"/>
      <c r="W382" s="239"/>
      <c r="X382" s="237"/>
      <c r="Y382" s="242"/>
      <c r="Z382" s="251"/>
      <c r="AA382" s="243"/>
      <c r="AB382" s="243"/>
      <c r="AC382" s="243"/>
      <c r="AD382" s="243"/>
      <c r="AE382" s="243"/>
      <c r="AF382" s="243"/>
      <c r="AG382" s="243"/>
      <c r="AH382" s="243"/>
      <c r="AI382" s="243"/>
      <c r="AJ382" s="251"/>
    </row>
    <row r="383" spans="1:36" ht="15" thickTop="1" thickBot="1" x14ac:dyDescent="0.35">
      <c r="A383" s="234"/>
      <c r="B383" s="234" t="s">
        <v>1306</v>
      </c>
      <c r="D383" s="234" t="s">
        <v>1333</v>
      </c>
      <c r="E383" s="235"/>
      <c r="F383" s="235" t="str">
        <f t="shared" ref="F383" si="276">IF(M383,SUM(M383:P383,W383:X383),"-")</f>
        <v>-</v>
      </c>
      <c r="G383" s="235" t="str">
        <f t="shared" ref="G383" si="277">IF(R383,SUM(R383:U383,W383:X383),"-")</f>
        <v>-</v>
      </c>
      <c r="H383" s="235"/>
      <c r="I383" s="236"/>
      <c r="J383" s="236"/>
      <c r="K383" s="241" t="str">
        <f ca="1">IF(Table1192[[#This Row],[VALID]],Table1192[[#This Row],[VALID]]-TODAY(),"-")</f>
        <v>-</v>
      </c>
      <c r="L383" s="244"/>
      <c r="M383" s="238"/>
      <c r="N383" s="237"/>
      <c r="O383" s="237"/>
      <c r="P383" s="237"/>
      <c r="Q383" s="250"/>
      <c r="R383" s="238"/>
      <c r="S383" s="237"/>
      <c r="T383" s="237"/>
      <c r="U383" s="237"/>
      <c r="V383" s="250"/>
      <c r="W383" s="239"/>
      <c r="X383" s="237"/>
      <c r="Y383" s="242"/>
      <c r="Z383" s="251"/>
      <c r="AA383" s="243"/>
      <c r="AB383" s="243"/>
      <c r="AC383" s="243"/>
      <c r="AD383" s="243"/>
      <c r="AE383" s="243"/>
      <c r="AF383" s="243"/>
      <c r="AG383" s="243"/>
      <c r="AH383" s="243"/>
      <c r="AI383" s="243"/>
      <c r="AJ383" s="251"/>
    </row>
    <row r="384" spans="1:36" ht="15" thickTop="1" thickBot="1" x14ac:dyDescent="0.35">
      <c r="A384" s="234"/>
      <c r="B384" s="234" t="s">
        <v>1306</v>
      </c>
      <c r="D384" s="234" t="s">
        <v>1197</v>
      </c>
      <c r="E384" s="235"/>
      <c r="F384" s="235" t="str">
        <f t="shared" si="274"/>
        <v>-</v>
      </c>
      <c r="G384" s="235" t="str">
        <f t="shared" si="275"/>
        <v>-</v>
      </c>
      <c r="H384" s="235"/>
      <c r="I384" s="236"/>
      <c r="J384" s="236"/>
      <c r="K384" s="241" t="str">
        <f ca="1">IF(Table1192[[#This Row],[VALID]],Table1192[[#This Row],[VALID]]-TODAY(),"-")</f>
        <v>-</v>
      </c>
      <c r="L384" s="244"/>
      <c r="M384" s="238"/>
      <c r="N384" s="237"/>
      <c r="O384" s="237"/>
      <c r="P384" s="237"/>
      <c r="Q384" s="250"/>
      <c r="R384" s="238"/>
      <c r="S384" s="237"/>
      <c r="T384" s="237"/>
      <c r="U384" s="237"/>
      <c r="V384" s="250"/>
      <c r="W384" s="239"/>
      <c r="X384" s="237"/>
      <c r="Y384" s="242"/>
      <c r="Z384" s="251"/>
      <c r="AA384" s="243"/>
      <c r="AB384" s="243"/>
      <c r="AC384" s="243"/>
      <c r="AD384" s="243"/>
      <c r="AE384" s="243"/>
      <c r="AF384" s="243"/>
      <c r="AG384" s="243"/>
      <c r="AH384" s="243"/>
      <c r="AI384" s="243"/>
      <c r="AJ384" s="251"/>
    </row>
    <row r="385" spans="1:36" ht="15" thickTop="1" thickBot="1" x14ac:dyDescent="0.35">
      <c r="A385" s="234"/>
      <c r="B385" s="234" t="s">
        <v>1306</v>
      </c>
      <c r="D385" s="234" t="s">
        <v>1198</v>
      </c>
      <c r="E385" s="235"/>
      <c r="F385" s="235" t="str">
        <f t="shared" si="274"/>
        <v>-</v>
      </c>
      <c r="G385" s="235" t="str">
        <f t="shared" si="275"/>
        <v>-</v>
      </c>
      <c r="H385" s="235"/>
      <c r="I385" s="236"/>
      <c r="J385" s="236"/>
      <c r="K385" s="241" t="str">
        <f ca="1">IF(Table1192[[#This Row],[VALID]],Table1192[[#This Row],[VALID]]-TODAY(),"-")</f>
        <v>-</v>
      </c>
      <c r="L385" s="244"/>
      <c r="M385" s="238"/>
      <c r="N385" s="237"/>
      <c r="O385" s="237"/>
      <c r="P385" s="237"/>
      <c r="Q385" s="250"/>
      <c r="R385" s="238"/>
      <c r="S385" s="237"/>
      <c r="T385" s="237"/>
      <c r="U385" s="237"/>
      <c r="V385" s="250"/>
      <c r="W385" s="239"/>
      <c r="X385" s="237"/>
      <c r="Y385" s="242"/>
      <c r="Z385" s="251"/>
      <c r="AA385" s="243"/>
      <c r="AB385" s="243"/>
      <c r="AC385" s="243"/>
      <c r="AD385" s="243"/>
      <c r="AE385" s="243"/>
      <c r="AF385" s="243"/>
      <c r="AG385" s="243"/>
      <c r="AH385" s="243"/>
      <c r="AI385" s="243"/>
      <c r="AJ385" s="251"/>
    </row>
    <row r="386" spans="1:36" ht="15" thickTop="1" thickBot="1" x14ac:dyDescent="0.35">
      <c r="A386" s="234"/>
      <c r="B386" s="234" t="s">
        <v>1306</v>
      </c>
      <c r="D386" s="234" t="s">
        <v>604</v>
      </c>
      <c r="E386" s="235"/>
      <c r="F386" s="235" t="str">
        <f t="shared" ref="F386" si="278">IF(M386,SUM(M386:P386,W386:X386),"-")</f>
        <v>-</v>
      </c>
      <c r="G386" s="235" t="str">
        <f t="shared" ref="G386" si="279">IF(R386,SUM(R386:U386,W386:X386),"-")</f>
        <v>-</v>
      </c>
      <c r="H386" s="235"/>
      <c r="I386" s="236"/>
      <c r="J386" s="236"/>
      <c r="K386" s="241" t="str">
        <f ca="1">IF(Table1192[[#This Row],[VALID]],Table1192[[#This Row],[VALID]]-TODAY(),"-")</f>
        <v>-</v>
      </c>
      <c r="L386" s="244"/>
      <c r="M386" s="238"/>
      <c r="N386" s="237"/>
      <c r="O386" s="237"/>
      <c r="P386" s="237"/>
      <c r="Q386" s="250"/>
      <c r="R386" s="238"/>
      <c r="S386" s="237"/>
      <c r="T386" s="237"/>
      <c r="U386" s="237"/>
      <c r="V386" s="250"/>
      <c r="W386" s="239"/>
      <c r="X386" s="237"/>
      <c r="Y386" s="242"/>
      <c r="Z386" s="251"/>
      <c r="AA386" s="243"/>
      <c r="AB386" s="243"/>
      <c r="AC386" s="243"/>
      <c r="AD386" s="243"/>
      <c r="AE386" s="243"/>
      <c r="AF386" s="243"/>
      <c r="AG386" s="243"/>
      <c r="AH386" s="243"/>
      <c r="AI386" s="243"/>
      <c r="AJ386" s="251"/>
    </row>
    <row r="387" spans="1:36" ht="15" thickTop="1" thickBot="1" x14ac:dyDescent="0.35">
      <c r="A387" s="234"/>
      <c r="B387" s="234" t="s">
        <v>1306</v>
      </c>
      <c r="D387" s="234" t="s">
        <v>1199</v>
      </c>
      <c r="E387" s="235"/>
      <c r="F387" s="235" t="str">
        <f t="shared" si="274"/>
        <v>-</v>
      </c>
      <c r="G387" s="235" t="str">
        <f t="shared" si="275"/>
        <v>-</v>
      </c>
      <c r="H387" s="235"/>
      <c r="I387" s="236"/>
      <c r="J387" s="236"/>
      <c r="K387" s="241" t="str">
        <f ca="1">IF(Table1192[[#This Row],[VALID]],Table1192[[#This Row],[VALID]]-TODAY(),"-")</f>
        <v>-</v>
      </c>
      <c r="L387" s="244"/>
      <c r="M387" s="238"/>
      <c r="N387" s="237"/>
      <c r="O387" s="237"/>
      <c r="P387" s="237"/>
      <c r="Q387" s="250"/>
      <c r="R387" s="238"/>
      <c r="S387" s="237"/>
      <c r="T387" s="237"/>
      <c r="U387" s="237"/>
      <c r="V387" s="250"/>
      <c r="W387" s="239"/>
      <c r="X387" s="237"/>
      <c r="Y387" s="242"/>
      <c r="Z387" s="251"/>
      <c r="AA387" s="243"/>
      <c r="AB387" s="243"/>
      <c r="AC387" s="243"/>
      <c r="AD387" s="243"/>
      <c r="AE387" s="243"/>
      <c r="AF387" s="243"/>
      <c r="AG387" s="243"/>
      <c r="AH387" s="243"/>
      <c r="AI387" s="243"/>
      <c r="AJ387" s="251"/>
    </row>
    <row r="388" spans="1:36" ht="15" thickTop="1" thickBot="1" x14ac:dyDescent="0.35">
      <c r="A388" s="234"/>
      <c r="B388" s="234" t="s">
        <v>1306</v>
      </c>
      <c r="D388" s="234" t="s">
        <v>1200</v>
      </c>
      <c r="E388" s="235"/>
      <c r="F388" s="235" t="str">
        <f t="shared" si="274"/>
        <v>-</v>
      </c>
      <c r="G388" s="235" t="str">
        <f t="shared" si="275"/>
        <v>-</v>
      </c>
      <c r="H388" s="235"/>
      <c r="I388" s="236"/>
      <c r="J388" s="236"/>
      <c r="K388" s="241" t="str">
        <f ca="1">IF(Table1192[[#This Row],[VALID]],Table1192[[#This Row],[VALID]]-TODAY(),"-")</f>
        <v>-</v>
      </c>
      <c r="L388" s="244"/>
      <c r="M388" s="238"/>
      <c r="N388" s="237"/>
      <c r="O388" s="237"/>
      <c r="P388" s="237"/>
      <c r="Q388" s="250"/>
      <c r="R388" s="238"/>
      <c r="S388" s="237"/>
      <c r="T388" s="237"/>
      <c r="U388" s="237"/>
      <c r="V388" s="250"/>
      <c r="W388" s="239"/>
      <c r="X388" s="237"/>
      <c r="Y388" s="242"/>
      <c r="Z388" s="251"/>
      <c r="AA388" s="243"/>
      <c r="AB388" s="243"/>
      <c r="AC388" s="243"/>
      <c r="AD388" s="243"/>
      <c r="AE388" s="243"/>
      <c r="AF388" s="243"/>
      <c r="AG388" s="243"/>
      <c r="AH388" s="243"/>
      <c r="AI388" s="243"/>
      <c r="AJ388" s="251"/>
    </row>
    <row r="389" spans="1:36" ht="15" thickTop="1" thickBot="1" x14ac:dyDescent="0.35">
      <c r="A389" s="234"/>
      <c r="B389" s="234" t="s">
        <v>1280</v>
      </c>
      <c r="D389" s="234" t="s">
        <v>566</v>
      </c>
      <c r="E389" s="235"/>
      <c r="F389" s="235" t="str">
        <f t="shared" si="274"/>
        <v>-</v>
      </c>
      <c r="G389" s="235" t="str">
        <f t="shared" si="275"/>
        <v>-</v>
      </c>
      <c r="H389" s="235"/>
      <c r="I389" s="236"/>
      <c r="J389" s="236"/>
      <c r="K389" s="241" t="str">
        <f ca="1">IF(Table1192[[#This Row],[VALID]],Table1192[[#This Row],[VALID]]-TODAY(),"-")</f>
        <v>-</v>
      </c>
      <c r="L389" s="244"/>
      <c r="M389" s="238"/>
      <c r="N389" s="237"/>
      <c r="O389" s="237"/>
      <c r="P389" s="237"/>
      <c r="Q389" s="250"/>
      <c r="R389" s="238"/>
      <c r="S389" s="237"/>
      <c r="T389" s="237"/>
      <c r="U389" s="237"/>
      <c r="V389" s="250"/>
      <c r="W389" s="239"/>
      <c r="X389" s="237"/>
      <c r="Y389" s="242"/>
      <c r="Z389" s="251"/>
      <c r="AA389" s="243"/>
      <c r="AB389" s="243"/>
      <c r="AC389" s="243"/>
      <c r="AD389" s="243"/>
      <c r="AE389" s="243"/>
      <c r="AF389" s="243"/>
      <c r="AG389" s="243"/>
      <c r="AH389" s="243"/>
      <c r="AI389" s="243"/>
      <c r="AJ389" s="251"/>
    </row>
    <row r="390" spans="1:36" ht="15" thickTop="1" thickBot="1" x14ac:dyDescent="0.35">
      <c r="A390" s="234"/>
      <c r="B390" s="234" t="s">
        <v>1280</v>
      </c>
      <c r="D390" s="234" t="s">
        <v>592</v>
      </c>
      <c r="E390" s="235"/>
      <c r="F390" s="235" t="str">
        <f t="shared" si="274"/>
        <v>-</v>
      </c>
      <c r="G390" s="235" t="str">
        <f t="shared" si="275"/>
        <v>-</v>
      </c>
      <c r="H390" s="235"/>
      <c r="I390" s="236"/>
      <c r="J390" s="236"/>
      <c r="K390" s="241" t="str">
        <f ca="1">IF(Table1192[[#This Row],[VALID]],Table1192[[#This Row],[VALID]]-TODAY(),"-")</f>
        <v>-</v>
      </c>
      <c r="L390" s="244"/>
      <c r="M390" s="238"/>
      <c r="N390" s="237"/>
      <c r="O390" s="237"/>
      <c r="P390" s="237"/>
      <c r="Q390" s="250"/>
      <c r="R390" s="238"/>
      <c r="S390" s="237"/>
      <c r="T390" s="237"/>
      <c r="U390" s="237"/>
      <c r="V390" s="250"/>
      <c r="W390" s="239"/>
      <c r="X390" s="237"/>
      <c r="Y390" s="242"/>
      <c r="Z390" s="251"/>
      <c r="AA390" s="243"/>
      <c r="AB390" s="243"/>
      <c r="AC390" s="243"/>
      <c r="AD390" s="243"/>
      <c r="AE390" s="243"/>
      <c r="AF390" s="243"/>
      <c r="AG390" s="243"/>
      <c r="AH390" s="243"/>
      <c r="AI390" s="243"/>
      <c r="AJ390" s="251"/>
    </row>
    <row r="391" spans="1:36" ht="15" thickTop="1" thickBot="1" x14ac:dyDescent="0.35">
      <c r="A391" s="234"/>
      <c r="B391" s="234" t="s">
        <v>1280</v>
      </c>
      <c r="D391" s="234" t="s">
        <v>660</v>
      </c>
      <c r="E391" s="235"/>
      <c r="F391" s="235" t="str">
        <f t="shared" si="274"/>
        <v>-</v>
      </c>
      <c r="G391" s="235" t="str">
        <f t="shared" si="275"/>
        <v>-</v>
      </c>
      <c r="H391" s="235"/>
      <c r="I391" s="236"/>
      <c r="J391" s="236"/>
      <c r="K391" s="241" t="str">
        <f ca="1">IF(Table1192[[#This Row],[VALID]],Table1192[[#This Row],[VALID]]-TODAY(),"-")</f>
        <v>-</v>
      </c>
      <c r="L391" s="244"/>
      <c r="M391" s="238"/>
      <c r="N391" s="237"/>
      <c r="O391" s="237"/>
      <c r="P391" s="237"/>
      <c r="Q391" s="250"/>
      <c r="R391" s="238"/>
      <c r="S391" s="237"/>
      <c r="T391" s="237"/>
      <c r="U391" s="237"/>
      <c r="V391" s="250"/>
      <c r="W391" s="239"/>
      <c r="X391" s="237"/>
      <c r="Y391" s="242"/>
      <c r="Z391" s="251"/>
      <c r="AA391" s="243"/>
      <c r="AB391" s="243"/>
      <c r="AC391" s="243"/>
      <c r="AD391" s="243"/>
      <c r="AE391" s="243"/>
      <c r="AF391" s="243"/>
      <c r="AG391" s="243"/>
      <c r="AH391" s="243"/>
      <c r="AI391" s="243"/>
      <c r="AJ391" s="251"/>
    </row>
    <row r="392" spans="1:36" ht="15" thickTop="1" thickBot="1" x14ac:dyDescent="0.35">
      <c r="A392" s="234"/>
      <c r="B392" s="234" t="s">
        <v>1246</v>
      </c>
      <c r="D392" s="234" t="s">
        <v>452</v>
      </c>
      <c r="E392" s="235"/>
      <c r="F392" s="235" t="str">
        <f t="shared" si="274"/>
        <v>-</v>
      </c>
      <c r="G392" s="235" t="str">
        <f t="shared" si="275"/>
        <v>-</v>
      </c>
      <c r="H392" s="235"/>
      <c r="I392" s="236"/>
      <c r="J392" s="236"/>
      <c r="K392" s="241" t="str">
        <f ca="1">IF(Table1192[[#This Row],[VALID]],Table1192[[#This Row],[VALID]]-TODAY(),"-")</f>
        <v>-</v>
      </c>
      <c r="L392" s="244"/>
      <c r="M392" s="238"/>
      <c r="N392" s="237"/>
      <c r="O392" s="237"/>
      <c r="P392" s="237"/>
      <c r="Q392" s="250"/>
      <c r="R392" s="238"/>
      <c r="S392" s="237"/>
      <c r="T392" s="237"/>
      <c r="U392" s="237"/>
      <c r="V392" s="250"/>
      <c r="W392" s="239"/>
      <c r="X392" s="237"/>
      <c r="Y392" s="242"/>
      <c r="Z392" s="251"/>
      <c r="AA392" s="243"/>
      <c r="AB392" s="243"/>
      <c r="AC392" s="243"/>
      <c r="AD392" s="243"/>
      <c r="AE392" s="243"/>
      <c r="AF392" s="243"/>
      <c r="AG392" s="243"/>
      <c r="AH392" s="243"/>
      <c r="AI392" s="243"/>
      <c r="AJ392" s="251"/>
    </row>
    <row r="393" spans="1:36" ht="15" thickTop="1" thickBot="1" x14ac:dyDescent="0.35">
      <c r="A393" s="234"/>
      <c r="B393" s="234" t="s">
        <v>1246</v>
      </c>
      <c r="D393" s="234" t="s">
        <v>1184</v>
      </c>
      <c r="E393" s="235"/>
      <c r="F393" s="235" t="str">
        <f t="shared" si="274"/>
        <v>-</v>
      </c>
      <c r="G393" s="235" t="str">
        <f t="shared" si="275"/>
        <v>-</v>
      </c>
      <c r="H393" s="235"/>
      <c r="I393" s="236"/>
      <c r="J393" s="236"/>
      <c r="K393" s="241" t="str">
        <f ca="1">IF(Table1192[[#This Row],[VALID]],Table1192[[#This Row],[VALID]]-TODAY(),"-")</f>
        <v>-</v>
      </c>
      <c r="L393" s="244"/>
      <c r="M393" s="238"/>
      <c r="N393" s="237"/>
      <c r="O393" s="237"/>
      <c r="P393" s="237"/>
      <c r="Q393" s="250"/>
      <c r="R393" s="238"/>
      <c r="S393" s="237"/>
      <c r="T393" s="237"/>
      <c r="U393" s="237"/>
      <c r="V393" s="250"/>
      <c r="W393" s="239"/>
      <c r="X393" s="237"/>
      <c r="Y393" s="242"/>
      <c r="Z393" s="251"/>
      <c r="AA393" s="243"/>
      <c r="AB393" s="243"/>
      <c r="AC393" s="243"/>
      <c r="AD393" s="243"/>
      <c r="AE393" s="243"/>
      <c r="AF393" s="243"/>
      <c r="AG393" s="243"/>
      <c r="AH393" s="243"/>
      <c r="AI393" s="243"/>
      <c r="AJ393" s="251"/>
    </row>
    <row r="394" spans="1:36" ht="15" thickTop="1" thickBot="1" x14ac:dyDescent="0.35">
      <c r="A394" s="234"/>
      <c r="B394" s="234" t="s">
        <v>1246</v>
      </c>
      <c r="D394" s="234" t="s">
        <v>478</v>
      </c>
      <c r="E394" s="235"/>
      <c r="F394" s="235" t="str">
        <f t="shared" si="274"/>
        <v>-</v>
      </c>
      <c r="G394" s="235" t="str">
        <f t="shared" si="275"/>
        <v>-</v>
      </c>
      <c r="H394" s="235"/>
      <c r="I394" s="236"/>
      <c r="J394" s="236"/>
      <c r="K394" s="241" t="str">
        <f ca="1">IF(Table1192[[#This Row],[VALID]],Table1192[[#This Row],[VALID]]-TODAY(),"-")</f>
        <v>-</v>
      </c>
      <c r="L394" s="244"/>
      <c r="M394" s="238"/>
      <c r="N394" s="237"/>
      <c r="O394" s="237"/>
      <c r="P394" s="237"/>
      <c r="Q394" s="250"/>
      <c r="R394" s="238"/>
      <c r="S394" s="237"/>
      <c r="T394" s="237"/>
      <c r="U394" s="237"/>
      <c r="V394" s="250"/>
      <c r="W394" s="239"/>
      <c r="X394" s="237"/>
      <c r="Y394" s="242"/>
      <c r="Z394" s="251"/>
      <c r="AA394" s="243"/>
      <c r="AB394" s="243"/>
      <c r="AC394" s="243"/>
      <c r="AD394" s="243"/>
      <c r="AE394" s="243"/>
      <c r="AF394" s="243"/>
      <c r="AG394" s="243"/>
      <c r="AH394" s="243"/>
      <c r="AI394" s="243"/>
      <c r="AJ394" s="251"/>
    </row>
    <row r="395" spans="1:36" ht="15" thickTop="1" thickBot="1" x14ac:dyDescent="0.35">
      <c r="A395" s="234"/>
      <c r="B395" s="234" t="s">
        <v>1246</v>
      </c>
      <c r="D395" s="234" t="s">
        <v>513</v>
      </c>
      <c r="E395" s="235"/>
      <c r="F395" s="235" t="str">
        <f t="shared" si="274"/>
        <v>-</v>
      </c>
      <c r="G395" s="235" t="str">
        <f t="shared" si="275"/>
        <v>-</v>
      </c>
      <c r="H395" s="235"/>
      <c r="I395" s="236"/>
      <c r="J395" s="236"/>
      <c r="K395" s="241" t="str">
        <f ca="1">IF(Table1192[[#This Row],[VALID]],Table1192[[#This Row],[VALID]]-TODAY(),"-")</f>
        <v>-</v>
      </c>
      <c r="L395" s="244"/>
      <c r="M395" s="238"/>
      <c r="N395" s="237"/>
      <c r="O395" s="237"/>
      <c r="P395" s="237"/>
      <c r="Q395" s="250"/>
      <c r="R395" s="238"/>
      <c r="S395" s="237"/>
      <c r="T395" s="237"/>
      <c r="U395" s="237"/>
      <c r="V395" s="250"/>
      <c r="W395" s="239"/>
      <c r="X395" s="237"/>
      <c r="Y395" s="242"/>
      <c r="Z395" s="251"/>
      <c r="AA395" s="243"/>
      <c r="AB395" s="243"/>
      <c r="AC395" s="243"/>
      <c r="AD395" s="243"/>
      <c r="AE395" s="243"/>
      <c r="AF395" s="243"/>
      <c r="AG395" s="243"/>
      <c r="AH395" s="243"/>
      <c r="AI395" s="243"/>
      <c r="AJ395" s="251"/>
    </row>
    <row r="396" spans="1:36" ht="15" thickTop="1" thickBot="1" x14ac:dyDescent="0.35">
      <c r="A396" s="234"/>
      <c r="B396" s="234" t="s">
        <v>1246</v>
      </c>
      <c r="D396" s="234" t="s">
        <v>1185</v>
      </c>
      <c r="E396" s="235"/>
      <c r="F396" s="235" t="str">
        <f t="shared" si="274"/>
        <v>-</v>
      </c>
      <c r="G396" s="235" t="str">
        <f t="shared" si="275"/>
        <v>-</v>
      </c>
      <c r="H396" s="235"/>
      <c r="I396" s="236"/>
      <c r="J396" s="236"/>
      <c r="K396" s="241" t="str">
        <f ca="1">IF(Table1192[[#This Row],[VALID]],Table1192[[#This Row],[VALID]]-TODAY(),"-")</f>
        <v>-</v>
      </c>
      <c r="L396" s="244"/>
      <c r="M396" s="238"/>
      <c r="N396" s="237"/>
      <c r="O396" s="237"/>
      <c r="P396" s="237"/>
      <c r="Q396" s="250"/>
      <c r="R396" s="238"/>
      <c r="S396" s="237"/>
      <c r="T396" s="237"/>
      <c r="U396" s="237"/>
      <c r="V396" s="250"/>
      <c r="W396" s="239"/>
      <c r="X396" s="237"/>
      <c r="Y396" s="242"/>
      <c r="Z396" s="251"/>
      <c r="AA396" s="243"/>
      <c r="AB396" s="243"/>
      <c r="AC396" s="243"/>
      <c r="AD396" s="243"/>
      <c r="AE396" s="243"/>
      <c r="AF396" s="243"/>
      <c r="AG396" s="243"/>
      <c r="AH396" s="243"/>
      <c r="AI396" s="243"/>
      <c r="AJ396" s="251"/>
    </row>
    <row r="397" spans="1:36" ht="15" thickTop="1" thickBot="1" x14ac:dyDescent="0.35">
      <c r="A397" s="234"/>
      <c r="B397" s="234" t="s">
        <v>1246</v>
      </c>
      <c r="D397" s="234" t="s">
        <v>1186</v>
      </c>
      <c r="E397" s="235"/>
      <c r="F397" s="235" t="str">
        <f t="shared" si="274"/>
        <v>-</v>
      </c>
      <c r="G397" s="235" t="str">
        <f t="shared" si="275"/>
        <v>-</v>
      </c>
      <c r="H397" s="235"/>
      <c r="I397" s="236"/>
      <c r="J397" s="236"/>
      <c r="K397" s="241" t="str">
        <f ca="1">IF(Table1192[[#This Row],[VALID]],Table1192[[#This Row],[VALID]]-TODAY(),"-")</f>
        <v>-</v>
      </c>
      <c r="L397" s="244"/>
      <c r="M397" s="238"/>
      <c r="N397" s="237"/>
      <c r="O397" s="237"/>
      <c r="P397" s="237"/>
      <c r="Q397" s="250"/>
      <c r="R397" s="238"/>
      <c r="S397" s="237"/>
      <c r="T397" s="237"/>
      <c r="U397" s="237"/>
      <c r="V397" s="250"/>
      <c r="W397" s="239"/>
      <c r="X397" s="237"/>
      <c r="Y397" s="242"/>
      <c r="Z397" s="251"/>
      <c r="AA397" s="243"/>
      <c r="AB397" s="243"/>
      <c r="AC397" s="243"/>
      <c r="AD397" s="243"/>
      <c r="AE397" s="243"/>
      <c r="AF397" s="243"/>
      <c r="AG397" s="243"/>
      <c r="AH397" s="243"/>
      <c r="AI397" s="243"/>
      <c r="AJ397" s="251"/>
    </row>
    <row r="398" spans="1:36" ht="15" thickTop="1" thickBot="1" x14ac:dyDescent="0.35">
      <c r="A398" s="234"/>
      <c r="B398" s="234" t="s">
        <v>1246</v>
      </c>
      <c r="D398" s="234" t="s">
        <v>669</v>
      </c>
      <c r="E398" s="235"/>
      <c r="F398" s="235" t="str">
        <f t="shared" si="274"/>
        <v>-</v>
      </c>
      <c r="G398" s="235" t="str">
        <f t="shared" si="275"/>
        <v>-</v>
      </c>
      <c r="H398" s="235"/>
      <c r="I398" s="236"/>
      <c r="J398" s="236"/>
      <c r="K398" s="241" t="str">
        <f ca="1">IF(Table1192[[#This Row],[VALID]],Table1192[[#This Row],[VALID]]-TODAY(),"-")</f>
        <v>-</v>
      </c>
      <c r="L398" s="244"/>
      <c r="M398" s="238"/>
      <c r="N398" s="237"/>
      <c r="O398" s="237"/>
      <c r="P398" s="237"/>
      <c r="Q398" s="250"/>
      <c r="R398" s="238"/>
      <c r="S398" s="237"/>
      <c r="T398" s="237"/>
      <c r="U398" s="237"/>
      <c r="V398" s="250"/>
      <c r="W398" s="239"/>
      <c r="X398" s="237"/>
      <c r="Y398" s="242"/>
      <c r="Z398" s="251"/>
      <c r="AA398" s="243"/>
      <c r="AB398" s="243"/>
      <c r="AC398" s="243"/>
      <c r="AD398" s="243"/>
      <c r="AE398" s="243"/>
      <c r="AF398" s="243"/>
      <c r="AG398" s="243"/>
      <c r="AH398" s="243"/>
      <c r="AI398" s="243"/>
      <c r="AJ398" s="251"/>
    </row>
    <row r="399" spans="1:36" ht="15" thickTop="1" thickBot="1" x14ac:dyDescent="0.35">
      <c r="A399" s="234"/>
      <c r="B399" s="234" t="s">
        <v>1246</v>
      </c>
      <c r="D399" s="234" t="s">
        <v>748</v>
      </c>
      <c r="E399" s="235"/>
      <c r="F399" s="235" t="str">
        <f t="shared" si="274"/>
        <v>-</v>
      </c>
      <c r="G399" s="235" t="str">
        <f t="shared" si="275"/>
        <v>-</v>
      </c>
      <c r="H399" s="235"/>
      <c r="I399" s="236"/>
      <c r="J399" s="236"/>
      <c r="K399" s="241" t="str">
        <f ca="1">IF(Table1192[[#This Row],[VALID]],Table1192[[#This Row],[VALID]]-TODAY(),"-")</f>
        <v>-</v>
      </c>
      <c r="L399" s="244"/>
      <c r="M399" s="238"/>
      <c r="N399" s="237"/>
      <c r="O399" s="237"/>
      <c r="P399" s="237"/>
      <c r="Q399" s="250"/>
      <c r="R399" s="238"/>
      <c r="S399" s="237"/>
      <c r="T399" s="237"/>
      <c r="U399" s="237"/>
      <c r="V399" s="250"/>
      <c r="W399" s="239"/>
      <c r="X399" s="237"/>
      <c r="Y399" s="242"/>
      <c r="Z399" s="251"/>
      <c r="AA399" s="243"/>
      <c r="AB399" s="243"/>
      <c r="AC399" s="243"/>
      <c r="AD399" s="243"/>
      <c r="AE399" s="243"/>
      <c r="AF399" s="243"/>
      <c r="AG399" s="243"/>
      <c r="AH399" s="243"/>
      <c r="AI399" s="243"/>
      <c r="AJ399" s="251"/>
    </row>
    <row r="400" spans="1:36" ht="15" thickTop="1" thickBot="1" x14ac:dyDescent="0.35">
      <c r="A400" s="234"/>
      <c r="B400" s="234" t="s">
        <v>1220</v>
      </c>
      <c r="D400" s="234" t="s">
        <v>407</v>
      </c>
      <c r="E400" s="235"/>
      <c r="F400" s="235" t="str">
        <f t="shared" si="274"/>
        <v>-</v>
      </c>
      <c r="G400" s="235" t="str">
        <f t="shared" si="275"/>
        <v>-</v>
      </c>
      <c r="H400" s="235"/>
      <c r="I400" s="236"/>
      <c r="J400" s="236"/>
      <c r="K400" s="241" t="str">
        <f ca="1">IF(Table1192[[#This Row],[VALID]],Table1192[[#This Row],[VALID]]-TODAY(),"-")</f>
        <v>-</v>
      </c>
      <c r="L400" s="244"/>
      <c r="M400" s="238"/>
      <c r="N400" s="237"/>
      <c r="O400" s="237"/>
      <c r="P400" s="237"/>
      <c r="Q400" s="250"/>
      <c r="R400" s="238"/>
      <c r="S400" s="237"/>
      <c r="T400" s="237"/>
      <c r="U400" s="237"/>
      <c r="V400" s="250"/>
      <c r="W400" s="239"/>
      <c r="X400" s="237"/>
      <c r="Y400" s="242"/>
      <c r="Z400" s="251"/>
      <c r="AA400" s="243"/>
      <c r="AB400" s="243"/>
      <c r="AC400" s="243"/>
      <c r="AD400" s="243"/>
      <c r="AE400" s="243"/>
      <c r="AF400" s="243"/>
      <c r="AG400" s="243"/>
      <c r="AH400" s="243"/>
      <c r="AI400" s="243"/>
      <c r="AJ400" s="251"/>
    </row>
    <row r="401" spans="1:36" ht="15" thickTop="1" thickBot="1" x14ac:dyDescent="0.35">
      <c r="A401" s="234"/>
      <c r="B401" s="234" t="s">
        <v>1220</v>
      </c>
      <c r="D401" s="234" t="s">
        <v>409</v>
      </c>
      <c r="E401" s="235"/>
      <c r="F401" s="235" t="str">
        <f t="shared" si="274"/>
        <v>-</v>
      </c>
      <c r="G401" s="235" t="str">
        <f t="shared" si="275"/>
        <v>-</v>
      </c>
      <c r="H401" s="235"/>
      <c r="I401" s="236"/>
      <c r="J401" s="236"/>
      <c r="K401" s="241" t="str">
        <f ca="1">IF(Table1192[[#This Row],[VALID]],Table1192[[#This Row],[VALID]]-TODAY(),"-")</f>
        <v>-</v>
      </c>
      <c r="L401" s="244"/>
      <c r="M401" s="238"/>
      <c r="N401" s="237"/>
      <c r="O401" s="237"/>
      <c r="P401" s="237"/>
      <c r="Q401" s="250"/>
      <c r="R401" s="238"/>
      <c r="S401" s="237"/>
      <c r="T401" s="237"/>
      <c r="U401" s="237"/>
      <c r="V401" s="250"/>
      <c r="W401" s="239"/>
      <c r="X401" s="237"/>
      <c r="Y401" s="242"/>
      <c r="Z401" s="251"/>
      <c r="AA401" s="243"/>
      <c r="AB401" s="243"/>
      <c r="AC401" s="243"/>
      <c r="AD401" s="243"/>
      <c r="AE401" s="243"/>
      <c r="AF401" s="243"/>
      <c r="AG401" s="243"/>
      <c r="AH401" s="243"/>
      <c r="AI401" s="243"/>
      <c r="AJ401" s="251"/>
    </row>
    <row r="402" spans="1:36" ht="15" thickTop="1" thickBot="1" x14ac:dyDescent="0.35">
      <c r="A402" s="234"/>
      <c r="B402" s="234" t="s">
        <v>1220</v>
      </c>
      <c r="D402" s="234" t="s">
        <v>410</v>
      </c>
      <c r="E402" s="235"/>
      <c r="F402" s="235" t="str">
        <f t="shared" si="274"/>
        <v>-</v>
      </c>
      <c r="G402" s="235" t="str">
        <f t="shared" si="275"/>
        <v>-</v>
      </c>
      <c r="H402" s="235"/>
      <c r="I402" s="236"/>
      <c r="J402" s="236"/>
      <c r="K402" s="241" t="str">
        <f ca="1">IF(Table1192[[#This Row],[VALID]],Table1192[[#This Row],[VALID]]-TODAY(),"-")</f>
        <v>-</v>
      </c>
      <c r="L402" s="244"/>
      <c r="M402" s="238"/>
      <c r="N402" s="237"/>
      <c r="O402" s="237"/>
      <c r="P402" s="237"/>
      <c r="Q402" s="250"/>
      <c r="R402" s="238"/>
      <c r="S402" s="237"/>
      <c r="T402" s="237"/>
      <c r="U402" s="237"/>
      <c r="V402" s="250"/>
      <c r="W402" s="239"/>
      <c r="X402" s="237"/>
      <c r="Y402" s="242"/>
      <c r="Z402" s="251"/>
      <c r="AA402" s="243"/>
      <c r="AB402" s="243"/>
      <c r="AC402" s="243"/>
      <c r="AD402" s="243"/>
      <c r="AE402" s="243"/>
      <c r="AF402" s="243"/>
      <c r="AG402" s="243"/>
      <c r="AH402" s="243"/>
      <c r="AI402" s="243"/>
      <c r="AJ402" s="251"/>
    </row>
    <row r="403" spans="1:36" ht="15" thickTop="1" thickBot="1" x14ac:dyDescent="0.35">
      <c r="A403" s="234"/>
      <c r="B403" s="234" t="s">
        <v>1220</v>
      </c>
      <c r="D403" s="234" t="s">
        <v>420</v>
      </c>
      <c r="E403" s="235"/>
      <c r="F403" s="235" t="str">
        <f t="shared" ref="F403:F409" si="280">IF(M403,SUM(M403:P403,W403:X403),"-")</f>
        <v>-</v>
      </c>
      <c r="G403" s="235" t="str">
        <f t="shared" ref="G403:G409" si="281">IF(R403,SUM(R403:U403,W403:X403),"-")</f>
        <v>-</v>
      </c>
      <c r="H403" s="235"/>
      <c r="I403" s="236"/>
      <c r="J403" s="236"/>
      <c r="K403" s="241" t="str">
        <f ca="1">IF(Table1192[[#This Row],[VALID]],Table1192[[#This Row],[VALID]]-TODAY(),"-")</f>
        <v>-</v>
      </c>
      <c r="L403" s="244"/>
      <c r="M403" s="238"/>
      <c r="N403" s="237"/>
      <c r="O403" s="237"/>
      <c r="P403" s="237"/>
      <c r="Q403" s="250"/>
      <c r="R403" s="238"/>
      <c r="S403" s="237"/>
      <c r="T403" s="237"/>
      <c r="U403" s="237"/>
      <c r="V403" s="250"/>
      <c r="W403" s="239"/>
      <c r="X403" s="237"/>
      <c r="Y403" s="242"/>
      <c r="Z403" s="251"/>
      <c r="AA403" s="243"/>
      <c r="AB403" s="243"/>
      <c r="AC403" s="243"/>
      <c r="AD403" s="243"/>
      <c r="AE403" s="243"/>
      <c r="AF403" s="243"/>
      <c r="AG403" s="243"/>
      <c r="AH403" s="243"/>
      <c r="AI403" s="243"/>
      <c r="AJ403" s="251"/>
    </row>
    <row r="404" spans="1:36" ht="15" thickTop="1" thickBot="1" x14ac:dyDescent="0.35">
      <c r="A404" s="234"/>
      <c r="B404" s="234" t="s">
        <v>1220</v>
      </c>
      <c r="D404" s="234" t="s">
        <v>609</v>
      </c>
      <c r="E404" s="235"/>
      <c r="F404" s="235" t="str">
        <f t="shared" si="280"/>
        <v>-</v>
      </c>
      <c r="G404" s="235" t="str">
        <f t="shared" si="281"/>
        <v>-</v>
      </c>
      <c r="H404" s="235"/>
      <c r="I404" s="236"/>
      <c r="J404" s="236"/>
      <c r="K404" s="241" t="str">
        <f ca="1">IF(Table1192[[#This Row],[VALID]],Table1192[[#This Row],[VALID]]-TODAY(),"-")</f>
        <v>-</v>
      </c>
      <c r="L404" s="244"/>
      <c r="M404" s="238"/>
      <c r="N404" s="237"/>
      <c r="O404" s="237"/>
      <c r="P404" s="237"/>
      <c r="Q404" s="250"/>
      <c r="R404" s="238"/>
      <c r="S404" s="237"/>
      <c r="T404" s="237"/>
      <c r="U404" s="237"/>
      <c r="V404" s="250"/>
      <c r="W404" s="239"/>
      <c r="X404" s="237"/>
      <c r="Y404" s="242"/>
      <c r="Z404" s="251"/>
      <c r="AA404" s="243"/>
      <c r="AB404" s="243"/>
      <c r="AC404" s="243"/>
      <c r="AD404" s="243"/>
      <c r="AE404" s="243"/>
      <c r="AF404" s="243"/>
      <c r="AG404" s="243"/>
      <c r="AH404" s="243"/>
      <c r="AI404" s="243"/>
      <c r="AJ404" s="251"/>
    </row>
    <row r="405" spans="1:36" ht="15" thickTop="1" thickBot="1" x14ac:dyDescent="0.35">
      <c r="A405" s="234"/>
      <c r="B405" s="234" t="s">
        <v>1220</v>
      </c>
      <c r="D405" s="234" t="s">
        <v>622</v>
      </c>
      <c r="E405" s="235"/>
      <c r="F405" s="235" t="str">
        <f t="shared" si="280"/>
        <v>-</v>
      </c>
      <c r="G405" s="235" t="str">
        <f t="shared" si="281"/>
        <v>-</v>
      </c>
      <c r="H405" s="235"/>
      <c r="I405" s="236"/>
      <c r="J405" s="236"/>
      <c r="K405" s="241" t="str">
        <f ca="1">IF(Table1192[[#This Row],[VALID]],Table1192[[#This Row],[VALID]]-TODAY(),"-")</f>
        <v>-</v>
      </c>
      <c r="L405" s="244"/>
      <c r="M405" s="238"/>
      <c r="N405" s="237"/>
      <c r="O405" s="237"/>
      <c r="P405" s="237"/>
      <c r="Q405" s="250"/>
      <c r="R405" s="238"/>
      <c r="S405" s="237"/>
      <c r="T405" s="237"/>
      <c r="U405" s="237"/>
      <c r="V405" s="250"/>
      <c r="W405" s="239"/>
      <c r="X405" s="237"/>
      <c r="Y405" s="242"/>
      <c r="Z405" s="251"/>
      <c r="AA405" s="243"/>
      <c r="AB405" s="243"/>
      <c r="AC405" s="243"/>
      <c r="AD405" s="243"/>
      <c r="AE405" s="243"/>
      <c r="AF405" s="243"/>
      <c r="AG405" s="243"/>
      <c r="AH405" s="243"/>
      <c r="AI405" s="243"/>
      <c r="AJ405" s="251"/>
    </row>
    <row r="406" spans="1:36" ht="15" thickTop="1" thickBot="1" x14ac:dyDescent="0.35">
      <c r="A406" s="234"/>
      <c r="B406" s="234" t="s">
        <v>1220</v>
      </c>
      <c r="D406" s="234" t="s">
        <v>671</v>
      </c>
      <c r="E406" s="235"/>
      <c r="F406" s="235" t="str">
        <f t="shared" si="280"/>
        <v>-</v>
      </c>
      <c r="G406" s="235" t="str">
        <f t="shared" si="281"/>
        <v>-</v>
      </c>
      <c r="H406" s="235"/>
      <c r="I406" s="236"/>
      <c r="J406" s="236"/>
      <c r="K406" s="241" t="str">
        <f ca="1">IF(Table1192[[#This Row],[VALID]],Table1192[[#This Row],[VALID]]-TODAY(),"-")</f>
        <v>-</v>
      </c>
      <c r="L406" s="244"/>
      <c r="M406" s="238"/>
      <c r="N406" s="237"/>
      <c r="O406" s="237"/>
      <c r="P406" s="237"/>
      <c r="Q406" s="250"/>
      <c r="R406" s="238"/>
      <c r="S406" s="237"/>
      <c r="T406" s="237"/>
      <c r="U406" s="237"/>
      <c r="V406" s="250"/>
      <c r="W406" s="239"/>
      <c r="X406" s="237"/>
      <c r="Y406" s="242"/>
      <c r="Z406" s="251"/>
      <c r="AA406" s="243"/>
      <c r="AB406" s="243"/>
      <c r="AC406" s="243"/>
      <c r="AD406" s="243"/>
      <c r="AE406" s="243"/>
      <c r="AF406" s="243"/>
      <c r="AG406" s="243"/>
      <c r="AH406" s="243"/>
      <c r="AI406" s="243"/>
    </row>
    <row r="407" spans="1:36" ht="15" thickTop="1" thickBot="1" x14ac:dyDescent="0.35">
      <c r="A407" s="234"/>
      <c r="B407" s="234" t="s">
        <v>1220</v>
      </c>
      <c r="D407" s="234" t="s">
        <v>680</v>
      </c>
      <c r="E407" s="235"/>
      <c r="F407" s="235" t="str">
        <f t="shared" si="280"/>
        <v>-</v>
      </c>
      <c r="G407" s="235" t="str">
        <f t="shared" si="281"/>
        <v>-</v>
      </c>
      <c r="H407" s="235"/>
      <c r="I407" s="236"/>
      <c r="J407" s="236"/>
      <c r="K407" s="241" t="str">
        <f ca="1">IF(Table1192[[#This Row],[VALID]],Table1192[[#This Row],[VALID]]-TODAY(),"-")</f>
        <v>-</v>
      </c>
      <c r="L407" s="244"/>
      <c r="M407" s="238"/>
      <c r="N407" s="237"/>
      <c r="O407" s="237"/>
      <c r="P407" s="237"/>
      <c r="Q407" s="250"/>
      <c r="R407" s="238"/>
      <c r="S407" s="237"/>
      <c r="T407" s="237"/>
      <c r="U407" s="237"/>
      <c r="V407" s="250"/>
      <c r="W407" s="239"/>
      <c r="X407" s="237"/>
      <c r="Y407" s="242"/>
      <c r="Z407" s="251"/>
      <c r="AA407" s="243"/>
      <c r="AB407" s="243"/>
      <c r="AC407" s="243"/>
      <c r="AD407" s="243"/>
      <c r="AE407" s="243"/>
      <c r="AF407" s="243"/>
      <c r="AG407" s="243"/>
      <c r="AH407" s="243"/>
      <c r="AI407" s="243"/>
    </row>
    <row r="408" spans="1:36" ht="15" thickTop="1" thickBot="1" x14ac:dyDescent="0.35">
      <c r="A408" s="234"/>
      <c r="B408" s="234" t="s">
        <v>1220</v>
      </c>
      <c r="D408" s="234" t="s">
        <v>710</v>
      </c>
      <c r="E408" s="235"/>
      <c r="F408" s="235" t="str">
        <f t="shared" si="280"/>
        <v>-</v>
      </c>
      <c r="G408" s="235" t="str">
        <f t="shared" si="281"/>
        <v>-</v>
      </c>
      <c r="H408" s="235"/>
      <c r="I408" s="236"/>
      <c r="J408" s="236"/>
      <c r="K408" s="241" t="str">
        <f ca="1">IF(Table1192[[#This Row],[VALID]],Table1192[[#This Row],[VALID]]-TODAY(),"-")</f>
        <v>-</v>
      </c>
      <c r="L408" s="244"/>
      <c r="M408" s="238"/>
      <c r="N408" s="237"/>
      <c r="O408" s="237"/>
      <c r="P408" s="237"/>
      <c r="Q408" s="250"/>
      <c r="R408" s="238"/>
      <c r="S408" s="237"/>
      <c r="T408" s="237"/>
      <c r="U408" s="237"/>
      <c r="V408" s="250"/>
      <c r="W408" s="239"/>
      <c r="X408" s="237"/>
      <c r="Y408" s="242"/>
      <c r="Z408" s="251"/>
      <c r="AA408" s="243"/>
      <c r="AB408" s="243"/>
      <c r="AC408" s="243"/>
      <c r="AD408" s="243"/>
      <c r="AE408" s="243"/>
      <c r="AF408" s="243"/>
      <c r="AG408" s="243"/>
      <c r="AH408" s="243"/>
      <c r="AI408" s="243"/>
    </row>
    <row r="409" spans="1:36" ht="15" thickTop="1" thickBot="1" x14ac:dyDescent="0.35">
      <c r="A409" s="234"/>
      <c r="B409" s="234" t="s">
        <v>1311</v>
      </c>
      <c r="D409" s="234" t="s">
        <v>1310</v>
      </c>
      <c r="E409" s="235"/>
      <c r="F409" s="235" t="str">
        <f t="shared" si="280"/>
        <v>-</v>
      </c>
      <c r="G409" s="235" t="str">
        <f t="shared" si="281"/>
        <v>-</v>
      </c>
      <c r="H409" s="235"/>
      <c r="I409" s="236"/>
      <c r="J409" s="236"/>
      <c r="K409" s="241" t="str">
        <f ca="1">IF(Table1192[[#This Row],[VALID]],Table1192[[#This Row],[VALID]]-TODAY(),"-")</f>
        <v>-</v>
      </c>
      <c r="L409" s="244"/>
      <c r="M409" s="238"/>
      <c r="N409" s="237"/>
      <c r="O409" s="237"/>
      <c r="P409" s="237"/>
      <c r="Q409" s="250"/>
      <c r="R409" s="238"/>
      <c r="S409" s="237"/>
      <c r="T409" s="237"/>
      <c r="U409" s="237"/>
      <c r="V409" s="250"/>
      <c r="W409" s="239"/>
      <c r="X409" s="237"/>
      <c r="Y409" s="242"/>
      <c r="Z409" s="251"/>
      <c r="AA409" s="243"/>
      <c r="AB409" s="243"/>
      <c r="AC409" s="243"/>
      <c r="AD409" s="243"/>
      <c r="AE409" s="243"/>
      <c r="AF409" s="243"/>
      <c r="AG409" s="243"/>
      <c r="AH409" s="243"/>
      <c r="AI409" s="243"/>
    </row>
    <row r="410" spans="1:36" ht="15" thickTop="1" thickBot="1" x14ac:dyDescent="0.35">
      <c r="A410" s="234"/>
      <c r="B410" s="234"/>
      <c r="D410" s="234" t="s">
        <v>684</v>
      </c>
      <c r="E410" s="234"/>
      <c r="F410" s="235" t="str">
        <f t="shared" ref="F410:F418" si="282">IF(M410,SUM(M410:P410,W410:X410),"-")</f>
        <v>-</v>
      </c>
      <c r="G410" s="235" t="str">
        <f t="shared" ref="G410:G418" si="283">IF(R410,SUM(R410:U410,W410:X410),"-")</f>
        <v>-</v>
      </c>
      <c r="H410" s="235"/>
      <c r="I410" s="236"/>
      <c r="J410" s="236"/>
      <c r="K410" s="241" t="str">
        <f ca="1">IF(Table1192[[#This Row],[VALID]],Table1192[[#This Row],[VALID]]-TODAY(),"-")</f>
        <v>-</v>
      </c>
      <c r="L410" s="782"/>
      <c r="M410" s="238"/>
      <c r="N410" s="237"/>
      <c r="O410" s="237"/>
      <c r="P410" s="237"/>
      <c r="Q410" s="783"/>
      <c r="R410" s="238"/>
      <c r="S410" s="237"/>
      <c r="T410" s="237"/>
      <c r="U410" s="237"/>
      <c r="V410" s="783"/>
      <c r="W410" s="239"/>
      <c r="X410" s="237"/>
      <c r="Y410" s="242"/>
      <c r="Z410" s="784"/>
      <c r="AA410" s="243"/>
      <c r="AB410" s="243"/>
    </row>
    <row r="411" spans="1:36" ht="15" thickTop="1" thickBot="1" x14ac:dyDescent="0.35">
      <c r="A411" s="234"/>
      <c r="B411" s="234"/>
      <c r="D411" s="234" t="s">
        <v>1330</v>
      </c>
      <c r="E411" s="234"/>
      <c r="F411" s="235" t="str">
        <f t="shared" si="282"/>
        <v>-</v>
      </c>
      <c r="G411" s="235" t="str">
        <f t="shared" si="283"/>
        <v>-</v>
      </c>
      <c r="H411" s="235"/>
      <c r="I411" s="236"/>
      <c r="J411" s="236"/>
      <c r="K411" s="241" t="str">
        <f ca="1">IF(Table1192[[#This Row],[VALID]],Table1192[[#This Row],[VALID]]-TODAY(),"-")</f>
        <v>-</v>
      </c>
      <c r="L411" s="244"/>
      <c r="M411" s="238"/>
      <c r="N411" s="237"/>
      <c r="O411" s="237"/>
      <c r="P411" s="237"/>
      <c r="Q411" s="250"/>
      <c r="R411" s="238"/>
      <c r="S411" s="237"/>
      <c r="T411" s="237"/>
      <c r="U411" s="237"/>
      <c r="V411" s="250"/>
      <c r="W411" s="239"/>
      <c r="X411" s="237"/>
      <c r="Y411" s="242"/>
      <c r="Z411" s="251"/>
      <c r="AA411" s="243"/>
      <c r="AB411" s="243"/>
    </row>
    <row r="412" spans="1:36" ht="15" thickTop="1" thickBot="1" x14ac:dyDescent="0.35">
      <c r="A412" s="234"/>
      <c r="B412" s="234"/>
      <c r="D412" s="234" t="s">
        <v>1331</v>
      </c>
      <c r="E412" s="234"/>
      <c r="F412" s="235" t="str">
        <f t="shared" si="282"/>
        <v>-</v>
      </c>
      <c r="G412" s="235" t="str">
        <f t="shared" si="283"/>
        <v>-</v>
      </c>
      <c r="H412" s="235"/>
      <c r="I412" s="236"/>
      <c r="J412" s="236"/>
      <c r="K412" s="241" t="str">
        <f ca="1">IF(Table1192[[#This Row],[VALID]],Table1192[[#This Row],[VALID]]-TODAY(),"-")</f>
        <v>-</v>
      </c>
      <c r="L412" s="782"/>
      <c r="M412" s="238"/>
      <c r="N412" s="237"/>
      <c r="O412" s="237"/>
      <c r="P412" s="237"/>
      <c r="Q412" s="783"/>
      <c r="R412" s="238"/>
      <c r="S412" s="237"/>
      <c r="T412" s="237"/>
      <c r="U412" s="237"/>
      <c r="V412" s="783"/>
      <c r="W412" s="239"/>
      <c r="X412" s="237"/>
      <c r="Y412" s="242"/>
      <c r="Z412" s="784"/>
      <c r="AA412" s="243"/>
      <c r="AB412" s="243"/>
    </row>
    <row r="413" spans="1:36" ht="15" thickTop="1" thickBot="1" x14ac:dyDescent="0.35">
      <c r="A413" s="234"/>
      <c r="B413" s="234"/>
      <c r="D413" s="234" t="s">
        <v>1360</v>
      </c>
      <c r="E413" s="234"/>
      <c r="F413" s="235" t="str">
        <f t="shared" si="282"/>
        <v>-</v>
      </c>
      <c r="G413" s="235" t="str">
        <f t="shared" si="283"/>
        <v>-</v>
      </c>
      <c r="H413" s="235"/>
      <c r="I413" s="236"/>
      <c r="J413" s="236"/>
      <c r="K413" s="241" t="str">
        <f ca="1">IF(Table1192[[#This Row],[VALID]],Table1192[[#This Row],[VALID]]-TODAY(),"-")</f>
        <v>-</v>
      </c>
      <c r="L413" s="244"/>
      <c r="M413" s="238"/>
      <c r="N413" s="237"/>
      <c r="O413" s="237"/>
      <c r="P413" s="237"/>
      <c r="Q413" s="250"/>
      <c r="R413" s="238"/>
      <c r="S413" s="237"/>
      <c r="T413" s="237"/>
      <c r="U413" s="237"/>
      <c r="V413" s="250"/>
      <c r="W413" s="239"/>
      <c r="X413" s="237"/>
      <c r="Y413" s="242"/>
      <c r="Z413" s="251"/>
      <c r="AA413" s="243"/>
      <c r="AB413" s="243"/>
    </row>
    <row r="414" spans="1:36" ht="15" thickTop="1" thickBot="1" x14ac:dyDescent="0.35">
      <c r="A414" s="234"/>
      <c r="B414" s="234"/>
      <c r="D414" s="234" t="s">
        <v>1387</v>
      </c>
      <c r="E414" s="234"/>
      <c r="F414" s="235" t="str">
        <f t="shared" si="282"/>
        <v>-</v>
      </c>
      <c r="G414" s="235" t="str">
        <f t="shared" si="283"/>
        <v>-</v>
      </c>
      <c r="H414" s="235"/>
      <c r="I414" s="236"/>
      <c r="J414" s="236"/>
      <c r="K414" s="241" t="str">
        <f ca="1">IF(Table1192[[#This Row],[VALID]],Table1192[[#This Row],[VALID]]-TODAY(),"-")</f>
        <v>-</v>
      </c>
      <c r="L414" s="244"/>
      <c r="M414" s="238"/>
      <c r="N414" s="237"/>
      <c r="O414" s="237"/>
      <c r="P414" s="237"/>
      <c r="Q414" s="250"/>
      <c r="R414" s="238"/>
      <c r="S414" s="237"/>
      <c r="T414" s="237"/>
      <c r="U414" s="237"/>
      <c r="V414" s="250"/>
      <c r="W414" s="239"/>
      <c r="X414" s="237"/>
      <c r="Y414" s="242"/>
      <c r="Z414" s="251"/>
      <c r="AA414" s="243"/>
      <c r="AB414" s="243"/>
    </row>
    <row r="415" spans="1:36" ht="15" thickTop="1" thickBot="1" x14ac:dyDescent="0.35">
      <c r="A415" s="234"/>
      <c r="B415" s="234"/>
      <c r="E415" s="234"/>
      <c r="F415" s="235" t="str">
        <f t="shared" si="282"/>
        <v>-</v>
      </c>
      <c r="G415" s="235" t="str">
        <f t="shared" si="283"/>
        <v>-</v>
      </c>
      <c r="H415" s="235"/>
      <c r="I415" s="236"/>
      <c r="J415" s="236"/>
      <c r="K415" s="241" t="str">
        <f ca="1">IF(Table1192[[#This Row],[VALID]],Table1192[[#This Row],[VALID]]-TODAY(),"-")</f>
        <v>-</v>
      </c>
      <c r="L415" s="244"/>
      <c r="M415" s="238"/>
      <c r="N415" s="237"/>
      <c r="O415" s="237"/>
      <c r="P415" s="237"/>
      <c r="Q415" s="250"/>
      <c r="R415" s="238"/>
      <c r="S415" s="237"/>
      <c r="T415" s="237"/>
      <c r="U415" s="237"/>
      <c r="V415" s="250"/>
      <c r="W415" s="239"/>
      <c r="X415" s="237"/>
      <c r="Y415" s="242"/>
      <c r="Z415" s="251"/>
      <c r="AA415" s="243"/>
      <c r="AB415" s="243"/>
    </row>
    <row r="416" spans="1:36" ht="15" thickTop="1" thickBot="1" x14ac:dyDescent="0.35">
      <c r="A416" s="234"/>
      <c r="B416" s="234"/>
      <c r="E416" s="234"/>
      <c r="F416" s="235" t="str">
        <f t="shared" si="282"/>
        <v>-</v>
      </c>
      <c r="G416" s="235" t="str">
        <f t="shared" si="283"/>
        <v>-</v>
      </c>
      <c r="H416" s="235"/>
      <c r="I416" s="236"/>
      <c r="J416" s="236"/>
      <c r="K416" s="241" t="str">
        <f ca="1">IF(Table1192[[#This Row],[VALID]],Table1192[[#This Row],[VALID]]-TODAY(),"-")</f>
        <v>-</v>
      </c>
      <c r="L416" s="244"/>
      <c r="M416" s="238"/>
      <c r="N416" s="237"/>
      <c r="O416" s="237"/>
      <c r="P416" s="237"/>
      <c r="Q416" s="250"/>
      <c r="R416" s="238"/>
      <c r="S416" s="237"/>
      <c r="T416" s="237"/>
      <c r="U416" s="237"/>
      <c r="V416" s="250"/>
      <c r="W416" s="239"/>
      <c r="X416" s="237"/>
      <c r="Y416" s="242"/>
      <c r="Z416" s="251"/>
      <c r="AA416" s="243"/>
      <c r="AB416" s="243"/>
    </row>
    <row r="417" spans="1:28" ht="15" thickTop="1" thickBot="1" x14ac:dyDescent="0.35">
      <c r="A417" s="234"/>
      <c r="B417" s="234"/>
      <c r="E417" s="234"/>
      <c r="F417" s="235" t="str">
        <f t="shared" si="282"/>
        <v>-</v>
      </c>
      <c r="G417" s="235" t="str">
        <f t="shared" si="283"/>
        <v>-</v>
      </c>
      <c r="H417" s="235"/>
      <c r="I417" s="236"/>
      <c r="J417" s="236"/>
      <c r="K417" s="241" t="str">
        <f ca="1">IF(Table1192[[#This Row],[VALID]],Table1192[[#This Row],[VALID]]-TODAY(),"-")</f>
        <v>-</v>
      </c>
      <c r="L417" s="244"/>
      <c r="M417" s="238"/>
      <c r="N417" s="237"/>
      <c r="O417" s="237"/>
      <c r="P417" s="237"/>
      <c r="Q417" s="250"/>
      <c r="R417" s="238"/>
      <c r="S417" s="237"/>
      <c r="T417" s="237"/>
      <c r="U417" s="237"/>
      <c r="V417" s="250"/>
      <c r="W417" s="239"/>
      <c r="X417" s="237"/>
      <c r="Y417" s="242"/>
      <c r="Z417" s="251"/>
      <c r="AA417" s="243"/>
      <c r="AB417" s="243"/>
    </row>
    <row r="418" spans="1:28" ht="15" thickTop="1" thickBot="1" x14ac:dyDescent="0.35">
      <c r="A418" s="234"/>
      <c r="B418" s="234"/>
      <c r="E418" s="234"/>
      <c r="F418" s="235" t="str">
        <f t="shared" si="282"/>
        <v>-</v>
      </c>
      <c r="G418" s="235" t="str">
        <f t="shared" si="283"/>
        <v>-</v>
      </c>
      <c r="H418" s="235"/>
      <c r="I418" s="236"/>
      <c r="J418" s="236"/>
      <c r="K418" s="241" t="str">
        <f ca="1">IF(Table1192[[#This Row],[VALID]],Table1192[[#This Row],[VALID]]-TODAY(),"-")</f>
        <v>-</v>
      </c>
      <c r="L418" s="244"/>
      <c r="M418" s="238"/>
      <c r="N418" s="237"/>
      <c r="O418" s="237"/>
      <c r="P418" s="237"/>
      <c r="Q418" s="250"/>
      <c r="R418" s="238"/>
      <c r="S418" s="237"/>
      <c r="T418" s="237"/>
      <c r="U418" s="237"/>
      <c r="V418" s="250"/>
      <c r="W418" s="239"/>
      <c r="X418" s="237"/>
      <c r="Y418" s="242"/>
      <c r="Z418" s="251"/>
      <c r="AA418" s="243"/>
      <c r="AB418" s="243"/>
    </row>
    <row r="419" spans="1:28" ht="14.4" thickTop="1" x14ac:dyDescent="0.3">
      <c r="K419" s="231"/>
    </row>
    <row r="420" spans="1:28" x14ac:dyDescent="0.3">
      <c r="K420" s="231"/>
    </row>
    <row r="421" spans="1:28" x14ac:dyDescent="0.3">
      <c r="K421" s="231"/>
    </row>
    <row r="422" spans="1:28" x14ac:dyDescent="0.3">
      <c r="K422" s="231"/>
    </row>
    <row r="423" spans="1:28" x14ac:dyDescent="0.3">
      <c r="K423" s="231"/>
    </row>
    <row r="424" spans="1:28" x14ac:dyDescent="0.3">
      <c r="K424" s="231"/>
    </row>
  </sheetData>
  <mergeCells count="4">
    <mergeCell ref="M1:P1"/>
    <mergeCell ref="R1:U1"/>
    <mergeCell ref="W1:Y1"/>
    <mergeCell ref="AA1:AI1"/>
  </mergeCells>
  <phoneticPr fontId="35" type="noConversion"/>
  <conditionalFormatting sqref="E1:I1 A1:C2 F2:K2 W2:Y2 M2:P2 R2:U2 K1:K409">
    <cfRule type="expression" dxfId="590" priority="42">
      <formula>ISNUMBER(G)</formula>
    </cfRule>
  </conditionalFormatting>
  <conditionalFormatting sqref="K3:K418">
    <cfRule type="cellIs" dxfId="589" priority="39" operator="lessThan">
      <formula>-4</formula>
    </cfRule>
    <cfRule type="cellIs" dxfId="588" priority="40" operator="greaterThan">
      <formula>-2</formula>
    </cfRule>
    <cfRule type="cellIs" dxfId="587" priority="41" operator="between">
      <formula>-2</formula>
      <formula>-4</formula>
    </cfRule>
  </conditionalFormatting>
  <conditionalFormatting sqref="K3:K418">
    <cfRule type="cellIs" dxfId="586" priority="36" operator="equal">
      <formula>"-"</formula>
    </cfRule>
    <cfRule type="cellIs" dxfId="585" priority="37" operator="lessThanOrEqual">
      <formula>0</formula>
    </cfRule>
    <cfRule type="cellIs" dxfId="584" priority="38" operator="greaterThan">
      <formula>0</formula>
    </cfRule>
  </conditionalFormatting>
  <conditionalFormatting sqref="K3:K418">
    <cfRule type="expression" dxfId="583" priority="35">
      <formula>ISNUMBER(G)</formula>
    </cfRule>
  </conditionalFormatting>
  <conditionalFormatting sqref="K3:K418">
    <cfRule type="expression" dxfId="582" priority="34">
      <formula>$H3="COMPLETED"</formula>
    </cfRule>
  </conditionalFormatting>
  <conditionalFormatting sqref="K3:K418">
    <cfRule type="expression" dxfId="581" priority="32">
      <formula>$H3="LOST"</formula>
    </cfRule>
    <cfRule type="expression" dxfId="580" priority="33">
      <formula>$H3="DUPLICATE"</formula>
    </cfRule>
  </conditionalFormatting>
  <conditionalFormatting sqref="A2:C2 A4:D10 F2:K2 M2:AJ2 E3:AJ29 AJ30:AJ405 C4:C409 E30:AI409">
    <cfRule type="cellIs" dxfId="579" priority="29" operator="equal">
      <formula>"MUNDRA, IN"</formula>
    </cfRule>
    <cfRule type="cellIs" dxfId="578" priority="30" operator="equal">
      <formula>"NHAVA SHEVA, IN"</formula>
    </cfRule>
    <cfRule type="cellIs" dxfId="577" priority="31" operator="equal">
      <formula>"HAZIRA, IN"</formula>
    </cfRule>
  </conditionalFormatting>
  <conditionalFormatting sqref="J1">
    <cfRule type="cellIs" dxfId="576" priority="26" operator="equal">
      <formula>"MUNDRA, IN"</formula>
    </cfRule>
    <cfRule type="cellIs" dxfId="575" priority="27" operator="equal">
      <formula>"NHAVA SHEVA, IN"</formula>
    </cfRule>
    <cfRule type="cellIs" dxfId="574" priority="28" operator="equal">
      <formula>"HAZIRA, IN"</formula>
    </cfRule>
  </conditionalFormatting>
  <conditionalFormatting sqref="Z1">
    <cfRule type="cellIs" dxfId="573" priority="18" operator="equal">
      <formula>"MUNDRA, IN"</formula>
    </cfRule>
    <cfRule type="cellIs" dxfId="572" priority="19" operator="equal">
      <formula>"NHAVA SHEVA, IN"</formula>
    </cfRule>
    <cfRule type="cellIs" dxfId="571" priority="20" operator="equal">
      <formula>"HAZIRA, IN"</formula>
    </cfRule>
  </conditionalFormatting>
  <conditionalFormatting sqref="D1:D2">
    <cfRule type="expression" dxfId="570" priority="16">
      <formula>ISNUMBER(G)</formula>
    </cfRule>
  </conditionalFormatting>
  <conditionalFormatting sqref="D2">
    <cfRule type="cellIs" dxfId="569" priority="13" operator="equal">
      <formula>"MUNDRA, IN"</formula>
    </cfRule>
    <cfRule type="cellIs" dxfId="568" priority="14" operator="equal">
      <formula>"NHAVA SHEVA, IN"</formula>
    </cfRule>
    <cfRule type="cellIs" dxfId="567" priority="15" operator="equal">
      <formula>"HAZIRA, IN"</formula>
    </cfRule>
  </conditionalFormatting>
  <conditionalFormatting sqref="AA2:AH2">
    <cfRule type="expression" dxfId="566" priority="12">
      <formula>ISNUMBER(G)</formula>
    </cfRule>
  </conditionalFormatting>
  <conditionalFormatting sqref="AI2">
    <cfRule type="expression" dxfId="565" priority="8">
      <formula>ISNUMBER(G)</formula>
    </cfRule>
  </conditionalFormatting>
  <conditionalFormatting sqref="E2">
    <cfRule type="expression" dxfId="564" priority="7">
      <formula>ISNUMBER(G)</formula>
    </cfRule>
  </conditionalFormatting>
  <conditionalFormatting sqref="E2">
    <cfRule type="cellIs" dxfId="563" priority="4" operator="equal">
      <formula>"MUNDRA, IN"</formula>
    </cfRule>
    <cfRule type="cellIs" dxfId="562" priority="5" operator="equal">
      <formula>"NHAVA SHEVA, IN"</formula>
    </cfRule>
    <cfRule type="cellIs" dxfId="561" priority="6" operator="equal">
      <formula>"HAZIRA, IN"</formula>
    </cfRule>
  </conditionalFormatting>
  <conditionalFormatting sqref="L2">
    <cfRule type="cellIs" dxfId="560" priority="1" operator="equal">
      <formula>"MUNDRA, IN"</formula>
    </cfRule>
    <cfRule type="cellIs" dxfId="559" priority="2" operator="equal">
      <formula>"NHAVA SHEVA, IN"</formula>
    </cfRule>
    <cfRule type="cellIs" dxfId="558" priority="3" operator="equal">
      <formula>"HAZIRA, IN"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A02B6A17-C6E3-4793-9BFD-EE50A731D3DD}">
            <xm:f>NOT(ISERROR(SEARCH("COMPLETED",K3)))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K3:K418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281705-D7B3-45F0-95BA-0A4219B02D7B}">
          <x14:formula1>
            <xm:f>FILETER!$E$2:$E$500</xm:f>
          </x14:formula1>
          <xm:sqref>E3:E1048576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53CE6-25F5-4B37-B841-D79BFDF8D50A}">
  <sheetPr codeName="Sheet2">
    <pageSetUpPr autoPageBreaks="0"/>
  </sheetPr>
  <dimension ref="A1:AM13"/>
  <sheetViews>
    <sheetView showGridLines="0" topLeftCell="G1" zoomScale="130" zoomScaleNormal="130" workbookViewId="0">
      <selection activeCell="G5" sqref="G5"/>
    </sheetView>
  </sheetViews>
  <sheetFormatPr defaultRowHeight="14.4" x14ac:dyDescent="0.3"/>
  <cols>
    <col min="1" max="1" width="18.21875" customWidth="1"/>
    <col min="2" max="2" width="18.44140625" customWidth="1"/>
    <col min="3" max="3" width="14.109375" customWidth="1"/>
    <col min="4" max="4" width="17.77734375" customWidth="1"/>
    <col min="5" max="5" width="13.33203125" customWidth="1"/>
    <col min="6" max="6" width="12.77734375" bestFit="1" customWidth="1"/>
    <col min="7" max="7" width="13.33203125" customWidth="1"/>
    <col min="9" max="9" width="19.77734375" customWidth="1"/>
    <col min="10" max="13" width="18.88671875"/>
    <col min="16" max="16" width="19.88671875" customWidth="1"/>
    <col min="17" max="17" width="17" customWidth="1"/>
    <col min="18" max="20" width="12.21875" customWidth="1"/>
    <col min="22" max="22" width="9.44140625" bestFit="1" customWidth="1"/>
    <col min="26" max="26" width="10.21875" bestFit="1" customWidth="1"/>
    <col min="32" max="35" width="11.77734375" customWidth="1"/>
    <col min="36" max="36" width="26.6640625" customWidth="1"/>
    <col min="37" max="37" width="11.5546875" customWidth="1"/>
    <col min="39" max="39" width="11.6640625" customWidth="1"/>
  </cols>
  <sheetData>
    <row r="1" spans="1:39" ht="15.6" thickTop="1" thickBot="1" x14ac:dyDescent="0.35">
      <c r="AE1" s="824" t="s">
        <v>74</v>
      </c>
      <c r="AF1" s="825" t="s">
        <v>1373</v>
      </c>
      <c r="AG1" s="825" t="s">
        <v>1374</v>
      </c>
      <c r="AH1" s="825" t="s">
        <v>1375</v>
      </c>
      <c r="AI1" s="825" t="s">
        <v>1376</v>
      </c>
      <c r="AJ1" s="825" t="s">
        <v>1377</v>
      </c>
      <c r="AK1" s="825" t="s">
        <v>1378</v>
      </c>
      <c r="AL1" s="825" t="s">
        <v>1379</v>
      </c>
      <c r="AM1" s="823" t="s">
        <v>1378</v>
      </c>
    </row>
    <row r="2" spans="1:39" ht="16.8" thickTop="1" thickBot="1" x14ac:dyDescent="0.35">
      <c r="A2" s="785" t="s">
        <v>1338</v>
      </c>
      <c r="B2" s="785" t="s">
        <v>1339</v>
      </c>
      <c r="C2" s="785" t="s">
        <v>1340</v>
      </c>
      <c r="D2" s="785" t="s">
        <v>1344</v>
      </c>
      <c r="E2" s="785" t="s">
        <v>1348</v>
      </c>
      <c r="F2" s="789" t="s">
        <v>1349</v>
      </c>
      <c r="G2" s="789" t="s">
        <v>777</v>
      </c>
      <c r="I2" s="791" t="s">
        <v>53</v>
      </c>
      <c r="J2" s="792" t="s">
        <v>690</v>
      </c>
      <c r="K2" s="793" t="s">
        <v>529</v>
      </c>
      <c r="L2" s="794" t="s">
        <v>1352</v>
      </c>
      <c r="M2" s="795" t="s">
        <v>1353</v>
      </c>
      <c r="P2" s="785" t="s">
        <v>52</v>
      </c>
      <c r="Q2" s="785" t="s">
        <v>59</v>
      </c>
      <c r="R2" s="785" t="s">
        <v>48</v>
      </c>
      <c r="S2" s="785" t="s">
        <v>51</v>
      </c>
      <c r="T2" s="785" t="s">
        <v>1365</v>
      </c>
      <c r="V2" s="809">
        <f>500*4</f>
        <v>2000</v>
      </c>
      <c r="W2" s="809" t="s">
        <v>1366</v>
      </c>
      <c r="AE2" s="826">
        <v>1</v>
      </c>
      <c r="AF2" s="827">
        <f t="shared" ref="AF2:AF8" si="0">AG2-15</f>
        <v>46059</v>
      </c>
      <c r="AG2" s="827">
        <f t="shared" ref="AG2:AG8" si="1">AH2-3</f>
        <v>46074</v>
      </c>
      <c r="AH2" s="827">
        <f t="shared" ref="AH2:AH8" si="2">AI2-2</f>
        <v>46077</v>
      </c>
      <c r="AI2" s="827">
        <v>46079</v>
      </c>
      <c r="AJ2" s="828" t="s">
        <v>1380</v>
      </c>
      <c r="AK2" s="827">
        <v>46121</v>
      </c>
      <c r="AL2" s="829">
        <f t="shared" ref="AL2:AL8" si="3">AM2-AK2</f>
        <v>8</v>
      </c>
      <c r="AM2" s="822">
        <v>46129</v>
      </c>
    </row>
    <row r="3" spans="1:39" ht="16.8" thickTop="1" thickBot="1" x14ac:dyDescent="0.35">
      <c r="A3" s="786" t="s">
        <v>1335</v>
      </c>
      <c r="B3" s="786">
        <v>1363963</v>
      </c>
      <c r="C3" s="787">
        <v>45776</v>
      </c>
      <c r="D3" s="786" t="s">
        <v>1341</v>
      </c>
      <c r="E3" s="786" t="s">
        <v>1346</v>
      </c>
      <c r="F3" s="786">
        <v>157915</v>
      </c>
      <c r="G3" s="787">
        <v>45854</v>
      </c>
      <c r="I3" s="791" t="s">
        <v>48</v>
      </c>
      <c r="J3" s="796" t="s">
        <v>1354</v>
      </c>
      <c r="K3" s="797" t="s">
        <v>1355</v>
      </c>
      <c r="L3" s="798" t="s">
        <v>1356</v>
      </c>
      <c r="M3" s="799">
        <v>46081</v>
      </c>
      <c r="P3" s="786" t="s">
        <v>124</v>
      </c>
      <c r="Q3" s="786" t="s">
        <v>1363</v>
      </c>
      <c r="R3" s="123">
        <f>1451+299</f>
        <v>1750</v>
      </c>
      <c r="S3" s="123">
        <f>1702+598</f>
        <v>2300</v>
      </c>
      <c r="T3" s="807">
        <v>46081</v>
      </c>
      <c r="V3" s="809">
        <v>2000</v>
      </c>
      <c r="W3" s="809" t="s">
        <v>1367</v>
      </c>
      <c r="Y3" s="810">
        <v>4</v>
      </c>
      <c r="Z3" s="809">
        <v>11800</v>
      </c>
      <c r="AB3">
        <f>3.5+0.6+0.2</f>
        <v>4.3</v>
      </c>
      <c r="AE3" s="811">
        <v>2</v>
      </c>
      <c r="AF3" s="812">
        <f t="shared" si="0"/>
        <v>46080</v>
      </c>
      <c r="AG3" s="812">
        <f t="shared" si="1"/>
        <v>46095</v>
      </c>
      <c r="AH3" s="812">
        <f t="shared" si="2"/>
        <v>46098</v>
      </c>
      <c r="AI3" s="812">
        <v>46100</v>
      </c>
      <c r="AJ3" s="813" t="s">
        <v>1381</v>
      </c>
      <c r="AK3" s="812">
        <v>46142</v>
      </c>
      <c r="AL3" s="814">
        <f t="shared" si="3"/>
        <v>7</v>
      </c>
      <c r="AM3" s="815">
        <v>46149</v>
      </c>
    </row>
    <row r="4" spans="1:39" ht="16.2" thickBot="1" x14ac:dyDescent="0.35">
      <c r="A4" s="786" t="s">
        <v>1336</v>
      </c>
      <c r="B4" s="786">
        <v>1745545</v>
      </c>
      <c r="C4" s="787">
        <v>45790</v>
      </c>
      <c r="D4" s="786" t="s">
        <v>1342</v>
      </c>
      <c r="E4" s="786" t="s">
        <v>1346</v>
      </c>
      <c r="F4" s="786">
        <v>173426</v>
      </c>
      <c r="G4" s="787">
        <v>46045</v>
      </c>
      <c r="I4" s="800" t="s">
        <v>51</v>
      </c>
      <c r="J4" s="801" t="s">
        <v>1357</v>
      </c>
      <c r="K4" s="802" t="s">
        <v>1358</v>
      </c>
      <c r="L4" s="803" t="s">
        <v>1359</v>
      </c>
      <c r="M4" s="804">
        <v>46081</v>
      </c>
      <c r="P4" s="788"/>
      <c r="Q4" s="786" t="s">
        <v>1362</v>
      </c>
      <c r="R4" s="123">
        <f>1426+299</f>
        <v>1725</v>
      </c>
      <c r="S4" s="123">
        <f>1652+598</f>
        <v>2250</v>
      </c>
      <c r="T4" s="807">
        <v>46081</v>
      </c>
      <c r="V4" s="809">
        <v>16435</v>
      </c>
      <c r="W4" s="809" t="s">
        <v>1368</v>
      </c>
      <c r="Z4" s="809">
        <f>Z3*43+150000</f>
        <v>657400</v>
      </c>
      <c r="AB4">
        <v>1</v>
      </c>
      <c r="AE4" s="811">
        <v>3</v>
      </c>
      <c r="AF4" s="812">
        <f t="shared" si="0"/>
        <v>46094</v>
      </c>
      <c r="AG4" s="812">
        <f t="shared" si="1"/>
        <v>46109</v>
      </c>
      <c r="AH4" s="812">
        <f t="shared" si="2"/>
        <v>46112</v>
      </c>
      <c r="AI4" s="812">
        <v>46114</v>
      </c>
      <c r="AJ4" s="813" t="s">
        <v>1382</v>
      </c>
      <c r="AK4" s="812">
        <v>46156</v>
      </c>
      <c r="AL4" s="814">
        <f t="shared" si="3"/>
        <v>8</v>
      </c>
      <c r="AM4" s="815">
        <v>46164</v>
      </c>
    </row>
    <row r="5" spans="1:39" ht="15" thickBot="1" x14ac:dyDescent="0.35">
      <c r="A5" s="786" t="s">
        <v>1337</v>
      </c>
      <c r="B5" s="786">
        <v>2258431</v>
      </c>
      <c r="C5" s="787">
        <v>45806</v>
      </c>
      <c r="D5" s="786" t="s">
        <v>1343</v>
      </c>
      <c r="E5" s="786" t="s">
        <v>1346</v>
      </c>
      <c r="F5" s="786">
        <v>161987</v>
      </c>
      <c r="G5" s="787">
        <v>45904</v>
      </c>
      <c r="P5" s="788"/>
      <c r="Q5" s="786" t="s">
        <v>1364</v>
      </c>
      <c r="R5" s="123">
        <f>2301+250+299</f>
        <v>2850</v>
      </c>
      <c r="S5" s="123">
        <f>2602+300+598</f>
        <v>3500</v>
      </c>
      <c r="T5" s="807">
        <v>46081</v>
      </c>
      <c r="V5" s="809"/>
      <c r="W5" s="809"/>
      <c r="Z5" s="809">
        <f>Z4*2.5%</f>
        <v>16435</v>
      </c>
      <c r="AB5">
        <v>3</v>
      </c>
      <c r="AE5" s="811">
        <v>4</v>
      </c>
      <c r="AF5" s="812">
        <f t="shared" si="0"/>
        <v>46115</v>
      </c>
      <c r="AG5" s="812">
        <f t="shared" si="1"/>
        <v>46130</v>
      </c>
      <c r="AH5" s="812">
        <f t="shared" si="2"/>
        <v>46133</v>
      </c>
      <c r="AI5" s="812">
        <v>46135</v>
      </c>
      <c r="AJ5" s="813" t="s">
        <v>1383</v>
      </c>
      <c r="AK5" s="812">
        <v>46177</v>
      </c>
      <c r="AL5" s="814">
        <f t="shared" si="3"/>
        <v>8</v>
      </c>
      <c r="AM5" s="815">
        <v>46185</v>
      </c>
    </row>
    <row r="6" spans="1:39" ht="16.8" thickTop="1" thickBot="1" x14ac:dyDescent="0.35">
      <c r="A6" s="788"/>
      <c r="B6" s="788"/>
      <c r="C6" s="788"/>
      <c r="D6" s="788"/>
      <c r="E6" s="788"/>
      <c r="I6" s="791"/>
      <c r="J6" s="792" t="s">
        <v>427</v>
      </c>
      <c r="K6" s="795" t="s">
        <v>1353</v>
      </c>
      <c r="P6" s="788"/>
      <c r="Q6" s="788"/>
      <c r="R6" s="788"/>
      <c r="S6" s="788"/>
      <c r="T6" s="808"/>
      <c r="V6" s="809"/>
      <c r="W6" s="809"/>
      <c r="Z6" s="809"/>
      <c r="AE6" s="811">
        <v>5</v>
      </c>
      <c r="AF6" s="812">
        <f t="shared" si="0"/>
        <v>46130</v>
      </c>
      <c r="AG6" s="812">
        <f t="shared" si="1"/>
        <v>46145</v>
      </c>
      <c r="AH6" s="812">
        <f t="shared" si="2"/>
        <v>46148</v>
      </c>
      <c r="AI6" s="812">
        <v>46150</v>
      </c>
      <c r="AJ6" s="813" t="s">
        <v>1384</v>
      </c>
      <c r="AK6" s="812">
        <v>46193</v>
      </c>
      <c r="AL6" s="814">
        <f t="shared" si="3"/>
        <v>9</v>
      </c>
      <c r="AM6" s="815">
        <v>46202</v>
      </c>
    </row>
    <row r="7" spans="1:39" ht="16.8" thickTop="1" thickBot="1" x14ac:dyDescent="0.35">
      <c r="A7" s="786" t="s">
        <v>1336</v>
      </c>
      <c r="B7" s="786">
        <v>4753989</v>
      </c>
      <c r="C7" s="787">
        <v>45895</v>
      </c>
      <c r="D7" s="786" t="s">
        <v>1345</v>
      </c>
      <c r="E7" s="786" t="s">
        <v>1347</v>
      </c>
      <c r="F7" s="786">
        <v>163387</v>
      </c>
      <c r="G7" s="787">
        <v>45923</v>
      </c>
      <c r="I7" s="791" t="s">
        <v>48</v>
      </c>
      <c r="J7" s="805">
        <f>P6</f>
        <v>0</v>
      </c>
      <c r="K7" s="799">
        <v>46081</v>
      </c>
      <c r="P7" s="788"/>
      <c r="Q7" s="788"/>
      <c r="R7" s="788"/>
      <c r="S7" s="788"/>
      <c r="T7" s="788"/>
      <c r="V7" s="809"/>
      <c r="W7" s="809"/>
      <c r="AE7" s="811">
        <v>6</v>
      </c>
      <c r="AF7" s="812">
        <f t="shared" si="0"/>
        <v>46143</v>
      </c>
      <c r="AG7" s="812">
        <f t="shared" si="1"/>
        <v>46158</v>
      </c>
      <c r="AH7" s="812">
        <f t="shared" si="2"/>
        <v>46161</v>
      </c>
      <c r="AI7" s="812">
        <v>46163</v>
      </c>
      <c r="AJ7" s="816" t="s">
        <v>1385</v>
      </c>
      <c r="AK7" s="812">
        <v>46205</v>
      </c>
      <c r="AL7" s="814">
        <f t="shared" si="3"/>
        <v>12</v>
      </c>
      <c r="AM7" s="815">
        <v>46217</v>
      </c>
    </row>
    <row r="8" spans="1:39" ht="16.2" thickBot="1" x14ac:dyDescent="0.35">
      <c r="I8" s="800" t="s">
        <v>51</v>
      </c>
      <c r="J8" s="805">
        <f>Q6</f>
        <v>0</v>
      </c>
      <c r="K8" s="804">
        <v>46081</v>
      </c>
      <c r="P8" s="785" t="s">
        <v>52</v>
      </c>
      <c r="Q8" s="785" t="s">
        <v>59</v>
      </c>
      <c r="R8" s="785" t="s">
        <v>48</v>
      </c>
      <c r="S8" s="785" t="s">
        <v>51</v>
      </c>
      <c r="T8" s="785" t="s">
        <v>1365</v>
      </c>
      <c r="V8" s="809">
        <f>SUM(V2:V4)</f>
        <v>20435</v>
      </c>
      <c r="W8" s="809"/>
      <c r="AE8" s="817">
        <v>7</v>
      </c>
      <c r="AF8" s="818">
        <f t="shared" si="0"/>
        <v>46150</v>
      </c>
      <c r="AG8" s="818">
        <f t="shared" si="1"/>
        <v>46165</v>
      </c>
      <c r="AH8" s="818">
        <f t="shared" si="2"/>
        <v>46168</v>
      </c>
      <c r="AI8" s="818">
        <v>46170</v>
      </c>
      <c r="AJ8" s="819" t="s">
        <v>1386</v>
      </c>
      <c r="AK8" s="818">
        <v>46212</v>
      </c>
      <c r="AL8" s="820">
        <f t="shared" si="3"/>
        <v>8</v>
      </c>
      <c r="AM8" s="821">
        <v>46220</v>
      </c>
    </row>
    <row r="9" spans="1:39" ht="15.6" thickTop="1" thickBot="1" x14ac:dyDescent="0.35">
      <c r="B9" s="785" t="s">
        <v>48</v>
      </c>
      <c r="C9" s="785" t="s">
        <v>51</v>
      </c>
      <c r="P9" s="786" t="s">
        <v>124</v>
      </c>
      <c r="Q9" s="786" t="s">
        <v>1363</v>
      </c>
      <c r="R9" s="123">
        <f t="shared" ref="R9:S11" si="4">R3+150</f>
        <v>1900</v>
      </c>
      <c r="S9" s="123">
        <f t="shared" si="4"/>
        <v>2450</v>
      </c>
      <c r="T9" s="807">
        <v>46081</v>
      </c>
      <c r="V9" s="809"/>
      <c r="W9" s="809"/>
    </row>
    <row r="10" spans="1:39" ht="15" thickBot="1" x14ac:dyDescent="0.35">
      <c r="A10" s="786" t="s">
        <v>690</v>
      </c>
      <c r="B10" s="790">
        <v>5000</v>
      </c>
      <c r="C10" s="790">
        <v>6500</v>
      </c>
      <c r="P10" s="788"/>
      <c r="Q10" s="786" t="s">
        <v>1362</v>
      </c>
      <c r="R10" s="123">
        <f t="shared" si="4"/>
        <v>1875</v>
      </c>
      <c r="S10" s="123">
        <f t="shared" si="4"/>
        <v>2400</v>
      </c>
      <c r="T10" s="807">
        <v>46081</v>
      </c>
    </row>
    <row r="11" spans="1:39" ht="15" thickBot="1" x14ac:dyDescent="0.35">
      <c r="P11" s="788"/>
      <c r="Q11" s="786" t="s">
        <v>1364</v>
      </c>
      <c r="R11" s="123">
        <f t="shared" si="4"/>
        <v>3000</v>
      </c>
      <c r="S11" s="123">
        <f t="shared" si="4"/>
        <v>3650</v>
      </c>
      <c r="T11" s="807">
        <v>46081</v>
      </c>
    </row>
    <row r="12" spans="1:39" x14ac:dyDescent="0.3">
      <c r="P12" s="788"/>
      <c r="Q12" s="788"/>
      <c r="R12" s="788"/>
      <c r="S12" s="788"/>
      <c r="T12" s="808"/>
    </row>
    <row r="13" spans="1:39" x14ac:dyDescent="0.3">
      <c r="P13" s="788"/>
      <c r="Q13" s="788"/>
      <c r="R13" s="788"/>
      <c r="S13" s="788"/>
      <c r="T13" s="788"/>
    </row>
  </sheetData>
  <conditionalFormatting sqref="B10:C10">
    <cfRule type="cellIs" dxfId="518" priority="1" operator="equal">
      <formula>"MUNDRA, IN"</formula>
    </cfRule>
    <cfRule type="cellIs" dxfId="517" priority="2" operator="equal">
      <formula>"NHAVA SHEVA, IN"</formula>
    </cfRule>
    <cfRule type="cellIs" dxfId="516" priority="3" operator="equal">
      <formula>"HAZIRA, IN"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4BDED-A38D-4DAB-9FAF-271BE09BD1D1}">
  <sheetPr codeName="Sheet8"/>
  <dimension ref="A1:P395"/>
  <sheetViews>
    <sheetView showGridLines="0" topLeftCell="B1" zoomScale="115" zoomScaleNormal="115" workbookViewId="0">
      <pane ySplit="1" topLeftCell="A2" activePane="bottomLeft" state="frozen"/>
      <selection activeCell="CG10" sqref="CG10"/>
      <selection pane="bottomLeft" activeCell="CG10" sqref="CG10"/>
    </sheetView>
  </sheetViews>
  <sheetFormatPr defaultColWidth="0" defaultRowHeight="14.4" x14ac:dyDescent="0.3"/>
  <cols>
    <col min="1" max="1" width="24.6640625" customWidth="1"/>
    <col min="2" max="2" width="29.6640625" customWidth="1"/>
    <col min="3" max="3" width="22.109375" customWidth="1"/>
    <col min="4" max="4" width="13.6640625" customWidth="1"/>
    <col min="5" max="5" width="19.33203125" customWidth="1"/>
    <col min="6" max="7" width="13.88671875" customWidth="1"/>
    <col min="8" max="8" width="17.44140625" customWidth="1"/>
    <col min="9" max="9" width="22.44140625" customWidth="1"/>
    <col min="10" max="10" width="8.88671875" customWidth="1"/>
    <col min="11" max="11" width="7.88671875" customWidth="1"/>
    <col min="12" max="12" width="8.88671875" customWidth="1"/>
    <col min="13" max="13" width="28.5546875" bestFit="1" customWidth="1"/>
    <col min="14" max="16" width="0" hidden="1" customWidth="1"/>
    <col min="17" max="16384" width="8.88671875" hidden="1"/>
  </cols>
  <sheetData>
    <row r="1" spans="1:13" ht="15.6" thickTop="1" thickBot="1" x14ac:dyDescent="0.35">
      <c r="A1" s="327" t="s">
        <v>778</v>
      </c>
      <c r="B1" s="331" t="s">
        <v>779</v>
      </c>
      <c r="C1" s="334" t="s">
        <v>52</v>
      </c>
      <c r="D1" s="327" t="s">
        <v>384</v>
      </c>
      <c r="E1" s="331" t="s">
        <v>72</v>
      </c>
      <c r="F1" s="327" t="s">
        <v>780</v>
      </c>
      <c r="G1" s="338" t="s">
        <v>66</v>
      </c>
      <c r="H1" s="338" t="s">
        <v>781</v>
      </c>
      <c r="I1" s="324" t="s">
        <v>782</v>
      </c>
      <c r="K1" s="610">
        <v>1.1000000000000001</v>
      </c>
      <c r="M1" s="364" t="s">
        <v>59</v>
      </c>
    </row>
    <row r="2" spans="1:13" ht="15" thickTop="1" x14ac:dyDescent="0.3">
      <c r="A2" s="328" t="s">
        <v>1149</v>
      </c>
      <c r="B2" s="332" t="s">
        <v>783</v>
      </c>
      <c r="C2" s="335" t="s">
        <v>163</v>
      </c>
      <c r="D2" s="328" t="s">
        <v>16</v>
      </c>
      <c r="E2" s="332" t="s">
        <v>4</v>
      </c>
      <c r="F2" s="328" t="s">
        <v>784</v>
      </c>
      <c r="G2" s="339" t="s">
        <v>44</v>
      </c>
      <c r="H2" s="339" t="s">
        <v>121</v>
      </c>
      <c r="I2" s="305" t="s">
        <v>785</v>
      </c>
      <c r="K2" s="610">
        <v>1.2</v>
      </c>
      <c r="M2" s="234" t="s">
        <v>60</v>
      </c>
    </row>
    <row r="3" spans="1:13" x14ac:dyDescent="0.3">
      <c r="A3" s="329" t="s">
        <v>786</v>
      </c>
      <c r="B3" s="325" t="s">
        <v>787</v>
      </c>
      <c r="C3" s="336" t="s">
        <v>788</v>
      </c>
      <c r="D3" s="329" t="s">
        <v>22</v>
      </c>
      <c r="E3" s="325" t="s">
        <v>349</v>
      </c>
      <c r="F3" s="329" t="s">
        <v>70</v>
      </c>
      <c r="G3" s="340" t="s">
        <v>128</v>
      </c>
      <c r="H3" s="340" t="s">
        <v>789</v>
      </c>
      <c r="I3" s="342" t="s">
        <v>790</v>
      </c>
      <c r="J3" s="325" t="s">
        <v>40</v>
      </c>
      <c r="K3" s="610">
        <v>1.3</v>
      </c>
      <c r="L3" s="325"/>
      <c r="M3" s="234" t="s">
        <v>403</v>
      </c>
    </row>
    <row r="4" spans="1:13" x14ac:dyDescent="0.3">
      <c r="A4" s="329" t="s">
        <v>791</v>
      </c>
      <c r="B4" s="325" t="s">
        <v>792</v>
      </c>
      <c r="C4" s="336" t="s">
        <v>793</v>
      </c>
      <c r="D4" s="329" t="s">
        <v>48</v>
      </c>
      <c r="E4" s="325" t="s">
        <v>9</v>
      </c>
      <c r="F4" s="329" t="s">
        <v>794</v>
      </c>
      <c r="G4" s="340"/>
      <c r="H4" s="340" t="s">
        <v>795</v>
      </c>
      <c r="I4" s="343"/>
      <c r="J4" s="325" t="s">
        <v>40</v>
      </c>
      <c r="K4" s="611">
        <v>1.4</v>
      </c>
      <c r="L4" s="325"/>
      <c r="M4" s="234" t="s">
        <v>404</v>
      </c>
    </row>
    <row r="5" spans="1:13" x14ac:dyDescent="0.3">
      <c r="A5" s="329" t="s">
        <v>796</v>
      </c>
      <c r="B5" s="325" t="s">
        <v>797</v>
      </c>
      <c r="C5" s="336" t="s">
        <v>1150</v>
      </c>
      <c r="D5" s="329" t="s">
        <v>776</v>
      </c>
      <c r="E5" s="325" t="s">
        <v>3</v>
      </c>
      <c r="F5" s="329" t="s">
        <v>798</v>
      </c>
      <c r="G5" s="340"/>
      <c r="H5" s="340" t="s">
        <v>799</v>
      </c>
      <c r="I5" s="326" t="s">
        <v>800</v>
      </c>
      <c r="J5" s="325" t="s">
        <v>40</v>
      </c>
      <c r="K5" s="610">
        <v>1.5</v>
      </c>
      <c r="L5" s="325"/>
      <c r="M5" s="234" t="s">
        <v>405</v>
      </c>
    </row>
    <row r="6" spans="1:13" x14ac:dyDescent="0.3">
      <c r="A6" s="329" t="s">
        <v>801</v>
      </c>
      <c r="B6" s="325" t="s">
        <v>802</v>
      </c>
      <c r="C6" s="336" t="s">
        <v>53</v>
      </c>
      <c r="D6" s="329" t="s">
        <v>51</v>
      </c>
      <c r="E6" s="325" t="s">
        <v>803</v>
      </c>
      <c r="F6" s="329" t="s">
        <v>804</v>
      </c>
      <c r="G6" s="340"/>
      <c r="H6" s="340" t="s">
        <v>805</v>
      </c>
      <c r="I6" s="371" t="s">
        <v>1315</v>
      </c>
      <c r="J6" s="325" t="s">
        <v>40</v>
      </c>
      <c r="K6" s="610">
        <v>1.6</v>
      </c>
      <c r="L6" s="325"/>
      <c r="M6" s="234" t="s">
        <v>406</v>
      </c>
    </row>
    <row r="7" spans="1:13" x14ac:dyDescent="0.3">
      <c r="A7" s="329" t="s">
        <v>806</v>
      </c>
      <c r="B7" s="325" t="s">
        <v>807</v>
      </c>
      <c r="C7" s="336" t="s">
        <v>124</v>
      </c>
      <c r="D7" s="329" t="s">
        <v>808</v>
      </c>
      <c r="E7" s="325" t="s">
        <v>809</v>
      </c>
      <c r="F7" s="329" t="s">
        <v>810</v>
      </c>
      <c r="G7" s="340"/>
      <c r="H7" s="340"/>
      <c r="I7" s="325"/>
      <c r="J7" s="325" t="s">
        <v>40</v>
      </c>
      <c r="K7" s="610">
        <v>2.1</v>
      </c>
      <c r="L7" s="325"/>
      <c r="M7" s="234" t="s">
        <v>407</v>
      </c>
    </row>
    <row r="8" spans="1:13" x14ac:dyDescent="0.3">
      <c r="A8" s="329" t="s">
        <v>811</v>
      </c>
      <c r="B8" s="325" t="s">
        <v>812</v>
      </c>
      <c r="C8" s="336" t="s">
        <v>775</v>
      </c>
      <c r="D8" s="329" t="s">
        <v>814</v>
      </c>
      <c r="E8" s="325" t="s">
        <v>815</v>
      </c>
      <c r="F8" s="329" t="s">
        <v>49</v>
      </c>
      <c r="G8" s="340"/>
      <c r="H8" s="340"/>
      <c r="I8" s="326" t="s">
        <v>16</v>
      </c>
      <c r="J8" s="325" t="s">
        <v>40</v>
      </c>
      <c r="K8" s="610">
        <v>2.2000000000000002</v>
      </c>
      <c r="L8" s="325"/>
      <c r="M8" s="234" t="s">
        <v>408</v>
      </c>
    </row>
    <row r="9" spans="1:13" x14ac:dyDescent="0.3">
      <c r="A9" s="329" t="s">
        <v>126</v>
      </c>
      <c r="B9" s="325" t="s">
        <v>816</v>
      </c>
      <c r="C9" s="336" t="s">
        <v>813</v>
      </c>
      <c r="D9" s="329" t="s">
        <v>818</v>
      </c>
      <c r="E9" s="325" t="s">
        <v>819</v>
      </c>
      <c r="F9" s="329"/>
      <c r="G9" s="340"/>
      <c r="H9" s="340"/>
      <c r="I9" s="371" t="s">
        <v>820</v>
      </c>
      <c r="J9" s="325" t="s">
        <v>40</v>
      </c>
      <c r="K9" s="610">
        <v>2.2999999999999998</v>
      </c>
      <c r="L9" s="325"/>
      <c r="M9" s="234" t="s">
        <v>409</v>
      </c>
    </row>
    <row r="10" spans="1:13" x14ac:dyDescent="0.3">
      <c r="A10" s="329" t="s">
        <v>821</v>
      </c>
      <c r="B10" s="325" t="s">
        <v>822</v>
      </c>
      <c r="C10" s="336" t="s">
        <v>817</v>
      </c>
      <c r="D10" s="329" t="s">
        <v>824</v>
      </c>
      <c r="E10" s="325" t="s">
        <v>825</v>
      </c>
      <c r="F10" s="329"/>
      <c r="G10" s="340"/>
      <c r="H10" s="340"/>
      <c r="I10" s="92"/>
      <c r="J10" s="325" t="s">
        <v>40</v>
      </c>
      <c r="K10" s="610">
        <v>3</v>
      </c>
      <c r="L10" s="325"/>
      <c r="M10" s="234" t="s">
        <v>410</v>
      </c>
    </row>
    <row r="11" spans="1:13" x14ac:dyDescent="0.3">
      <c r="A11" s="329" t="s">
        <v>826</v>
      </c>
      <c r="B11" s="325" t="s">
        <v>827</v>
      </c>
      <c r="C11" s="336" t="s">
        <v>823</v>
      </c>
      <c r="D11" s="329" t="s">
        <v>829</v>
      </c>
      <c r="E11" s="325" t="s">
        <v>830</v>
      </c>
      <c r="F11" s="329"/>
      <c r="G11" s="340"/>
      <c r="H11" s="340"/>
      <c r="I11" s="326" t="s">
        <v>22</v>
      </c>
      <c r="J11" s="325" t="s">
        <v>40</v>
      </c>
      <c r="K11" s="610">
        <v>4.0999999999999996</v>
      </c>
      <c r="L11" s="325"/>
      <c r="M11" s="234" t="s">
        <v>411</v>
      </c>
    </row>
    <row r="12" spans="1:13" x14ac:dyDescent="0.3">
      <c r="A12" s="329" t="s">
        <v>831</v>
      </c>
      <c r="B12" s="325" t="s">
        <v>832</v>
      </c>
      <c r="C12" s="336" t="s">
        <v>828</v>
      </c>
      <c r="D12" s="329" t="s">
        <v>1146</v>
      </c>
      <c r="E12" s="325" t="s">
        <v>834</v>
      </c>
      <c r="F12" s="329"/>
      <c r="G12" s="340"/>
      <c r="H12" s="340"/>
      <c r="I12" s="342" t="s">
        <v>835</v>
      </c>
      <c r="J12" s="325" t="s">
        <v>40</v>
      </c>
      <c r="K12" s="610">
        <v>4.2</v>
      </c>
      <c r="L12" s="325"/>
      <c r="M12" s="234" t="s">
        <v>412</v>
      </c>
    </row>
    <row r="13" spans="1:13" x14ac:dyDescent="0.3">
      <c r="A13" s="329" t="s">
        <v>836</v>
      </c>
      <c r="B13" s="325" t="s">
        <v>837</v>
      </c>
      <c r="C13" s="336" t="s">
        <v>833</v>
      </c>
      <c r="D13" s="329"/>
      <c r="E13" s="325" t="s">
        <v>838</v>
      </c>
      <c r="F13" s="329"/>
      <c r="G13" s="340"/>
      <c r="H13" s="340"/>
      <c r="I13" s="325"/>
      <c r="J13" s="325" t="s">
        <v>40</v>
      </c>
      <c r="K13" s="610">
        <v>4.3</v>
      </c>
      <c r="L13" s="325"/>
      <c r="M13" s="234" t="s">
        <v>413</v>
      </c>
    </row>
    <row r="14" spans="1:13" x14ac:dyDescent="0.3">
      <c r="A14" s="329" t="s">
        <v>207</v>
      </c>
      <c r="B14" s="325" t="s">
        <v>839</v>
      </c>
      <c r="C14" s="336" t="s">
        <v>232</v>
      </c>
      <c r="D14" s="329"/>
      <c r="E14" s="325" t="s">
        <v>840</v>
      </c>
      <c r="F14" s="329"/>
      <c r="G14" s="340"/>
      <c r="H14" s="340"/>
      <c r="I14" s="92"/>
      <c r="J14" s="325" t="s">
        <v>40</v>
      </c>
      <c r="K14" s="610">
        <v>5.0999999999999996</v>
      </c>
      <c r="L14" s="325"/>
      <c r="M14" s="234" t="s">
        <v>841</v>
      </c>
    </row>
    <row r="15" spans="1:13" x14ac:dyDescent="0.3">
      <c r="A15" s="329" t="s">
        <v>842</v>
      </c>
      <c r="B15" s="325" t="s">
        <v>843</v>
      </c>
      <c r="C15" s="336"/>
      <c r="D15" s="329"/>
      <c r="E15" s="325" t="s">
        <v>844</v>
      </c>
      <c r="F15" s="329"/>
      <c r="G15" s="340"/>
      <c r="H15" s="340"/>
      <c r="I15" s="325"/>
      <c r="J15" s="325" t="s">
        <v>40</v>
      </c>
      <c r="K15" s="610">
        <v>5.2</v>
      </c>
      <c r="L15" s="325"/>
      <c r="M15" s="234" t="s">
        <v>414</v>
      </c>
    </row>
    <row r="16" spans="1:13" x14ac:dyDescent="0.3">
      <c r="A16" s="329" t="s">
        <v>845</v>
      </c>
      <c r="B16" s="325" t="s">
        <v>846</v>
      </c>
      <c r="C16" s="336"/>
      <c r="D16" s="329"/>
      <c r="E16" s="325" t="s">
        <v>847</v>
      </c>
      <c r="F16" s="329"/>
      <c r="G16" s="340"/>
      <c r="H16" s="340"/>
      <c r="I16" s="325"/>
      <c r="J16" s="325" t="s">
        <v>40</v>
      </c>
      <c r="K16" s="610">
        <v>6.1</v>
      </c>
      <c r="L16" s="325"/>
      <c r="M16" s="234" t="s">
        <v>415</v>
      </c>
    </row>
    <row r="17" spans="1:13" x14ac:dyDescent="0.3">
      <c r="A17" s="329" t="s">
        <v>848</v>
      </c>
      <c r="B17" s="325"/>
      <c r="C17" s="336"/>
      <c r="D17" s="329"/>
      <c r="E17" s="325" t="s">
        <v>14</v>
      </c>
      <c r="F17" s="329"/>
      <c r="G17" s="340"/>
      <c r="H17" s="340"/>
      <c r="I17" s="325"/>
      <c r="J17" s="325" t="s">
        <v>40</v>
      </c>
      <c r="K17" s="610">
        <v>6.2</v>
      </c>
      <c r="L17" s="325"/>
      <c r="M17" s="234" t="s">
        <v>416</v>
      </c>
    </row>
    <row r="18" spans="1:13" x14ac:dyDescent="0.3">
      <c r="A18" s="329" t="s">
        <v>849</v>
      </c>
      <c r="B18" s="325"/>
      <c r="C18" s="336"/>
      <c r="D18" s="329"/>
      <c r="E18" s="325" t="s">
        <v>850</v>
      </c>
      <c r="F18" s="329"/>
      <c r="G18" s="340"/>
      <c r="H18" s="340"/>
      <c r="I18" s="325"/>
      <c r="K18" s="87"/>
      <c r="M18" s="234" t="s">
        <v>417</v>
      </c>
    </row>
    <row r="19" spans="1:13" x14ac:dyDescent="0.3">
      <c r="A19" s="329" t="s">
        <v>851</v>
      </c>
      <c r="B19" s="325"/>
      <c r="C19" s="336"/>
      <c r="D19" s="329"/>
      <c r="E19" s="325" t="s">
        <v>852</v>
      </c>
      <c r="F19" s="329"/>
      <c r="G19" s="340"/>
      <c r="H19" s="340"/>
      <c r="I19" s="325"/>
      <c r="K19" s="87">
        <v>8</v>
      </c>
      <c r="M19" s="234" t="s">
        <v>418</v>
      </c>
    </row>
    <row r="20" spans="1:13" x14ac:dyDescent="0.3">
      <c r="A20" s="329" t="s">
        <v>853</v>
      </c>
      <c r="B20" s="325"/>
      <c r="C20" s="336"/>
      <c r="D20" s="329"/>
      <c r="E20" s="325" t="s">
        <v>854</v>
      </c>
      <c r="F20" s="329"/>
      <c r="G20" s="340"/>
      <c r="H20" s="340"/>
      <c r="I20" s="325"/>
      <c r="K20" s="87">
        <v>9</v>
      </c>
      <c r="M20" s="234" t="s">
        <v>419</v>
      </c>
    </row>
    <row r="21" spans="1:13" x14ac:dyDescent="0.3">
      <c r="A21" s="329" t="s">
        <v>855</v>
      </c>
      <c r="B21" s="325"/>
      <c r="C21" s="336"/>
      <c r="D21" s="329"/>
      <c r="E21" s="325" t="s">
        <v>18</v>
      </c>
      <c r="F21" s="329"/>
      <c r="G21" s="340"/>
      <c r="H21" s="340"/>
      <c r="I21" s="325"/>
      <c r="M21" s="234" t="s">
        <v>420</v>
      </c>
    </row>
    <row r="22" spans="1:13" x14ac:dyDescent="0.3">
      <c r="A22" s="329" t="s">
        <v>856</v>
      </c>
      <c r="B22" s="325"/>
      <c r="C22" s="336"/>
      <c r="D22" s="329"/>
      <c r="E22" s="325" t="s">
        <v>857</v>
      </c>
      <c r="F22" s="329"/>
      <c r="G22" s="340"/>
      <c r="H22" s="340"/>
      <c r="I22" s="325"/>
      <c r="M22" s="234" t="s">
        <v>421</v>
      </c>
    </row>
    <row r="23" spans="1:13" x14ac:dyDescent="0.3">
      <c r="A23" s="329" t="s">
        <v>127</v>
      </c>
      <c r="B23" s="325"/>
      <c r="C23" s="336"/>
      <c r="D23" s="329"/>
      <c r="E23" s="325" t="s">
        <v>19</v>
      </c>
      <c r="F23" s="329"/>
      <c r="G23" s="340"/>
      <c r="H23" s="340"/>
      <c r="I23" s="325"/>
      <c r="M23" s="234" t="s">
        <v>422</v>
      </c>
    </row>
    <row r="24" spans="1:13" x14ac:dyDescent="0.3">
      <c r="A24" s="329"/>
      <c r="B24" s="325"/>
      <c r="C24" s="336"/>
      <c r="D24" s="329"/>
      <c r="E24" s="325" t="s">
        <v>858</v>
      </c>
      <c r="F24" s="329"/>
      <c r="G24" s="340"/>
      <c r="H24" s="340"/>
      <c r="I24" s="325"/>
      <c r="M24" s="234" t="s">
        <v>423</v>
      </c>
    </row>
    <row r="25" spans="1:13" x14ac:dyDescent="0.3">
      <c r="A25" s="329"/>
      <c r="B25" s="325"/>
      <c r="C25" s="336"/>
      <c r="D25" s="329"/>
      <c r="E25" s="325" t="s">
        <v>13</v>
      </c>
      <c r="F25" s="329"/>
      <c r="G25" s="340"/>
      <c r="H25" s="340"/>
      <c r="I25" s="325"/>
      <c r="M25" s="234" t="s">
        <v>424</v>
      </c>
    </row>
    <row r="26" spans="1:13" x14ac:dyDescent="0.3">
      <c r="A26" s="329"/>
      <c r="B26" s="325"/>
      <c r="C26" s="336"/>
      <c r="D26" s="329"/>
      <c r="E26" s="325">
        <v>25</v>
      </c>
      <c r="F26" s="329"/>
      <c r="G26" s="340"/>
      <c r="H26" s="340"/>
      <c r="I26" s="325"/>
      <c r="M26" s="234" t="s">
        <v>425</v>
      </c>
    </row>
    <row r="27" spans="1:13" x14ac:dyDescent="0.3">
      <c r="A27" s="329"/>
      <c r="B27" s="325"/>
      <c r="C27" s="336"/>
      <c r="D27" s="329"/>
      <c r="E27" s="325" t="s">
        <v>859</v>
      </c>
      <c r="F27" s="329"/>
      <c r="G27" s="340"/>
      <c r="H27" s="340"/>
      <c r="I27" s="325"/>
      <c r="M27" s="234" t="s">
        <v>426</v>
      </c>
    </row>
    <row r="28" spans="1:13" x14ac:dyDescent="0.3">
      <c r="A28" s="329"/>
      <c r="B28" s="325"/>
      <c r="C28" s="336"/>
      <c r="D28" s="329"/>
      <c r="E28" s="325" t="s">
        <v>860</v>
      </c>
      <c r="F28" s="329"/>
      <c r="G28" s="340"/>
      <c r="H28" s="340"/>
      <c r="I28" s="325"/>
      <c r="M28" s="234" t="s">
        <v>427</v>
      </c>
    </row>
    <row r="29" spans="1:13" x14ac:dyDescent="0.3">
      <c r="A29" s="329"/>
      <c r="B29" s="325"/>
      <c r="C29" s="336"/>
      <c r="D29" s="329"/>
      <c r="E29" s="325" t="s">
        <v>861</v>
      </c>
      <c r="F29" s="329"/>
      <c r="G29" s="340"/>
      <c r="H29" s="340"/>
      <c r="I29" s="325"/>
      <c r="M29" s="234" t="s">
        <v>862</v>
      </c>
    </row>
    <row r="30" spans="1:13" x14ac:dyDescent="0.3">
      <c r="A30" s="329"/>
      <c r="B30" s="325"/>
      <c r="C30" s="336"/>
      <c r="D30" s="329"/>
      <c r="E30" s="325" t="s">
        <v>863</v>
      </c>
      <c r="F30" s="329"/>
      <c r="G30" s="340"/>
      <c r="H30" s="340"/>
      <c r="I30" s="325"/>
      <c r="M30" s="234" t="s">
        <v>428</v>
      </c>
    </row>
    <row r="31" spans="1:13" x14ac:dyDescent="0.3">
      <c r="A31" s="329"/>
      <c r="B31" s="325"/>
      <c r="C31" s="336"/>
      <c r="D31" s="329"/>
      <c r="E31" s="325" t="s">
        <v>864</v>
      </c>
      <c r="F31" s="329"/>
      <c r="G31" s="340"/>
      <c r="H31" s="340"/>
      <c r="I31" s="325"/>
      <c r="M31" s="234" t="s">
        <v>429</v>
      </c>
    </row>
    <row r="32" spans="1:13" x14ac:dyDescent="0.3">
      <c r="A32" s="329"/>
      <c r="B32" s="325"/>
      <c r="C32" s="336"/>
      <c r="D32" s="329"/>
      <c r="E32" s="325" t="s">
        <v>865</v>
      </c>
      <c r="F32" s="329"/>
      <c r="G32" s="340"/>
      <c r="H32" s="340"/>
      <c r="I32" s="325"/>
      <c r="M32" s="234" t="s">
        <v>431</v>
      </c>
    </row>
    <row r="33" spans="1:13" x14ac:dyDescent="0.3">
      <c r="A33" s="329"/>
      <c r="B33" s="325"/>
      <c r="C33" s="336"/>
      <c r="D33" s="329"/>
      <c r="E33" s="325" t="s">
        <v>866</v>
      </c>
      <c r="F33" s="329"/>
      <c r="G33" s="340"/>
      <c r="H33" s="340"/>
      <c r="I33" s="325"/>
      <c r="M33" s="234" t="s">
        <v>432</v>
      </c>
    </row>
    <row r="34" spans="1:13" x14ac:dyDescent="0.3">
      <c r="A34" s="329"/>
      <c r="B34" s="325"/>
      <c r="C34" s="336"/>
      <c r="D34" s="329"/>
      <c r="E34" s="325">
        <v>33</v>
      </c>
      <c r="F34" s="329"/>
      <c r="G34" s="340"/>
      <c r="H34" s="340"/>
      <c r="I34" s="325"/>
      <c r="M34" s="234" t="s">
        <v>433</v>
      </c>
    </row>
    <row r="35" spans="1:13" x14ac:dyDescent="0.3">
      <c r="A35" s="329"/>
      <c r="B35" s="325"/>
      <c r="C35" s="336"/>
      <c r="D35" s="329"/>
      <c r="E35" s="325" t="s">
        <v>867</v>
      </c>
      <c r="F35" s="329"/>
      <c r="G35" s="340"/>
      <c r="H35" s="340"/>
      <c r="I35" s="325"/>
      <c r="M35" s="234" t="s">
        <v>434</v>
      </c>
    </row>
    <row r="36" spans="1:13" x14ac:dyDescent="0.3">
      <c r="A36" s="329"/>
      <c r="B36" s="325"/>
      <c r="C36" s="336"/>
      <c r="D36" s="329"/>
      <c r="E36" s="325" t="s">
        <v>868</v>
      </c>
      <c r="F36" s="329"/>
      <c r="G36" s="340"/>
      <c r="H36" s="340"/>
      <c r="I36" s="325"/>
      <c r="M36" s="234" t="s">
        <v>435</v>
      </c>
    </row>
    <row r="37" spans="1:13" x14ac:dyDescent="0.3">
      <c r="A37" s="329"/>
      <c r="B37" s="325"/>
      <c r="C37" s="336"/>
      <c r="D37" s="329"/>
      <c r="E37" s="325" t="s">
        <v>869</v>
      </c>
      <c r="F37" s="329"/>
      <c r="G37" s="340"/>
      <c r="H37" s="340"/>
      <c r="I37" s="325"/>
      <c r="M37" s="234" t="s">
        <v>436</v>
      </c>
    </row>
    <row r="38" spans="1:13" x14ac:dyDescent="0.3">
      <c r="A38" s="329"/>
      <c r="B38" s="325"/>
      <c r="C38" s="336"/>
      <c r="D38" s="329"/>
      <c r="E38" s="325" t="s">
        <v>870</v>
      </c>
      <c r="F38" s="329"/>
      <c r="G38" s="340"/>
      <c r="H38" s="340"/>
      <c r="I38" s="325"/>
      <c r="M38" s="234" t="s">
        <v>437</v>
      </c>
    </row>
    <row r="39" spans="1:13" x14ac:dyDescent="0.3">
      <c r="A39" s="329"/>
      <c r="B39" s="325"/>
      <c r="C39" s="336"/>
      <c r="D39" s="329"/>
      <c r="E39" s="325" t="s">
        <v>871</v>
      </c>
      <c r="F39" s="329"/>
      <c r="G39" s="340"/>
      <c r="H39" s="340"/>
      <c r="I39" s="325"/>
      <c r="M39" s="234" t="s">
        <v>438</v>
      </c>
    </row>
    <row r="40" spans="1:13" x14ac:dyDescent="0.3">
      <c r="A40" s="329"/>
      <c r="B40" s="325"/>
      <c r="C40" s="336"/>
      <c r="D40" s="329"/>
      <c r="E40" s="325" t="s">
        <v>872</v>
      </c>
      <c r="F40" s="329"/>
      <c r="G40" s="340"/>
      <c r="H40" s="340"/>
      <c r="I40" s="325"/>
      <c r="M40" s="234" t="s">
        <v>439</v>
      </c>
    </row>
    <row r="41" spans="1:13" x14ac:dyDescent="0.3">
      <c r="A41" s="329"/>
      <c r="B41" s="325"/>
      <c r="C41" s="336"/>
      <c r="D41" s="329"/>
      <c r="E41" s="325" t="s">
        <v>873</v>
      </c>
      <c r="F41" s="329"/>
      <c r="G41" s="340"/>
      <c r="H41" s="340"/>
      <c r="I41" s="325"/>
      <c r="M41" s="234" t="s">
        <v>440</v>
      </c>
    </row>
    <row r="42" spans="1:13" x14ac:dyDescent="0.3">
      <c r="A42" s="329"/>
      <c r="B42" s="325"/>
      <c r="C42" s="336"/>
      <c r="D42" s="329"/>
      <c r="E42" s="325" t="s">
        <v>874</v>
      </c>
      <c r="F42" s="329"/>
      <c r="G42" s="340"/>
      <c r="H42" s="340"/>
      <c r="I42" s="325"/>
      <c r="M42" s="234" t="s">
        <v>441</v>
      </c>
    </row>
    <row r="43" spans="1:13" x14ac:dyDescent="0.3">
      <c r="A43" s="329"/>
      <c r="B43" s="325"/>
      <c r="C43" s="336"/>
      <c r="D43" s="329"/>
      <c r="E43" s="325" t="s">
        <v>875</v>
      </c>
      <c r="F43" s="329"/>
      <c r="G43" s="340"/>
      <c r="H43" s="340"/>
      <c r="I43" s="325"/>
      <c r="M43" s="234" t="s">
        <v>442</v>
      </c>
    </row>
    <row r="44" spans="1:13" x14ac:dyDescent="0.3">
      <c r="A44" s="329"/>
      <c r="B44" s="325"/>
      <c r="C44" s="336"/>
      <c r="D44" s="329"/>
      <c r="E44" s="325" t="s">
        <v>876</v>
      </c>
      <c r="F44" s="329"/>
      <c r="G44" s="340"/>
      <c r="H44" s="340"/>
      <c r="I44" s="325"/>
      <c r="M44" s="234" t="s">
        <v>443</v>
      </c>
    </row>
    <row r="45" spans="1:13" x14ac:dyDescent="0.3">
      <c r="A45" s="329"/>
      <c r="B45" s="325"/>
      <c r="C45" s="336"/>
      <c r="D45" s="329"/>
      <c r="E45" s="325" t="s">
        <v>877</v>
      </c>
      <c r="F45" s="329"/>
      <c r="G45" s="340"/>
      <c r="H45" s="340"/>
      <c r="I45" s="325"/>
      <c r="M45" s="234" t="s">
        <v>444</v>
      </c>
    </row>
    <row r="46" spans="1:13" x14ac:dyDescent="0.3">
      <c r="A46" s="329"/>
      <c r="B46" s="325"/>
      <c r="C46" s="336"/>
      <c r="D46" s="329"/>
      <c r="E46" s="325" t="s">
        <v>878</v>
      </c>
      <c r="F46" s="329"/>
      <c r="G46" s="340"/>
      <c r="H46" s="340"/>
      <c r="I46" s="325"/>
      <c r="M46" s="234" t="s">
        <v>445</v>
      </c>
    </row>
    <row r="47" spans="1:13" x14ac:dyDescent="0.3">
      <c r="A47" s="329"/>
      <c r="B47" s="325"/>
      <c r="C47" s="336"/>
      <c r="D47" s="329"/>
      <c r="E47" s="325" t="s">
        <v>1137</v>
      </c>
      <c r="F47" s="329"/>
      <c r="G47" s="340"/>
      <c r="H47" s="340"/>
      <c r="I47" s="325"/>
      <c r="M47" s="234" t="s">
        <v>446</v>
      </c>
    </row>
    <row r="48" spans="1:13" x14ac:dyDescent="0.3">
      <c r="A48" s="329"/>
      <c r="B48" s="325"/>
      <c r="C48" s="336"/>
      <c r="D48" s="329"/>
      <c r="E48" s="325" t="s">
        <v>1141</v>
      </c>
      <c r="F48" s="329"/>
      <c r="G48" s="340"/>
      <c r="H48" s="340"/>
      <c r="I48" s="325"/>
      <c r="M48" s="234" t="s">
        <v>447</v>
      </c>
    </row>
    <row r="49" spans="1:13" x14ac:dyDescent="0.3">
      <c r="A49" s="329"/>
      <c r="B49" s="325"/>
      <c r="C49" s="336"/>
      <c r="D49" s="329"/>
      <c r="E49" s="325" t="s">
        <v>1148</v>
      </c>
      <c r="F49" s="329"/>
      <c r="G49" s="340"/>
      <c r="H49" s="340"/>
      <c r="I49" s="325"/>
      <c r="M49" s="234" t="s">
        <v>448</v>
      </c>
    </row>
    <row r="50" spans="1:13" x14ac:dyDescent="0.3">
      <c r="A50" s="329"/>
      <c r="B50" s="325"/>
      <c r="C50" s="336"/>
      <c r="D50" s="329"/>
      <c r="E50" s="325"/>
      <c r="F50" s="329"/>
      <c r="G50" s="340"/>
      <c r="H50" s="340"/>
      <c r="I50" s="325"/>
      <c r="M50" s="234" t="s">
        <v>449</v>
      </c>
    </row>
    <row r="51" spans="1:13" x14ac:dyDescent="0.3">
      <c r="A51" s="329"/>
      <c r="B51" s="325"/>
      <c r="C51" s="336"/>
      <c r="D51" s="329"/>
      <c r="E51" s="325"/>
      <c r="F51" s="329"/>
      <c r="G51" s="340"/>
      <c r="H51" s="340"/>
      <c r="I51" s="325"/>
      <c r="M51" s="234" t="s">
        <v>450</v>
      </c>
    </row>
    <row r="52" spans="1:13" x14ac:dyDescent="0.3">
      <c r="A52" s="329"/>
      <c r="B52" s="325"/>
      <c r="C52" s="336"/>
      <c r="D52" s="329"/>
      <c r="E52" s="325"/>
      <c r="F52" s="329"/>
      <c r="G52" s="340"/>
      <c r="H52" s="340"/>
      <c r="I52" s="325"/>
      <c r="M52" s="234" t="s">
        <v>451</v>
      </c>
    </row>
    <row r="53" spans="1:13" x14ac:dyDescent="0.3">
      <c r="A53" s="329"/>
      <c r="B53" s="325"/>
      <c r="C53" s="336"/>
      <c r="D53" s="329"/>
      <c r="E53" s="325"/>
      <c r="F53" s="329"/>
      <c r="G53" s="340"/>
      <c r="H53" s="340"/>
      <c r="I53" s="325"/>
      <c r="M53" s="234" t="s">
        <v>452</v>
      </c>
    </row>
    <row r="54" spans="1:13" x14ac:dyDescent="0.3">
      <c r="A54" s="329"/>
      <c r="B54" s="325"/>
      <c r="C54" s="336"/>
      <c r="D54" s="329"/>
      <c r="E54" s="325"/>
      <c r="F54" s="329"/>
      <c r="G54" s="340"/>
      <c r="H54" s="340"/>
      <c r="I54" s="325"/>
      <c r="M54" s="234" t="s">
        <v>453</v>
      </c>
    </row>
    <row r="55" spans="1:13" x14ac:dyDescent="0.3">
      <c r="A55" s="329"/>
      <c r="B55" s="325"/>
      <c r="C55" s="336"/>
      <c r="D55" s="329"/>
      <c r="E55" s="325"/>
      <c r="F55" s="329"/>
      <c r="G55" s="340"/>
      <c r="H55" s="340"/>
      <c r="I55" s="325"/>
      <c r="M55" s="234" t="s">
        <v>454</v>
      </c>
    </row>
    <row r="56" spans="1:13" x14ac:dyDescent="0.3">
      <c r="A56" s="329"/>
      <c r="B56" s="325"/>
      <c r="C56" s="336"/>
      <c r="D56" s="329"/>
      <c r="E56" s="325"/>
      <c r="F56" s="329"/>
      <c r="G56" s="340"/>
      <c r="H56" s="340"/>
      <c r="I56" s="325"/>
      <c r="M56" s="234" t="s">
        <v>455</v>
      </c>
    </row>
    <row r="57" spans="1:13" x14ac:dyDescent="0.3">
      <c r="A57" s="329"/>
      <c r="B57" s="325"/>
      <c r="C57" s="336"/>
      <c r="D57" s="329"/>
      <c r="E57" s="325"/>
      <c r="F57" s="329"/>
      <c r="G57" s="340"/>
      <c r="H57" s="340"/>
      <c r="I57" s="325"/>
      <c r="M57" s="234" t="s">
        <v>456</v>
      </c>
    </row>
    <row r="58" spans="1:13" x14ac:dyDescent="0.3">
      <c r="A58" s="329"/>
      <c r="B58" s="325"/>
      <c r="C58" s="336"/>
      <c r="D58" s="329"/>
      <c r="E58" s="325"/>
      <c r="F58" s="329"/>
      <c r="G58" s="340"/>
      <c r="H58" s="340"/>
      <c r="I58" s="325"/>
      <c r="M58" s="234" t="s">
        <v>457</v>
      </c>
    </row>
    <row r="59" spans="1:13" x14ac:dyDescent="0.3">
      <c r="A59" s="329"/>
      <c r="B59" s="325"/>
      <c r="C59" s="336"/>
      <c r="D59" s="329"/>
      <c r="E59" s="325"/>
      <c r="F59" s="329"/>
      <c r="G59" s="340"/>
      <c r="H59" s="340"/>
      <c r="I59" s="325"/>
      <c r="M59" s="234" t="s">
        <v>459</v>
      </c>
    </row>
    <row r="60" spans="1:13" x14ac:dyDescent="0.3">
      <c r="A60" s="329"/>
      <c r="B60" s="325"/>
      <c r="C60" s="336"/>
      <c r="D60" s="329"/>
      <c r="E60" s="325"/>
      <c r="F60" s="329"/>
      <c r="G60" s="340"/>
      <c r="H60" s="340"/>
      <c r="I60" s="325"/>
      <c r="M60" s="234" t="s">
        <v>460</v>
      </c>
    </row>
    <row r="61" spans="1:13" ht="15" thickBot="1" x14ac:dyDescent="0.35">
      <c r="A61" s="330"/>
      <c r="B61" s="333"/>
      <c r="C61" s="337"/>
      <c r="D61" s="330"/>
      <c r="E61" s="333"/>
      <c r="F61" s="330"/>
      <c r="G61" s="341"/>
      <c r="H61" s="341"/>
      <c r="I61" s="325"/>
      <c r="M61" s="234" t="s">
        <v>461</v>
      </c>
    </row>
    <row r="62" spans="1:13" x14ac:dyDescent="0.3">
      <c r="M62" s="234" t="s">
        <v>879</v>
      </c>
    </row>
    <row r="63" spans="1:13" x14ac:dyDescent="0.3">
      <c r="M63" s="234" t="s">
        <v>880</v>
      </c>
    </row>
    <row r="64" spans="1:13" x14ac:dyDescent="0.3">
      <c r="M64" s="234" t="s">
        <v>463</v>
      </c>
    </row>
    <row r="65" spans="13:13" x14ac:dyDescent="0.3">
      <c r="M65" s="234" t="s">
        <v>881</v>
      </c>
    </row>
    <row r="66" spans="13:13" x14ac:dyDescent="0.3">
      <c r="M66" s="234" t="s">
        <v>882</v>
      </c>
    </row>
    <row r="67" spans="13:13" x14ac:dyDescent="0.3">
      <c r="M67" s="234" t="s">
        <v>464</v>
      </c>
    </row>
    <row r="68" spans="13:13" x14ac:dyDescent="0.3">
      <c r="M68" s="234" t="s">
        <v>465</v>
      </c>
    </row>
    <row r="69" spans="13:13" x14ac:dyDescent="0.3">
      <c r="M69" s="234" t="s">
        <v>466</v>
      </c>
    </row>
    <row r="70" spans="13:13" x14ac:dyDescent="0.3">
      <c r="M70" s="234" t="s">
        <v>467</v>
      </c>
    </row>
    <row r="71" spans="13:13" x14ac:dyDescent="0.3">
      <c r="M71" s="234" t="s">
        <v>468</v>
      </c>
    </row>
    <row r="72" spans="13:13" x14ac:dyDescent="0.3">
      <c r="M72" s="234" t="s">
        <v>469</v>
      </c>
    </row>
    <row r="73" spans="13:13" x14ac:dyDescent="0.3">
      <c r="M73" s="234" t="s">
        <v>470</v>
      </c>
    </row>
    <row r="74" spans="13:13" x14ac:dyDescent="0.3">
      <c r="M74" s="234" t="s">
        <v>125</v>
      </c>
    </row>
    <row r="75" spans="13:13" x14ac:dyDescent="0.3">
      <c r="M75" s="234" t="s">
        <v>471</v>
      </c>
    </row>
    <row r="76" spans="13:13" x14ac:dyDescent="0.3">
      <c r="M76" s="234" t="s">
        <v>472</v>
      </c>
    </row>
    <row r="77" spans="13:13" x14ac:dyDescent="0.3">
      <c r="M77" s="234" t="s">
        <v>473</v>
      </c>
    </row>
    <row r="78" spans="13:13" x14ac:dyDescent="0.3">
      <c r="M78" s="234" t="s">
        <v>474</v>
      </c>
    </row>
    <row r="79" spans="13:13" x14ac:dyDescent="0.3">
      <c r="M79" s="234" t="s">
        <v>475</v>
      </c>
    </row>
    <row r="80" spans="13:13" x14ac:dyDescent="0.3">
      <c r="M80" s="234" t="s">
        <v>476</v>
      </c>
    </row>
    <row r="81" spans="13:13" x14ac:dyDescent="0.3">
      <c r="M81" s="234" t="s">
        <v>477</v>
      </c>
    </row>
    <row r="82" spans="13:13" x14ac:dyDescent="0.3">
      <c r="M82" s="234" t="s">
        <v>478</v>
      </c>
    </row>
    <row r="83" spans="13:13" x14ac:dyDescent="0.3">
      <c r="M83" s="234" t="s">
        <v>479</v>
      </c>
    </row>
    <row r="84" spans="13:13" x14ac:dyDescent="0.3">
      <c r="M84" s="234" t="s">
        <v>480</v>
      </c>
    </row>
    <row r="85" spans="13:13" x14ac:dyDescent="0.3">
      <c r="M85" s="234" t="s">
        <v>481</v>
      </c>
    </row>
    <row r="86" spans="13:13" x14ac:dyDescent="0.3">
      <c r="M86" s="234" t="s">
        <v>482</v>
      </c>
    </row>
    <row r="87" spans="13:13" x14ac:dyDescent="0.3">
      <c r="M87" s="234" t="s">
        <v>484</v>
      </c>
    </row>
    <row r="88" spans="13:13" x14ac:dyDescent="0.3">
      <c r="M88" s="234" t="s">
        <v>485</v>
      </c>
    </row>
    <row r="89" spans="13:13" x14ac:dyDescent="0.3">
      <c r="M89" s="234" t="s">
        <v>486</v>
      </c>
    </row>
    <row r="90" spans="13:13" x14ac:dyDescent="0.3">
      <c r="M90" s="234" t="s">
        <v>487</v>
      </c>
    </row>
    <row r="91" spans="13:13" x14ac:dyDescent="0.3">
      <c r="M91" s="234" t="s">
        <v>488</v>
      </c>
    </row>
    <row r="92" spans="13:13" x14ac:dyDescent="0.3">
      <c r="M92" s="234" t="s">
        <v>489</v>
      </c>
    </row>
    <row r="93" spans="13:13" x14ac:dyDescent="0.3">
      <c r="M93" s="234" t="s">
        <v>490</v>
      </c>
    </row>
    <row r="94" spans="13:13" x14ac:dyDescent="0.3">
      <c r="M94" s="234" t="s">
        <v>491</v>
      </c>
    </row>
    <row r="95" spans="13:13" x14ac:dyDescent="0.3">
      <c r="M95" s="234" t="s">
        <v>492</v>
      </c>
    </row>
    <row r="96" spans="13:13" x14ac:dyDescent="0.3">
      <c r="M96" s="234" t="s">
        <v>493</v>
      </c>
    </row>
    <row r="97" spans="13:13" x14ac:dyDescent="0.3">
      <c r="M97" s="234" t="s">
        <v>494</v>
      </c>
    </row>
    <row r="98" spans="13:13" x14ac:dyDescent="0.3">
      <c r="M98" s="234" t="s">
        <v>495</v>
      </c>
    </row>
    <row r="99" spans="13:13" x14ac:dyDescent="0.3">
      <c r="M99" s="234" t="s">
        <v>496</v>
      </c>
    </row>
    <row r="100" spans="13:13" x14ac:dyDescent="0.3">
      <c r="M100" s="234" t="s">
        <v>497</v>
      </c>
    </row>
    <row r="101" spans="13:13" x14ac:dyDescent="0.3">
      <c r="M101" s="234" t="s">
        <v>498</v>
      </c>
    </row>
    <row r="102" spans="13:13" x14ac:dyDescent="0.3">
      <c r="M102" s="234" t="s">
        <v>499</v>
      </c>
    </row>
    <row r="103" spans="13:13" x14ac:dyDescent="0.3">
      <c r="M103" s="234" t="s">
        <v>500</v>
      </c>
    </row>
    <row r="104" spans="13:13" x14ac:dyDescent="0.3">
      <c r="M104" s="234" t="s">
        <v>501</v>
      </c>
    </row>
    <row r="105" spans="13:13" x14ac:dyDescent="0.3">
      <c r="M105" s="234" t="s">
        <v>502</v>
      </c>
    </row>
    <row r="106" spans="13:13" x14ac:dyDescent="0.3">
      <c r="M106" s="234" t="s">
        <v>503</v>
      </c>
    </row>
    <row r="107" spans="13:13" x14ac:dyDescent="0.3">
      <c r="M107" s="234" t="s">
        <v>504</v>
      </c>
    </row>
    <row r="108" spans="13:13" x14ac:dyDescent="0.3">
      <c r="M108" s="234" t="s">
        <v>505</v>
      </c>
    </row>
    <row r="109" spans="13:13" x14ac:dyDescent="0.3">
      <c r="M109" s="234" t="s">
        <v>506</v>
      </c>
    </row>
    <row r="110" spans="13:13" x14ac:dyDescent="0.3">
      <c r="M110" s="234" t="s">
        <v>507</v>
      </c>
    </row>
    <row r="111" spans="13:13" x14ac:dyDescent="0.3">
      <c r="M111" s="234" t="s">
        <v>508</v>
      </c>
    </row>
    <row r="112" spans="13:13" x14ac:dyDescent="0.3">
      <c r="M112" s="234" t="s">
        <v>509</v>
      </c>
    </row>
    <row r="113" spans="13:13" x14ac:dyDescent="0.3">
      <c r="M113" s="234" t="s">
        <v>510</v>
      </c>
    </row>
    <row r="114" spans="13:13" x14ac:dyDescent="0.3">
      <c r="M114" s="234" t="s">
        <v>511</v>
      </c>
    </row>
    <row r="115" spans="13:13" x14ac:dyDescent="0.3">
      <c r="M115" s="234" t="s">
        <v>512</v>
      </c>
    </row>
    <row r="116" spans="13:13" x14ac:dyDescent="0.3">
      <c r="M116" s="234" t="s">
        <v>513</v>
      </c>
    </row>
    <row r="117" spans="13:13" x14ac:dyDescent="0.3">
      <c r="M117" s="234" t="s">
        <v>514</v>
      </c>
    </row>
    <row r="118" spans="13:13" x14ac:dyDescent="0.3">
      <c r="M118" s="234" t="s">
        <v>515</v>
      </c>
    </row>
    <row r="119" spans="13:13" x14ac:dyDescent="0.3">
      <c r="M119" s="234" t="s">
        <v>516</v>
      </c>
    </row>
    <row r="120" spans="13:13" x14ac:dyDescent="0.3">
      <c r="M120" s="234" t="s">
        <v>517</v>
      </c>
    </row>
    <row r="121" spans="13:13" x14ac:dyDescent="0.3">
      <c r="M121" s="234" t="s">
        <v>518</v>
      </c>
    </row>
    <row r="122" spans="13:13" x14ac:dyDescent="0.3">
      <c r="M122" s="234" t="s">
        <v>519</v>
      </c>
    </row>
    <row r="123" spans="13:13" x14ac:dyDescent="0.3">
      <c r="M123" s="234" t="s">
        <v>520</v>
      </c>
    </row>
    <row r="124" spans="13:13" x14ac:dyDescent="0.3">
      <c r="M124" s="234" t="s">
        <v>521</v>
      </c>
    </row>
    <row r="125" spans="13:13" x14ac:dyDescent="0.3">
      <c r="M125" s="234" t="s">
        <v>522</v>
      </c>
    </row>
    <row r="126" spans="13:13" x14ac:dyDescent="0.3">
      <c r="M126" s="234" t="s">
        <v>523</v>
      </c>
    </row>
    <row r="127" spans="13:13" x14ac:dyDescent="0.3">
      <c r="M127" s="234" t="s">
        <v>524</v>
      </c>
    </row>
    <row r="128" spans="13:13" x14ac:dyDescent="0.3">
      <c r="M128" s="234" t="s">
        <v>525</v>
      </c>
    </row>
    <row r="129" spans="13:13" x14ac:dyDescent="0.3">
      <c r="M129" s="234" t="s">
        <v>526</v>
      </c>
    </row>
    <row r="130" spans="13:13" x14ac:dyDescent="0.3">
      <c r="M130" s="234" t="s">
        <v>527</v>
      </c>
    </row>
    <row r="131" spans="13:13" x14ac:dyDescent="0.3">
      <c r="M131" s="234" t="s">
        <v>528</v>
      </c>
    </row>
    <row r="132" spans="13:13" x14ac:dyDescent="0.3">
      <c r="M132" s="234" t="s">
        <v>529</v>
      </c>
    </row>
    <row r="133" spans="13:13" x14ac:dyDescent="0.3">
      <c r="M133" s="234" t="s">
        <v>883</v>
      </c>
    </row>
    <row r="134" spans="13:13" x14ac:dyDescent="0.3">
      <c r="M134" s="234" t="s">
        <v>884</v>
      </c>
    </row>
    <row r="135" spans="13:13" x14ac:dyDescent="0.3">
      <c r="M135" s="234" t="s">
        <v>885</v>
      </c>
    </row>
    <row r="136" spans="13:13" x14ac:dyDescent="0.3">
      <c r="M136" s="234" t="s">
        <v>530</v>
      </c>
    </row>
    <row r="137" spans="13:13" x14ac:dyDescent="0.3">
      <c r="M137" s="234" t="s">
        <v>531</v>
      </c>
    </row>
    <row r="138" spans="13:13" x14ac:dyDescent="0.3">
      <c r="M138" s="234" t="s">
        <v>532</v>
      </c>
    </row>
    <row r="139" spans="13:13" x14ac:dyDescent="0.3">
      <c r="M139" s="234" t="s">
        <v>533</v>
      </c>
    </row>
    <row r="140" spans="13:13" x14ac:dyDescent="0.3">
      <c r="M140" s="234" t="s">
        <v>534</v>
      </c>
    </row>
    <row r="141" spans="13:13" x14ac:dyDescent="0.3">
      <c r="M141" s="234" t="s">
        <v>535</v>
      </c>
    </row>
    <row r="142" spans="13:13" x14ac:dyDescent="0.3">
      <c r="M142" s="234" t="s">
        <v>536</v>
      </c>
    </row>
    <row r="143" spans="13:13" x14ac:dyDescent="0.3">
      <c r="M143" s="234" t="s">
        <v>537</v>
      </c>
    </row>
    <row r="144" spans="13:13" x14ac:dyDescent="0.3">
      <c r="M144" s="234" t="s">
        <v>538</v>
      </c>
    </row>
    <row r="145" spans="13:13" x14ac:dyDescent="0.3">
      <c r="M145" s="234" t="s">
        <v>539</v>
      </c>
    </row>
    <row r="146" spans="13:13" x14ac:dyDescent="0.3">
      <c r="M146" s="234" t="s">
        <v>540</v>
      </c>
    </row>
    <row r="147" spans="13:13" x14ac:dyDescent="0.3">
      <c r="M147" s="234" t="s">
        <v>541</v>
      </c>
    </row>
    <row r="148" spans="13:13" x14ac:dyDescent="0.3">
      <c r="M148" s="234" t="s">
        <v>542</v>
      </c>
    </row>
    <row r="149" spans="13:13" x14ac:dyDescent="0.3">
      <c r="M149" s="234" t="s">
        <v>543</v>
      </c>
    </row>
    <row r="150" spans="13:13" x14ac:dyDescent="0.3">
      <c r="M150" s="234" t="s">
        <v>544</v>
      </c>
    </row>
    <row r="151" spans="13:13" x14ac:dyDescent="0.3">
      <c r="M151" s="234" t="s">
        <v>545</v>
      </c>
    </row>
    <row r="152" spans="13:13" x14ac:dyDescent="0.3">
      <c r="M152" s="234" t="s">
        <v>546</v>
      </c>
    </row>
    <row r="153" spans="13:13" x14ac:dyDescent="0.3">
      <c r="M153" s="234" t="s">
        <v>547</v>
      </c>
    </row>
    <row r="154" spans="13:13" x14ac:dyDescent="0.3">
      <c r="M154" s="234" t="s">
        <v>548</v>
      </c>
    </row>
    <row r="155" spans="13:13" x14ac:dyDescent="0.3">
      <c r="M155" s="234" t="s">
        <v>549</v>
      </c>
    </row>
    <row r="156" spans="13:13" x14ac:dyDescent="0.3">
      <c r="M156" s="234" t="s">
        <v>550</v>
      </c>
    </row>
    <row r="157" spans="13:13" x14ac:dyDescent="0.3">
      <c r="M157" s="234" t="s">
        <v>551</v>
      </c>
    </row>
    <row r="158" spans="13:13" x14ac:dyDescent="0.3">
      <c r="M158" s="234" t="s">
        <v>552</v>
      </c>
    </row>
    <row r="159" spans="13:13" x14ac:dyDescent="0.3">
      <c r="M159" s="234" t="s">
        <v>553</v>
      </c>
    </row>
    <row r="160" spans="13:13" x14ac:dyDescent="0.3">
      <c r="M160" s="234" t="s">
        <v>554</v>
      </c>
    </row>
    <row r="161" spans="13:13" x14ac:dyDescent="0.3">
      <c r="M161" s="234" t="s">
        <v>555</v>
      </c>
    </row>
    <row r="162" spans="13:13" x14ac:dyDescent="0.3">
      <c r="M162" s="234" t="s">
        <v>556</v>
      </c>
    </row>
    <row r="163" spans="13:13" x14ac:dyDescent="0.3">
      <c r="M163" s="234" t="s">
        <v>557</v>
      </c>
    </row>
    <row r="164" spans="13:13" x14ac:dyDescent="0.3">
      <c r="M164" s="234" t="s">
        <v>558</v>
      </c>
    </row>
    <row r="165" spans="13:13" x14ac:dyDescent="0.3">
      <c r="M165" s="234" t="s">
        <v>559</v>
      </c>
    </row>
    <row r="166" spans="13:13" x14ac:dyDescent="0.3">
      <c r="M166" s="234" t="s">
        <v>560</v>
      </c>
    </row>
    <row r="167" spans="13:13" x14ac:dyDescent="0.3">
      <c r="M167" s="234" t="s">
        <v>561</v>
      </c>
    </row>
    <row r="168" spans="13:13" x14ac:dyDescent="0.3">
      <c r="M168" s="234" t="s">
        <v>562</v>
      </c>
    </row>
    <row r="169" spans="13:13" x14ac:dyDescent="0.3">
      <c r="M169" s="234" t="s">
        <v>563</v>
      </c>
    </row>
    <row r="170" spans="13:13" x14ac:dyDescent="0.3">
      <c r="M170" s="234" t="s">
        <v>564</v>
      </c>
    </row>
    <row r="171" spans="13:13" x14ac:dyDescent="0.3">
      <c r="M171" s="234" t="s">
        <v>565</v>
      </c>
    </row>
    <row r="172" spans="13:13" x14ac:dyDescent="0.3">
      <c r="M172" s="234" t="s">
        <v>566</v>
      </c>
    </row>
    <row r="173" spans="13:13" x14ac:dyDescent="0.3">
      <c r="M173" s="234" t="s">
        <v>567</v>
      </c>
    </row>
    <row r="174" spans="13:13" x14ac:dyDescent="0.3">
      <c r="M174" s="234" t="s">
        <v>568</v>
      </c>
    </row>
    <row r="175" spans="13:13" x14ac:dyDescent="0.3">
      <c r="M175" s="234" t="s">
        <v>569</v>
      </c>
    </row>
    <row r="176" spans="13:13" x14ac:dyDescent="0.3">
      <c r="M176" s="234" t="s">
        <v>570</v>
      </c>
    </row>
    <row r="177" spans="13:13" x14ac:dyDescent="0.3">
      <c r="M177" s="234" t="s">
        <v>571</v>
      </c>
    </row>
    <row r="178" spans="13:13" x14ac:dyDescent="0.3">
      <c r="M178" s="234" t="s">
        <v>572</v>
      </c>
    </row>
    <row r="179" spans="13:13" x14ac:dyDescent="0.3">
      <c r="M179" s="234" t="s">
        <v>573</v>
      </c>
    </row>
    <row r="180" spans="13:13" x14ac:dyDescent="0.3">
      <c r="M180" s="234" t="s">
        <v>574</v>
      </c>
    </row>
    <row r="181" spans="13:13" x14ac:dyDescent="0.3">
      <c r="M181" s="234" t="s">
        <v>575</v>
      </c>
    </row>
    <row r="182" spans="13:13" x14ac:dyDescent="0.3">
      <c r="M182" s="234" t="s">
        <v>576</v>
      </c>
    </row>
    <row r="183" spans="13:13" x14ac:dyDescent="0.3">
      <c r="M183" s="234" t="s">
        <v>577</v>
      </c>
    </row>
    <row r="184" spans="13:13" x14ac:dyDescent="0.3">
      <c r="M184" s="234" t="s">
        <v>578</v>
      </c>
    </row>
    <row r="185" spans="13:13" x14ac:dyDescent="0.3">
      <c r="M185" s="234" t="s">
        <v>579</v>
      </c>
    </row>
    <row r="186" spans="13:13" x14ac:dyDescent="0.3">
      <c r="M186" s="234" t="s">
        <v>580</v>
      </c>
    </row>
    <row r="187" spans="13:13" x14ac:dyDescent="0.3">
      <c r="M187" s="234" t="s">
        <v>581</v>
      </c>
    </row>
    <row r="188" spans="13:13" x14ac:dyDescent="0.3">
      <c r="M188" s="234" t="s">
        <v>886</v>
      </c>
    </row>
    <row r="189" spans="13:13" x14ac:dyDescent="0.3">
      <c r="M189" s="234" t="s">
        <v>582</v>
      </c>
    </row>
    <row r="190" spans="13:13" x14ac:dyDescent="0.3">
      <c r="M190" s="234" t="s">
        <v>887</v>
      </c>
    </row>
    <row r="191" spans="13:13" x14ac:dyDescent="0.3">
      <c r="M191" s="234" t="s">
        <v>583</v>
      </c>
    </row>
    <row r="192" spans="13:13" x14ac:dyDescent="0.3">
      <c r="M192" s="234" t="s">
        <v>584</v>
      </c>
    </row>
    <row r="193" spans="13:13" x14ac:dyDescent="0.3">
      <c r="M193" s="234" t="s">
        <v>586</v>
      </c>
    </row>
    <row r="194" spans="13:13" x14ac:dyDescent="0.3">
      <c r="M194" s="234" t="s">
        <v>587</v>
      </c>
    </row>
    <row r="195" spans="13:13" x14ac:dyDescent="0.3">
      <c r="M195" s="234" t="s">
        <v>588</v>
      </c>
    </row>
    <row r="196" spans="13:13" x14ac:dyDescent="0.3">
      <c r="M196" s="234" t="s">
        <v>589</v>
      </c>
    </row>
    <row r="197" spans="13:13" x14ac:dyDescent="0.3">
      <c r="M197" s="234" t="s">
        <v>590</v>
      </c>
    </row>
    <row r="198" spans="13:13" x14ac:dyDescent="0.3">
      <c r="M198" s="234" t="s">
        <v>591</v>
      </c>
    </row>
    <row r="199" spans="13:13" x14ac:dyDescent="0.3">
      <c r="M199" s="234" t="s">
        <v>592</v>
      </c>
    </row>
    <row r="200" spans="13:13" x14ac:dyDescent="0.3">
      <c r="M200" s="234" t="s">
        <v>593</v>
      </c>
    </row>
    <row r="201" spans="13:13" x14ac:dyDescent="0.3">
      <c r="M201" s="234" t="s">
        <v>594</v>
      </c>
    </row>
    <row r="202" spans="13:13" x14ac:dyDescent="0.3">
      <c r="M202" s="234" t="s">
        <v>596</v>
      </c>
    </row>
    <row r="203" spans="13:13" x14ac:dyDescent="0.3">
      <c r="M203" s="234" t="s">
        <v>597</v>
      </c>
    </row>
    <row r="204" spans="13:13" x14ac:dyDescent="0.3">
      <c r="M204" s="234" t="s">
        <v>598</v>
      </c>
    </row>
    <row r="205" spans="13:13" x14ac:dyDescent="0.3">
      <c r="M205" s="234" t="s">
        <v>599</v>
      </c>
    </row>
    <row r="206" spans="13:13" x14ac:dyDescent="0.3">
      <c r="M206" s="234" t="s">
        <v>600</v>
      </c>
    </row>
    <row r="207" spans="13:13" x14ac:dyDescent="0.3">
      <c r="M207" s="234" t="s">
        <v>601</v>
      </c>
    </row>
    <row r="208" spans="13:13" x14ac:dyDescent="0.3">
      <c r="M208" s="234" t="s">
        <v>602</v>
      </c>
    </row>
    <row r="209" spans="13:13" x14ac:dyDescent="0.3">
      <c r="M209" s="234" t="s">
        <v>603</v>
      </c>
    </row>
    <row r="210" spans="13:13" x14ac:dyDescent="0.3">
      <c r="M210" s="234" t="s">
        <v>604</v>
      </c>
    </row>
    <row r="211" spans="13:13" x14ac:dyDescent="0.3">
      <c r="M211" s="234" t="s">
        <v>605</v>
      </c>
    </row>
    <row r="212" spans="13:13" x14ac:dyDescent="0.3">
      <c r="M212" s="234" t="s">
        <v>606</v>
      </c>
    </row>
    <row r="213" spans="13:13" x14ac:dyDescent="0.3">
      <c r="M213" s="234" t="s">
        <v>607</v>
      </c>
    </row>
    <row r="214" spans="13:13" x14ac:dyDescent="0.3">
      <c r="M214" s="234" t="s">
        <v>608</v>
      </c>
    </row>
    <row r="215" spans="13:13" x14ac:dyDescent="0.3">
      <c r="M215" s="234" t="s">
        <v>609</v>
      </c>
    </row>
    <row r="216" spans="13:13" x14ac:dyDescent="0.3">
      <c r="M216" s="234" t="s">
        <v>610</v>
      </c>
    </row>
    <row r="217" spans="13:13" x14ac:dyDescent="0.3">
      <c r="M217" s="234" t="s">
        <v>611</v>
      </c>
    </row>
    <row r="218" spans="13:13" x14ac:dyDescent="0.3">
      <c r="M218" s="234" t="s">
        <v>612</v>
      </c>
    </row>
    <row r="219" spans="13:13" x14ac:dyDescent="0.3">
      <c r="M219" s="234" t="s">
        <v>613</v>
      </c>
    </row>
    <row r="220" spans="13:13" x14ac:dyDescent="0.3">
      <c r="M220" s="234" t="s">
        <v>614</v>
      </c>
    </row>
    <row r="221" spans="13:13" x14ac:dyDescent="0.3">
      <c r="M221" s="234" t="s">
        <v>615</v>
      </c>
    </row>
    <row r="222" spans="13:13" x14ac:dyDescent="0.3">
      <c r="M222" s="234" t="s">
        <v>616</v>
      </c>
    </row>
    <row r="223" spans="13:13" x14ac:dyDescent="0.3">
      <c r="M223" s="234" t="s">
        <v>617</v>
      </c>
    </row>
    <row r="224" spans="13:13" x14ac:dyDescent="0.3">
      <c r="M224" s="234" t="s">
        <v>618</v>
      </c>
    </row>
    <row r="225" spans="13:13" x14ac:dyDescent="0.3">
      <c r="M225" s="234" t="s">
        <v>619</v>
      </c>
    </row>
    <row r="226" spans="13:13" x14ac:dyDescent="0.3">
      <c r="M226" s="234" t="s">
        <v>620</v>
      </c>
    </row>
    <row r="227" spans="13:13" x14ac:dyDescent="0.3">
      <c r="M227" s="234" t="s">
        <v>621</v>
      </c>
    </row>
    <row r="228" spans="13:13" x14ac:dyDescent="0.3">
      <c r="M228" s="234" t="s">
        <v>622</v>
      </c>
    </row>
    <row r="229" spans="13:13" x14ac:dyDescent="0.3">
      <c r="M229" s="234" t="s">
        <v>623</v>
      </c>
    </row>
    <row r="230" spans="13:13" x14ac:dyDescent="0.3">
      <c r="M230" s="234" t="s">
        <v>624</v>
      </c>
    </row>
    <row r="231" spans="13:13" x14ac:dyDescent="0.3">
      <c r="M231" s="234" t="s">
        <v>230</v>
      </c>
    </row>
    <row r="232" spans="13:13" x14ac:dyDescent="0.3">
      <c r="M232" s="234" t="s">
        <v>888</v>
      </c>
    </row>
    <row r="233" spans="13:13" x14ac:dyDescent="0.3">
      <c r="M233" s="234" t="s">
        <v>626</v>
      </c>
    </row>
    <row r="234" spans="13:13" x14ac:dyDescent="0.3">
      <c r="M234" s="234" t="s">
        <v>627</v>
      </c>
    </row>
    <row r="235" spans="13:13" x14ac:dyDescent="0.3">
      <c r="M235" s="234" t="s">
        <v>889</v>
      </c>
    </row>
    <row r="236" spans="13:13" x14ac:dyDescent="0.3">
      <c r="M236" s="234" t="s">
        <v>628</v>
      </c>
    </row>
    <row r="237" spans="13:13" x14ac:dyDescent="0.3">
      <c r="M237" s="234" t="s">
        <v>629</v>
      </c>
    </row>
    <row r="238" spans="13:13" x14ac:dyDescent="0.3">
      <c r="M238" s="234" t="s">
        <v>630</v>
      </c>
    </row>
    <row r="239" spans="13:13" x14ac:dyDescent="0.3">
      <c r="M239" s="234" t="s">
        <v>631</v>
      </c>
    </row>
    <row r="240" spans="13:13" x14ac:dyDescent="0.3">
      <c r="M240" s="234" t="s">
        <v>890</v>
      </c>
    </row>
    <row r="241" spans="13:13" x14ac:dyDescent="0.3">
      <c r="M241" s="234" t="s">
        <v>632</v>
      </c>
    </row>
    <row r="242" spans="13:13" x14ac:dyDescent="0.3">
      <c r="M242" s="234" t="s">
        <v>633</v>
      </c>
    </row>
    <row r="243" spans="13:13" x14ac:dyDescent="0.3">
      <c r="M243" s="234" t="s">
        <v>634</v>
      </c>
    </row>
    <row r="244" spans="13:13" x14ac:dyDescent="0.3">
      <c r="M244" s="234" t="s">
        <v>635</v>
      </c>
    </row>
    <row r="245" spans="13:13" x14ac:dyDescent="0.3">
      <c r="M245" s="234" t="s">
        <v>636</v>
      </c>
    </row>
    <row r="246" spans="13:13" x14ac:dyDescent="0.3">
      <c r="M246" s="234" t="s">
        <v>637</v>
      </c>
    </row>
    <row r="247" spans="13:13" x14ac:dyDescent="0.3">
      <c r="M247" s="234" t="s">
        <v>638</v>
      </c>
    </row>
    <row r="248" spans="13:13" x14ac:dyDescent="0.3">
      <c r="M248" s="234" t="s">
        <v>639</v>
      </c>
    </row>
    <row r="249" spans="13:13" x14ac:dyDescent="0.3">
      <c r="M249" s="234" t="s">
        <v>640</v>
      </c>
    </row>
    <row r="250" spans="13:13" x14ac:dyDescent="0.3">
      <c r="M250" s="234" t="s">
        <v>641</v>
      </c>
    </row>
    <row r="251" spans="13:13" x14ac:dyDescent="0.3">
      <c r="M251" s="234" t="s">
        <v>642</v>
      </c>
    </row>
    <row r="252" spans="13:13" x14ac:dyDescent="0.3">
      <c r="M252" s="234" t="s">
        <v>643</v>
      </c>
    </row>
    <row r="253" spans="13:13" x14ac:dyDescent="0.3">
      <c r="M253" s="234" t="s">
        <v>644</v>
      </c>
    </row>
    <row r="254" spans="13:13" x14ac:dyDescent="0.3">
      <c r="M254" s="234" t="s">
        <v>645</v>
      </c>
    </row>
    <row r="255" spans="13:13" x14ac:dyDescent="0.3">
      <c r="M255" s="234" t="s">
        <v>646</v>
      </c>
    </row>
    <row r="256" spans="13:13" x14ac:dyDescent="0.3">
      <c r="M256" s="234" t="s">
        <v>647</v>
      </c>
    </row>
    <row r="257" spans="13:13" x14ac:dyDescent="0.3">
      <c r="M257" s="234" t="s">
        <v>648</v>
      </c>
    </row>
    <row r="258" spans="13:13" x14ac:dyDescent="0.3">
      <c r="M258" s="234" t="s">
        <v>891</v>
      </c>
    </row>
    <row r="259" spans="13:13" x14ac:dyDescent="0.3">
      <c r="M259" s="234" t="s">
        <v>892</v>
      </c>
    </row>
    <row r="260" spans="13:13" x14ac:dyDescent="0.3">
      <c r="M260" s="234" t="s">
        <v>893</v>
      </c>
    </row>
    <row r="261" spans="13:13" x14ac:dyDescent="0.3">
      <c r="M261" s="234" t="s">
        <v>894</v>
      </c>
    </row>
    <row r="262" spans="13:13" x14ac:dyDescent="0.3">
      <c r="M262" s="234" t="s">
        <v>649</v>
      </c>
    </row>
    <row r="263" spans="13:13" x14ac:dyDescent="0.3">
      <c r="M263" s="234" t="s">
        <v>650</v>
      </c>
    </row>
    <row r="264" spans="13:13" x14ac:dyDescent="0.3">
      <c r="M264" s="234" t="s">
        <v>651</v>
      </c>
    </row>
    <row r="265" spans="13:13" x14ac:dyDescent="0.3">
      <c r="M265" s="234" t="s">
        <v>652</v>
      </c>
    </row>
    <row r="266" spans="13:13" x14ac:dyDescent="0.3">
      <c r="M266" s="234" t="s">
        <v>653</v>
      </c>
    </row>
    <row r="267" spans="13:13" x14ac:dyDescent="0.3">
      <c r="M267" s="234" t="s">
        <v>654</v>
      </c>
    </row>
    <row r="268" spans="13:13" x14ac:dyDescent="0.3">
      <c r="M268" s="234" t="s">
        <v>655</v>
      </c>
    </row>
    <row r="269" spans="13:13" x14ac:dyDescent="0.3">
      <c r="M269" s="234" t="s">
        <v>656</v>
      </c>
    </row>
    <row r="270" spans="13:13" x14ac:dyDescent="0.3">
      <c r="M270" s="234" t="s">
        <v>657</v>
      </c>
    </row>
    <row r="271" spans="13:13" x14ac:dyDescent="0.3">
      <c r="M271" s="234" t="s">
        <v>658</v>
      </c>
    </row>
    <row r="272" spans="13:13" x14ac:dyDescent="0.3">
      <c r="M272" s="234" t="s">
        <v>659</v>
      </c>
    </row>
    <row r="273" spans="13:13" x14ac:dyDescent="0.3">
      <c r="M273" s="234" t="s">
        <v>660</v>
      </c>
    </row>
    <row r="274" spans="13:13" x14ac:dyDescent="0.3">
      <c r="M274" s="234" t="s">
        <v>661</v>
      </c>
    </row>
    <row r="275" spans="13:13" x14ac:dyDescent="0.3">
      <c r="M275" s="234" t="s">
        <v>662</v>
      </c>
    </row>
    <row r="276" spans="13:13" x14ac:dyDescent="0.3">
      <c r="M276" s="234" t="s">
        <v>663</v>
      </c>
    </row>
    <row r="277" spans="13:13" x14ac:dyDescent="0.3">
      <c r="M277" s="234" t="s">
        <v>664</v>
      </c>
    </row>
    <row r="278" spans="13:13" x14ac:dyDescent="0.3">
      <c r="M278" s="234" t="s">
        <v>665</v>
      </c>
    </row>
    <row r="279" spans="13:13" x14ac:dyDescent="0.3">
      <c r="M279" s="234" t="s">
        <v>666</v>
      </c>
    </row>
    <row r="280" spans="13:13" x14ac:dyDescent="0.3">
      <c r="M280" s="234" t="s">
        <v>667</v>
      </c>
    </row>
    <row r="281" spans="13:13" x14ac:dyDescent="0.3">
      <c r="M281" s="234" t="s">
        <v>668</v>
      </c>
    </row>
    <row r="282" spans="13:13" x14ac:dyDescent="0.3">
      <c r="M282" s="234" t="s">
        <v>669</v>
      </c>
    </row>
    <row r="283" spans="13:13" x14ac:dyDescent="0.3">
      <c r="M283" s="234" t="s">
        <v>670</v>
      </c>
    </row>
    <row r="284" spans="13:13" x14ac:dyDescent="0.3">
      <c r="M284" s="234" t="s">
        <v>671</v>
      </c>
    </row>
    <row r="285" spans="13:13" x14ac:dyDescent="0.3">
      <c r="M285" s="234" t="s">
        <v>672</v>
      </c>
    </row>
    <row r="286" spans="13:13" x14ac:dyDescent="0.3">
      <c r="M286" s="234" t="s">
        <v>673</v>
      </c>
    </row>
    <row r="287" spans="13:13" x14ac:dyDescent="0.3">
      <c r="M287" s="234" t="s">
        <v>674</v>
      </c>
    </row>
    <row r="288" spans="13:13" x14ac:dyDescent="0.3">
      <c r="M288" s="234" t="s">
        <v>675</v>
      </c>
    </row>
    <row r="289" spans="13:13" x14ac:dyDescent="0.3">
      <c r="M289" s="234" t="s">
        <v>676</v>
      </c>
    </row>
    <row r="290" spans="13:13" x14ac:dyDescent="0.3">
      <c r="M290" s="234" t="s">
        <v>677</v>
      </c>
    </row>
    <row r="291" spans="13:13" x14ac:dyDescent="0.3">
      <c r="M291" s="234" t="s">
        <v>678</v>
      </c>
    </row>
    <row r="292" spans="13:13" x14ac:dyDescent="0.3">
      <c r="M292" s="234" t="s">
        <v>895</v>
      </c>
    </row>
    <row r="293" spans="13:13" x14ac:dyDescent="0.3">
      <c r="M293" s="234" t="s">
        <v>679</v>
      </c>
    </row>
    <row r="294" spans="13:13" x14ac:dyDescent="0.3">
      <c r="M294" s="234" t="s">
        <v>680</v>
      </c>
    </row>
    <row r="295" spans="13:13" x14ac:dyDescent="0.3">
      <c r="M295" s="234" t="s">
        <v>681</v>
      </c>
    </row>
    <row r="296" spans="13:13" x14ac:dyDescent="0.3">
      <c r="M296" s="234" t="s">
        <v>682</v>
      </c>
    </row>
    <row r="297" spans="13:13" x14ac:dyDescent="0.3">
      <c r="M297" s="234" t="s">
        <v>683</v>
      </c>
    </row>
    <row r="298" spans="13:13" x14ac:dyDescent="0.3">
      <c r="M298" s="234" t="s">
        <v>684</v>
      </c>
    </row>
    <row r="299" spans="13:13" x14ac:dyDescent="0.3">
      <c r="M299" s="234" t="s">
        <v>685</v>
      </c>
    </row>
    <row r="300" spans="13:13" x14ac:dyDescent="0.3">
      <c r="M300" s="234" t="s">
        <v>686</v>
      </c>
    </row>
    <row r="301" spans="13:13" x14ac:dyDescent="0.3">
      <c r="M301" s="234" t="s">
        <v>687</v>
      </c>
    </row>
    <row r="302" spans="13:13" x14ac:dyDescent="0.3">
      <c r="M302" s="234" t="s">
        <v>688</v>
      </c>
    </row>
    <row r="303" spans="13:13" x14ac:dyDescent="0.3">
      <c r="M303" s="234" t="s">
        <v>689</v>
      </c>
    </row>
    <row r="304" spans="13:13" x14ac:dyDescent="0.3">
      <c r="M304" s="234" t="s">
        <v>896</v>
      </c>
    </row>
    <row r="305" spans="13:13" x14ac:dyDescent="0.3">
      <c r="M305" s="234" t="s">
        <v>897</v>
      </c>
    </row>
    <row r="306" spans="13:13" x14ac:dyDescent="0.3">
      <c r="M306" s="234" t="s">
        <v>898</v>
      </c>
    </row>
    <row r="307" spans="13:13" x14ac:dyDescent="0.3">
      <c r="M307" s="234" t="s">
        <v>691</v>
      </c>
    </row>
    <row r="308" spans="13:13" x14ac:dyDescent="0.3">
      <c r="M308" s="234" t="s">
        <v>692</v>
      </c>
    </row>
    <row r="309" spans="13:13" x14ac:dyDescent="0.3">
      <c r="M309" s="234" t="s">
        <v>693</v>
      </c>
    </row>
    <row r="310" spans="13:13" x14ac:dyDescent="0.3">
      <c r="M310" s="234" t="s">
        <v>694</v>
      </c>
    </row>
    <row r="311" spans="13:13" x14ac:dyDescent="0.3">
      <c r="M311" s="234" t="s">
        <v>695</v>
      </c>
    </row>
    <row r="312" spans="13:13" x14ac:dyDescent="0.3">
      <c r="M312" s="234" t="s">
        <v>696</v>
      </c>
    </row>
    <row r="313" spans="13:13" x14ac:dyDescent="0.3">
      <c r="M313" s="234" t="s">
        <v>697</v>
      </c>
    </row>
    <row r="314" spans="13:13" x14ac:dyDescent="0.3">
      <c r="M314" s="234" t="s">
        <v>698</v>
      </c>
    </row>
    <row r="315" spans="13:13" x14ac:dyDescent="0.3">
      <c r="M315" s="234" t="s">
        <v>699</v>
      </c>
    </row>
    <row r="316" spans="13:13" x14ac:dyDescent="0.3">
      <c r="M316" s="234" t="s">
        <v>700</v>
      </c>
    </row>
    <row r="317" spans="13:13" x14ac:dyDescent="0.3">
      <c r="M317" s="234" t="s">
        <v>701</v>
      </c>
    </row>
    <row r="318" spans="13:13" x14ac:dyDescent="0.3">
      <c r="M318" s="234" t="s">
        <v>702</v>
      </c>
    </row>
    <row r="319" spans="13:13" x14ac:dyDescent="0.3">
      <c r="M319" s="234" t="s">
        <v>703</v>
      </c>
    </row>
    <row r="320" spans="13:13" x14ac:dyDescent="0.3">
      <c r="M320" s="234" t="s">
        <v>704</v>
      </c>
    </row>
    <row r="321" spans="13:13" x14ac:dyDescent="0.3">
      <c r="M321" s="234" t="s">
        <v>705</v>
      </c>
    </row>
    <row r="322" spans="13:13" x14ac:dyDescent="0.3">
      <c r="M322" s="234" t="s">
        <v>706</v>
      </c>
    </row>
    <row r="323" spans="13:13" x14ac:dyDescent="0.3">
      <c r="M323" s="234" t="s">
        <v>707</v>
      </c>
    </row>
    <row r="324" spans="13:13" x14ac:dyDescent="0.3">
      <c r="M324" s="234" t="s">
        <v>708</v>
      </c>
    </row>
    <row r="325" spans="13:13" x14ac:dyDescent="0.3">
      <c r="M325" s="234" t="s">
        <v>709</v>
      </c>
    </row>
    <row r="326" spans="13:13" x14ac:dyDescent="0.3">
      <c r="M326" s="234" t="s">
        <v>710</v>
      </c>
    </row>
    <row r="327" spans="13:13" x14ac:dyDescent="0.3">
      <c r="M327" s="234" t="s">
        <v>711</v>
      </c>
    </row>
    <row r="328" spans="13:13" x14ac:dyDescent="0.3">
      <c r="M328" s="234" t="s">
        <v>712</v>
      </c>
    </row>
    <row r="329" spans="13:13" x14ac:dyDescent="0.3">
      <c r="M329" s="234" t="s">
        <v>899</v>
      </c>
    </row>
    <row r="330" spans="13:13" x14ac:dyDescent="0.3">
      <c r="M330" s="234" t="s">
        <v>713</v>
      </c>
    </row>
    <row r="331" spans="13:13" x14ac:dyDescent="0.3">
      <c r="M331" s="234" t="s">
        <v>714</v>
      </c>
    </row>
    <row r="332" spans="13:13" x14ac:dyDescent="0.3">
      <c r="M332" s="234" t="s">
        <v>715</v>
      </c>
    </row>
    <row r="333" spans="13:13" x14ac:dyDescent="0.3">
      <c r="M333" s="234" t="s">
        <v>716</v>
      </c>
    </row>
    <row r="334" spans="13:13" x14ac:dyDescent="0.3">
      <c r="M334" s="234" t="s">
        <v>717</v>
      </c>
    </row>
    <row r="335" spans="13:13" x14ac:dyDescent="0.3">
      <c r="M335" s="234" t="s">
        <v>900</v>
      </c>
    </row>
    <row r="336" spans="13:13" x14ac:dyDescent="0.3">
      <c r="M336" s="234" t="s">
        <v>352</v>
      </c>
    </row>
    <row r="337" spans="13:13" x14ac:dyDescent="0.3">
      <c r="M337" s="234" t="s">
        <v>718</v>
      </c>
    </row>
    <row r="338" spans="13:13" x14ac:dyDescent="0.3">
      <c r="M338" s="234" t="s">
        <v>719</v>
      </c>
    </row>
    <row r="339" spans="13:13" x14ac:dyDescent="0.3">
      <c r="M339" s="234" t="s">
        <v>720</v>
      </c>
    </row>
    <row r="340" spans="13:13" x14ac:dyDescent="0.3">
      <c r="M340" s="234" t="s">
        <v>721</v>
      </c>
    </row>
    <row r="341" spans="13:13" x14ac:dyDescent="0.3">
      <c r="M341" s="234" t="s">
        <v>722</v>
      </c>
    </row>
    <row r="342" spans="13:13" x14ac:dyDescent="0.3">
      <c r="M342" s="234" t="s">
        <v>723</v>
      </c>
    </row>
    <row r="343" spans="13:13" x14ac:dyDescent="0.3">
      <c r="M343" s="234" t="s">
        <v>901</v>
      </c>
    </row>
    <row r="344" spans="13:13" x14ac:dyDescent="0.3">
      <c r="M344" s="234" t="s">
        <v>902</v>
      </c>
    </row>
    <row r="345" spans="13:13" x14ac:dyDescent="0.3">
      <c r="M345" s="234" t="s">
        <v>724</v>
      </c>
    </row>
    <row r="346" spans="13:13" x14ac:dyDescent="0.3">
      <c r="M346" s="234" t="s">
        <v>725</v>
      </c>
    </row>
    <row r="347" spans="13:13" x14ac:dyDescent="0.3">
      <c r="M347" s="234" t="s">
        <v>726</v>
      </c>
    </row>
    <row r="348" spans="13:13" x14ac:dyDescent="0.3">
      <c r="M348" s="234" t="s">
        <v>727</v>
      </c>
    </row>
    <row r="349" spans="13:13" x14ac:dyDescent="0.3">
      <c r="M349" s="234" t="s">
        <v>729</v>
      </c>
    </row>
    <row r="350" spans="13:13" x14ac:dyDescent="0.3">
      <c r="M350" s="234" t="s">
        <v>730</v>
      </c>
    </row>
    <row r="351" spans="13:13" x14ac:dyDescent="0.3">
      <c r="M351" s="234" t="s">
        <v>731</v>
      </c>
    </row>
    <row r="352" spans="13:13" x14ac:dyDescent="0.3">
      <c r="M352" s="234" t="s">
        <v>732</v>
      </c>
    </row>
    <row r="353" spans="13:13" x14ac:dyDescent="0.3">
      <c r="M353" s="234" t="s">
        <v>733</v>
      </c>
    </row>
    <row r="354" spans="13:13" x14ac:dyDescent="0.3">
      <c r="M354" s="234" t="s">
        <v>734</v>
      </c>
    </row>
    <row r="355" spans="13:13" x14ac:dyDescent="0.3">
      <c r="M355" s="234" t="s">
        <v>735</v>
      </c>
    </row>
    <row r="356" spans="13:13" x14ac:dyDescent="0.3">
      <c r="M356" s="234" t="s">
        <v>736</v>
      </c>
    </row>
    <row r="357" spans="13:13" x14ac:dyDescent="0.3">
      <c r="M357" s="234" t="s">
        <v>737</v>
      </c>
    </row>
    <row r="358" spans="13:13" x14ac:dyDescent="0.3">
      <c r="M358" s="234" t="s">
        <v>738</v>
      </c>
    </row>
    <row r="359" spans="13:13" x14ac:dyDescent="0.3">
      <c r="M359" s="234" t="s">
        <v>739</v>
      </c>
    </row>
    <row r="360" spans="13:13" x14ac:dyDescent="0.3">
      <c r="M360" s="234" t="s">
        <v>740</v>
      </c>
    </row>
    <row r="361" spans="13:13" x14ac:dyDescent="0.3">
      <c r="M361" s="234" t="s">
        <v>740</v>
      </c>
    </row>
    <row r="362" spans="13:13" x14ac:dyDescent="0.3">
      <c r="M362" s="234" t="s">
        <v>741</v>
      </c>
    </row>
    <row r="363" spans="13:13" x14ac:dyDescent="0.3">
      <c r="M363" s="234" t="s">
        <v>742</v>
      </c>
    </row>
    <row r="364" spans="13:13" x14ac:dyDescent="0.3">
      <c r="M364" s="234" t="s">
        <v>743</v>
      </c>
    </row>
    <row r="365" spans="13:13" x14ac:dyDescent="0.3">
      <c r="M365" s="234" t="s">
        <v>744</v>
      </c>
    </row>
    <row r="366" spans="13:13" x14ac:dyDescent="0.3">
      <c r="M366" s="234" t="s">
        <v>745</v>
      </c>
    </row>
    <row r="367" spans="13:13" x14ac:dyDescent="0.3">
      <c r="M367" s="234" t="s">
        <v>746</v>
      </c>
    </row>
    <row r="368" spans="13:13" x14ac:dyDescent="0.3">
      <c r="M368" s="234" t="s">
        <v>747</v>
      </c>
    </row>
    <row r="369" spans="13:13" x14ac:dyDescent="0.3">
      <c r="M369" s="234" t="s">
        <v>748</v>
      </c>
    </row>
    <row r="370" spans="13:13" x14ac:dyDescent="0.3">
      <c r="M370" s="234" t="s">
        <v>749</v>
      </c>
    </row>
    <row r="371" spans="13:13" x14ac:dyDescent="0.3">
      <c r="M371" s="234" t="s">
        <v>750</v>
      </c>
    </row>
    <row r="372" spans="13:13" x14ac:dyDescent="0.3">
      <c r="M372" s="234" t="s">
        <v>751</v>
      </c>
    </row>
    <row r="373" spans="13:13" x14ac:dyDescent="0.3">
      <c r="M373" s="234" t="s">
        <v>752</v>
      </c>
    </row>
    <row r="374" spans="13:13" x14ac:dyDescent="0.3">
      <c r="M374" s="234" t="s">
        <v>753</v>
      </c>
    </row>
    <row r="375" spans="13:13" x14ac:dyDescent="0.3">
      <c r="M375" s="234" t="s">
        <v>754</v>
      </c>
    </row>
    <row r="376" spans="13:13" x14ac:dyDescent="0.3">
      <c r="M376" s="234" t="s">
        <v>755</v>
      </c>
    </row>
    <row r="377" spans="13:13" x14ac:dyDescent="0.3">
      <c r="M377" s="234" t="s">
        <v>756</v>
      </c>
    </row>
    <row r="378" spans="13:13" x14ac:dyDescent="0.3">
      <c r="M378" s="234" t="s">
        <v>757</v>
      </c>
    </row>
    <row r="379" spans="13:13" x14ac:dyDescent="0.3">
      <c r="M379" s="234" t="s">
        <v>758</v>
      </c>
    </row>
    <row r="380" spans="13:13" x14ac:dyDescent="0.3">
      <c r="M380" s="234" t="s">
        <v>759</v>
      </c>
    </row>
    <row r="381" spans="13:13" x14ac:dyDescent="0.3">
      <c r="M381" s="234" t="s">
        <v>760</v>
      </c>
    </row>
    <row r="382" spans="13:13" x14ac:dyDescent="0.3">
      <c r="M382" s="234" t="s">
        <v>761</v>
      </c>
    </row>
    <row r="383" spans="13:13" x14ac:dyDescent="0.3">
      <c r="M383" s="234" t="s">
        <v>762</v>
      </c>
    </row>
    <row r="384" spans="13:13" x14ac:dyDescent="0.3">
      <c r="M384" s="234" t="s">
        <v>763</v>
      </c>
    </row>
    <row r="385" spans="13:13" x14ac:dyDescent="0.3">
      <c r="M385" s="234" t="s">
        <v>764</v>
      </c>
    </row>
    <row r="386" spans="13:13" x14ac:dyDescent="0.3">
      <c r="M386" s="234" t="s">
        <v>765</v>
      </c>
    </row>
    <row r="387" spans="13:13" x14ac:dyDescent="0.3">
      <c r="M387" s="234" t="s">
        <v>766</v>
      </c>
    </row>
    <row r="388" spans="13:13" x14ac:dyDescent="0.3">
      <c r="M388" s="234" t="s">
        <v>767</v>
      </c>
    </row>
    <row r="389" spans="13:13" x14ac:dyDescent="0.3">
      <c r="M389" s="234" t="s">
        <v>768</v>
      </c>
    </row>
    <row r="390" spans="13:13" x14ac:dyDescent="0.3">
      <c r="M390" s="234" t="s">
        <v>769</v>
      </c>
    </row>
    <row r="391" spans="13:13" x14ac:dyDescent="0.3">
      <c r="M391" s="234" t="s">
        <v>770</v>
      </c>
    </row>
    <row r="392" spans="13:13" x14ac:dyDescent="0.3">
      <c r="M392" s="234" t="s">
        <v>771</v>
      </c>
    </row>
    <row r="393" spans="13:13" x14ac:dyDescent="0.3">
      <c r="M393" s="234" t="s">
        <v>772</v>
      </c>
    </row>
    <row r="394" spans="13:13" x14ac:dyDescent="0.3">
      <c r="M394" s="234" t="s">
        <v>773</v>
      </c>
    </row>
    <row r="395" spans="13:13" x14ac:dyDescent="0.3">
      <c r="M395" s="234" t="s">
        <v>774</v>
      </c>
    </row>
  </sheetData>
  <hyperlinks>
    <hyperlink ref="I3" r:id="rId1" xr:uid="{6E719991-5A1A-4A98-A625-288FC09E1701}"/>
    <hyperlink ref="I12" r:id="rId2" xr:uid="{C8F7488E-3DC2-464E-ACF3-3E2724FCE494}"/>
    <hyperlink ref="I6" r:id="rId3" xr:uid="{C8F4CA0C-0C1A-4896-A352-954E80453B14}"/>
    <hyperlink ref="I9" r:id="rId4" xr:uid="{465930F3-3117-494F-AAE9-E0DDC289ECD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21CE-D036-420C-A424-89B76631F75F}">
  <sheetPr codeName="Sheet9"/>
  <dimension ref="A1:AC86"/>
  <sheetViews>
    <sheetView showGridLines="0" zoomScale="115" zoomScaleNormal="115" workbookViewId="0">
      <pane ySplit="3" topLeftCell="A4" activePane="bottomLeft" state="frozen"/>
      <selection activeCell="CG10" sqref="CG10"/>
      <selection pane="bottomLeft" activeCell="H9" sqref="H9"/>
    </sheetView>
  </sheetViews>
  <sheetFormatPr defaultRowHeight="14.4" x14ac:dyDescent="0.3"/>
  <cols>
    <col min="1" max="1" width="7.109375" style="386" bestFit="1" customWidth="1"/>
    <col min="2" max="2" width="14.44140625" customWidth="1"/>
    <col min="3" max="3" width="9.109375" bestFit="1" customWidth="1"/>
    <col min="4" max="4" width="21" customWidth="1"/>
    <col min="5" max="5" width="11.6640625" customWidth="1"/>
    <col min="6" max="6" width="10.6640625" customWidth="1"/>
    <col min="7" max="14" width="10.6640625" style="43" customWidth="1"/>
    <col min="15" max="15" width="11.6640625" style="43" bestFit="1" customWidth="1"/>
    <col min="19" max="19" width="17.88671875" customWidth="1"/>
    <col min="21" max="21" width="13.44140625" customWidth="1"/>
    <col min="22" max="22" width="16.44140625" customWidth="1"/>
    <col min="23" max="24" width="13.44140625" customWidth="1"/>
    <col min="25" max="25" width="16.6640625" customWidth="1"/>
    <col min="26" max="26" width="13.44140625" customWidth="1"/>
    <col min="27" max="27" width="20" customWidth="1"/>
    <col min="28" max="28" width="13.44140625" customWidth="1"/>
    <col min="29" max="29" width="18.33203125" customWidth="1"/>
  </cols>
  <sheetData>
    <row r="1" spans="1:29" s="8" customFormat="1" ht="15.6" customHeight="1" x14ac:dyDescent="0.3">
      <c r="A1" s="924" t="s">
        <v>1159</v>
      </c>
      <c r="B1" s="924"/>
      <c r="C1" s="13"/>
      <c r="D1" s="13"/>
      <c r="E1" s="13"/>
      <c r="F1" s="13"/>
      <c r="G1" s="14"/>
      <c r="H1" s="14"/>
      <c r="I1" s="14"/>
      <c r="J1" s="14"/>
      <c r="K1" s="14"/>
      <c r="L1" s="14"/>
      <c r="M1" s="14"/>
      <c r="N1" s="14"/>
      <c r="O1" s="14"/>
    </row>
    <row r="2" spans="1:29" s="8" customFormat="1" ht="15.6" customHeight="1" thickBot="1" x14ac:dyDescent="0.35">
      <c r="A2" s="924"/>
      <c r="B2" s="924"/>
      <c r="C2" s="13"/>
      <c r="D2" s="13"/>
      <c r="E2" s="13"/>
      <c r="F2" s="13"/>
      <c r="G2" s="14"/>
      <c r="H2" s="14"/>
      <c r="I2" s="14"/>
      <c r="J2" s="14"/>
      <c r="K2" s="14"/>
      <c r="L2" s="14"/>
      <c r="M2" s="14"/>
      <c r="N2" s="14"/>
      <c r="O2" s="14"/>
    </row>
    <row r="3" spans="1:29" x14ac:dyDescent="0.3">
      <c r="A3" s="383" t="s">
        <v>74</v>
      </c>
      <c r="B3" s="16" t="s">
        <v>903</v>
      </c>
      <c r="C3" s="17" t="s">
        <v>777</v>
      </c>
      <c r="D3" s="18" t="s">
        <v>52</v>
      </c>
      <c r="E3" s="17" t="s">
        <v>904</v>
      </c>
      <c r="F3" s="17" t="s">
        <v>78</v>
      </c>
      <c r="G3" s="15" t="s">
        <v>48</v>
      </c>
      <c r="H3" s="15" t="s">
        <v>51</v>
      </c>
      <c r="I3" s="15" t="s">
        <v>85</v>
      </c>
      <c r="J3" s="15" t="s">
        <v>86</v>
      </c>
      <c r="K3" s="15" t="s">
        <v>905</v>
      </c>
      <c r="L3" s="15" t="s">
        <v>906</v>
      </c>
      <c r="M3" s="15" t="s">
        <v>88</v>
      </c>
      <c r="N3" s="15" t="s">
        <v>89</v>
      </c>
      <c r="O3" s="15" t="s">
        <v>907</v>
      </c>
      <c r="S3" s="19" t="s">
        <v>52</v>
      </c>
      <c r="T3" s="20" t="s">
        <v>908</v>
      </c>
      <c r="U3" s="20" t="s">
        <v>57</v>
      </c>
      <c r="V3" s="20" t="s">
        <v>93</v>
      </c>
      <c r="W3" s="21" t="s">
        <v>94</v>
      </c>
      <c r="X3" s="21" t="s">
        <v>96</v>
      </c>
      <c r="Y3" s="21" t="s">
        <v>97</v>
      </c>
      <c r="Z3" s="21" t="s">
        <v>98</v>
      </c>
      <c r="AA3" s="21" t="s">
        <v>99</v>
      </c>
      <c r="AB3" s="21" t="s">
        <v>100</v>
      </c>
      <c r="AC3" s="21" t="s">
        <v>909</v>
      </c>
    </row>
    <row r="4" spans="1:29" x14ac:dyDescent="0.3">
      <c r="A4" s="385">
        <v>1</v>
      </c>
      <c r="B4" s="31"/>
      <c r="C4" s="30"/>
      <c r="D4" s="31"/>
      <c r="E4" s="31"/>
      <c r="F4" s="31"/>
      <c r="G4" s="32"/>
      <c r="H4" s="32"/>
      <c r="I4" s="32"/>
      <c r="J4" s="32"/>
      <c r="K4" s="32"/>
      <c r="L4" s="32"/>
      <c r="M4" s="32"/>
      <c r="N4" s="32"/>
      <c r="O4" s="32"/>
      <c r="S4" s="23" t="s">
        <v>775</v>
      </c>
      <c r="T4" s="23" t="s">
        <v>48</v>
      </c>
      <c r="U4" s="23">
        <v>16950</v>
      </c>
      <c r="V4" s="23">
        <v>2500</v>
      </c>
      <c r="W4" s="23" t="s">
        <v>95</v>
      </c>
      <c r="X4" s="23"/>
      <c r="Y4" s="23">
        <v>2000</v>
      </c>
      <c r="Z4" s="23">
        <v>500</v>
      </c>
      <c r="AA4" s="23"/>
      <c r="AB4" s="23">
        <v>2020</v>
      </c>
      <c r="AC4" s="23">
        <v>5000</v>
      </c>
    </row>
    <row r="5" spans="1:29" x14ac:dyDescent="0.3">
      <c r="A5" s="385">
        <v>2</v>
      </c>
      <c r="B5" s="31"/>
      <c r="C5" s="30">
        <v>46079</v>
      </c>
      <c r="D5" s="31" t="s">
        <v>53</v>
      </c>
      <c r="E5" s="31" t="s">
        <v>3</v>
      </c>
      <c r="F5" s="31" t="s">
        <v>44</v>
      </c>
      <c r="G5" s="32">
        <v>15879</v>
      </c>
      <c r="H5" s="32">
        <v>21638</v>
      </c>
      <c r="I5" s="32">
        <v>2118</v>
      </c>
      <c r="J5" s="32">
        <v>170</v>
      </c>
      <c r="K5" s="422">
        <v>5300</v>
      </c>
      <c r="L5" s="32"/>
      <c r="M5" s="32"/>
      <c r="N5" s="32">
        <v>2500</v>
      </c>
      <c r="O5" s="32">
        <v>3750</v>
      </c>
      <c r="S5" s="28" t="s">
        <v>775</v>
      </c>
      <c r="T5" s="28" t="s">
        <v>51</v>
      </c>
      <c r="U5" s="28">
        <v>23950</v>
      </c>
      <c r="V5" s="28">
        <v>3000</v>
      </c>
      <c r="W5" s="28" t="s">
        <v>95</v>
      </c>
      <c r="X5" s="28"/>
      <c r="Y5" s="28">
        <v>3000</v>
      </c>
      <c r="Z5" s="28">
        <v>900</v>
      </c>
      <c r="AA5" s="28"/>
      <c r="AB5" s="28">
        <v>3320</v>
      </c>
      <c r="AC5" s="28">
        <v>5000</v>
      </c>
    </row>
    <row r="6" spans="1:29" x14ac:dyDescent="0.3">
      <c r="A6" s="385">
        <v>3</v>
      </c>
      <c r="B6" s="29"/>
      <c r="C6" s="30">
        <v>46077</v>
      </c>
      <c r="D6" s="31" t="s">
        <v>53</v>
      </c>
      <c r="E6" s="31" t="s">
        <v>3</v>
      </c>
      <c r="F6" s="31" t="s">
        <v>128</v>
      </c>
      <c r="G6" s="32">
        <v>10933</v>
      </c>
      <c r="H6" s="32">
        <v>16900</v>
      </c>
      <c r="I6" s="32">
        <v>2118</v>
      </c>
      <c r="J6" s="32">
        <v>170</v>
      </c>
      <c r="K6" s="32">
        <v>5300</v>
      </c>
      <c r="L6" s="32"/>
      <c r="M6" s="32"/>
      <c r="N6" s="32"/>
      <c r="O6" s="33">
        <v>3750</v>
      </c>
      <c r="S6" s="23" t="s">
        <v>775</v>
      </c>
      <c r="T6" s="23" t="s">
        <v>808</v>
      </c>
      <c r="U6" s="23">
        <v>8500</v>
      </c>
      <c r="V6" s="23">
        <v>2500</v>
      </c>
      <c r="W6" s="23" t="s">
        <v>95</v>
      </c>
      <c r="X6" s="23"/>
      <c r="Y6" s="23"/>
      <c r="Z6" s="23">
        <v>500</v>
      </c>
      <c r="AA6" s="23"/>
      <c r="AB6" s="23"/>
      <c r="AC6" s="23">
        <v>4000</v>
      </c>
    </row>
    <row r="7" spans="1:29" x14ac:dyDescent="0.3">
      <c r="A7" s="385">
        <v>4</v>
      </c>
      <c r="B7" s="29"/>
      <c r="C7" s="30">
        <v>45924</v>
      </c>
      <c r="D7" s="31" t="s">
        <v>788</v>
      </c>
      <c r="E7" s="31" t="s">
        <v>3</v>
      </c>
      <c r="F7" s="31" t="s">
        <v>128</v>
      </c>
      <c r="G7" s="422">
        <v>11700</v>
      </c>
      <c r="H7" s="422">
        <v>16449</v>
      </c>
      <c r="I7" s="422">
        <v>920</v>
      </c>
      <c r="J7" s="422">
        <v>170</v>
      </c>
      <c r="K7" s="422">
        <v>5300</v>
      </c>
      <c r="L7" s="422"/>
      <c r="M7" s="422"/>
      <c r="N7" s="422"/>
      <c r="O7" s="422">
        <v>3750</v>
      </c>
      <c r="S7" s="28" t="s">
        <v>53</v>
      </c>
      <c r="T7" s="28" t="s">
        <v>48</v>
      </c>
      <c r="U7" s="28">
        <v>14300</v>
      </c>
      <c r="V7" s="28">
        <v>2500</v>
      </c>
      <c r="W7" s="28" t="s">
        <v>95</v>
      </c>
      <c r="X7" s="28">
        <v>600</v>
      </c>
      <c r="Y7" s="28">
        <v>2500</v>
      </c>
      <c r="Z7" s="28">
        <v>700</v>
      </c>
      <c r="AA7" s="28"/>
      <c r="AB7" s="28"/>
      <c r="AC7" s="28"/>
    </row>
    <row r="8" spans="1:29" x14ac:dyDescent="0.3">
      <c r="A8" s="385">
        <v>5</v>
      </c>
      <c r="B8" s="29"/>
      <c r="C8" s="30">
        <v>45713</v>
      </c>
      <c r="D8" s="31" t="s">
        <v>788</v>
      </c>
      <c r="E8" s="31" t="s">
        <v>3</v>
      </c>
      <c r="F8" s="31" t="s">
        <v>44</v>
      </c>
      <c r="G8" s="422">
        <v>18000</v>
      </c>
      <c r="H8" s="422">
        <v>22200</v>
      </c>
      <c r="I8" s="422">
        <v>920</v>
      </c>
      <c r="J8" s="422">
        <v>170</v>
      </c>
      <c r="K8" s="422">
        <v>5300</v>
      </c>
      <c r="L8" s="422"/>
      <c r="M8" s="422"/>
      <c r="N8" s="422">
        <v>2500</v>
      </c>
      <c r="O8" s="422">
        <v>3750</v>
      </c>
      <c r="S8" s="23" t="s">
        <v>53</v>
      </c>
      <c r="T8" s="23" t="s">
        <v>51</v>
      </c>
      <c r="U8" s="23">
        <v>24500</v>
      </c>
      <c r="V8" s="23">
        <v>3000</v>
      </c>
      <c r="W8" s="23" t="s">
        <v>95</v>
      </c>
      <c r="X8" s="23">
        <v>1200</v>
      </c>
      <c r="Y8" s="23">
        <v>3500</v>
      </c>
      <c r="Z8" s="23">
        <v>900</v>
      </c>
      <c r="AA8" s="23"/>
      <c r="AB8" s="23"/>
      <c r="AC8" s="23"/>
    </row>
    <row r="9" spans="1:29" x14ac:dyDescent="0.3">
      <c r="A9" s="385">
        <v>6</v>
      </c>
      <c r="B9" s="29"/>
      <c r="C9" s="30">
        <v>46022</v>
      </c>
      <c r="D9" s="31" t="s">
        <v>775</v>
      </c>
      <c r="E9" s="31" t="s">
        <v>3</v>
      </c>
      <c r="F9" s="31" t="s">
        <v>44</v>
      </c>
      <c r="G9" s="32">
        <v>18156</v>
      </c>
      <c r="H9" s="32">
        <v>27002</v>
      </c>
      <c r="I9" s="32">
        <v>920</v>
      </c>
      <c r="J9" s="32">
        <v>170</v>
      </c>
      <c r="K9" s="32">
        <v>5300</v>
      </c>
      <c r="L9" s="32"/>
      <c r="M9" s="32"/>
      <c r="N9" s="32">
        <v>2500</v>
      </c>
      <c r="O9" s="33">
        <v>3750</v>
      </c>
      <c r="S9" s="28" t="s">
        <v>124</v>
      </c>
      <c r="T9" s="28" t="s">
        <v>48</v>
      </c>
      <c r="U9" s="28">
        <v>17900</v>
      </c>
      <c r="V9" s="28">
        <v>2500</v>
      </c>
      <c r="W9" s="28" t="s">
        <v>95</v>
      </c>
      <c r="X9" s="28"/>
      <c r="Y9" s="28">
        <v>2000</v>
      </c>
      <c r="Z9" s="28">
        <v>500</v>
      </c>
      <c r="AA9" s="28">
        <v>3000</v>
      </c>
      <c r="AB9" s="28">
        <v>2020</v>
      </c>
      <c r="AC9" s="28">
        <v>5000</v>
      </c>
    </row>
    <row r="10" spans="1:29" x14ac:dyDescent="0.3">
      <c r="A10" s="385">
        <v>7</v>
      </c>
      <c r="B10" s="29" t="s">
        <v>1157</v>
      </c>
      <c r="C10" s="30">
        <v>46018</v>
      </c>
      <c r="D10" s="31" t="s">
        <v>775</v>
      </c>
      <c r="E10" s="31" t="s">
        <v>3</v>
      </c>
      <c r="F10" s="31" t="s">
        <v>128</v>
      </c>
      <c r="G10" s="32">
        <v>10212</v>
      </c>
      <c r="H10" s="32">
        <v>14808</v>
      </c>
      <c r="I10" s="32">
        <v>920</v>
      </c>
      <c r="J10" s="32">
        <v>170</v>
      </c>
      <c r="K10" s="32">
        <v>5300</v>
      </c>
      <c r="L10" s="32"/>
      <c r="M10" s="32"/>
      <c r="N10" s="32"/>
      <c r="O10" s="33">
        <v>3750</v>
      </c>
      <c r="S10" s="23" t="s">
        <v>124</v>
      </c>
      <c r="T10" s="23" t="s">
        <v>51</v>
      </c>
      <c r="U10" s="23">
        <v>29950</v>
      </c>
      <c r="V10" s="23">
        <v>3000</v>
      </c>
      <c r="W10" s="23" t="s">
        <v>95</v>
      </c>
      <c r="X10" s="23"/>
      <c r="Y10" s="23">
        <v>3000</v>
      </c>
      <c r="Z10" s="23">
        <v>900</v>
      </c>
      <c r="AA10" s="23">
        <v>3000</v>
      </c>
      <c r="AB10" s="23">
        <v>3320</v>
      </c>
      <c r="AC10" s="23">
        <v>5000</v>
      </c>
    </row>
    <row r="11" spans="1:29" x14ac:dyDescent="0.3">
      <c r="A11" s="385">
        <v>8</v>
      </c>
      <c r="B11" s="29" t="s">
        <v>1328</v>
      </c>
      <c r="C11" s="30">
        <v>46049</v>
      </c>
      <c r="D11" s="31" t="s">
        <v>124</v>
      </c>
      <c r="E11" s="31" t="s">
        <v>3</v>
      </c>
      <c r="F11" s="31" t="s">
        <v>44</v>
      </c>
      <c r="G11" s="32">
        <v>18000</v>
      </c>
      <c r="H11" s="32">
        <v>24557</v>
      </c>
      <c r="I11" s="32">
        <v>920</v>
      </c>
      <c r="J11" s="32">
        <v>170</v>
      </c>
      <c r="K11" s="32">
        <v>5300</v>
      </c>
      <c r="L11" s="32"/>
      <c r="M11" s="32"/>
      <c r="N11" s="32">
        <v>2500</v>
      </c>
      <c r="O11" s="33">
        <v>3750</v>
      </c>
      <c r="S11" s="28" t="s">
        <v>124</v>
      </c>
      <c r="T11" s="28" t="s">
        <v>808</v>
      </c>
      <c r="U11" s="28">
        <v>17900</v>
      </c>
      <c r="V11" s="28">
        <v>2500</v>
      </c>
      <c r="W11" s="28" t="s">
        <v>95</v>
      </c>
      <c r="X11" s="28"/>
      <c r="Y11" s="28"/>
      <c r="Z11" s="28">
        <v>500</v>
      </c>
      <c r="AA11" s="28"/>
      <c r="AB11" s="28"/>
      <c r="AC11" s="28">
        <v>6000</v>
      </c>
    </row>
    <row r="12" spans="1:29" ht="15" thickBot="1" x14ac:dyDescent="0.35">
      <c r="A12" s="385">
        <v>9</v>
      </c>
      <c r="B12" s="35" t="s">
        <v>910</v>
      </c>
      <c r="C12" s="34">
        <v>45894</v>
      </c>
      <c r="D12" s="35" t="s">
        <v>124</v>
      </c>
      <c r="E12" s="35" t="s">
        <v>3</v>
      </c>
      <c r="F12" s="35" t="s">
        <v>128</v>
      </c>
      <c r="G12" s="36">
        <v>11700</v>
      </c>
      <c r="H12" s="36">
        <v>16075</v>
      </c>
      <c r="I12" s="36">
        <v>920</v>
      </c>
      <c r="J12" s="36">
        <v>170</v>
      </c>
      <c r="K12" s="36">
        <v>5300</v>
      </c>
      <c r="L12" s="36"/>
      <c r="M12" s="36"/>
      <c r="N12" s="36"/>
      <c r="O12" s="37">
        <v>3750</v>
      </c>
    </row>
    <row r="13" spans="1:29" x14ac:dyDescent="0.3">
      <c r="A13" s="387">
        <v>10</v>
      </c>
      <c r="B13" s="31"/>
      <c r="C13" s="30">
        <v>46063</v>
      </c>
      <c r="D13" s="31" t="s">
        <v>53</v>
      </c>
      <c r="E13" s="31" t="s">
        <v>9</v>
      </c>
      <c r="F13" s="31" t="s">
        <v>128</v>
      </c>
      <c r="G13" s="32">
        <v>10830</v>
      </c>
      <c r="H13" s="32">
        <v>17925</v>
      </c>
      <c r="I13" s="32" t="s">
        <v>911</v>
      </c>
      <c r="J13" s="32">
        <v>170</v>
      </c>
      <c r="K13" s="32">
        <v>5100</v>
      </c>
      <c r="L13" s="32"/>
      <c r="M13" s="32" t="s">
        <v>912</v>
      </c>
      <c r="N13" s="32"/>
      <c r="O13" s="32" t="s">
        <v>913</v>
      </c>
    </row>
    <row r="14" spans="1:29" ht="13.95" customHeight="1" x14ac:dyDescent="0.3">
      <c r="A14" s="385">
        <v>11</v>
      </c>
      <c r="B14" s="31"/>
      <c r="C14" s="30">
        <v>45976</v>
      </c>
      <c r="D14" s="31" t="s">
        <v>53</v>
      </c>
      <c r="E14" s="31" t="s">
        <v>9</v>
      </c>
      <c r="F14" s="31" t="s">
        <v>44</v>
      </c>
      <c r="G14" s="32">
        <v>14305</v>
      </c>
      <c r="H14" s="32">
        <v>21775</v>
      </c>
      <c r="I14" s="32" t="s">
        <v>911</v>
      </c>
      <c r="J14" s="32">
        <v>170</v>
      </c>
      <c r="K14" s="32">
        <v>5100</v>
      </c>
      <c r="L14" s="32"/>
      <c r="M14" s="32" t="s">
        <v>912</v>
      </c>
      <c r="N14" s="32">
        <v>3300</v>
      </c>
      <c r="O14" s="32" t="s">
        <v>913</v>
      </c>
    </row>
    <row r="15" spans="1:29" x14ac:dyDescent="0.3">
      <c r="A15" s="385">
        <v>12</v>
      </c>
      <c r="B15" s="31" t="s">
        <v>914</v>
      </c>
      <c r="C15" s="30">
        <v>45713</v>
      </c>
      <c r="D15" s="31" t="s">
        <v>124</v>
      </c>
      <c r="E15" s="31" t="s">
        <v>9</v>
      </c>
      <c r="F15" s="31" t="s">
        <v>128</v>
      </c>
      <c r="G15" s="32">
        <v>12335</v>
      </c>
      <c r="H15" s="32">
        <v>17170</v>
      </c>
      <c r="I15" s="32" t="s">
        <v>911</v>
      </c>
      <c r="J15" s="32">
        <v>170</v>
      </c>
      <c r="K15" s="32">
        <v>5100</v>
      </c>
      <c r="L15" s="32"/>
      <c r="M15" s="32" t="s">
        <v>915</v>
      </c>
      <c r="N15" s="32"/>
      <c r="O15" s="32" t="s">
        <v>913</v>
      </c>
    </row>
    <row r="16" spans="1:29" x14ac:dyDescent="0.3">
      <c r="A16" s="385">
        <v>13</v>
      </c>
      <c r="B16" s="31" t="s">
        <v>916</v>
      </c>
      <c r="C16" s="30">
        <v>45713</v>
      </c>
      <c r="D16" s="31" t="s">
        <v>124</v>
      </c>
      <c r="E16" s="31" t="s">
        <v>9</v>
      </c>
      <c r="F16" s="31" t="s">
        <v>44</v>
      </c>
      <c r="G16" s="32">
        <v>18000</v>
      </c>
      <c r="H16" s="32">
        <v>23645</v>
      </c>
      <c r="I16" s="32" t="s">
        <v>911</v>
      </c>
      <c r="J16" s="32">
        <v>170</v>
      </c>
      <c r="K16" s="32">
        <v>5100</v>
      </c>
      <c r="L16" s="32"/>
      <c r="M16" s="32" t="s">
        <v>915</v>
      </c>
      <c r="N16" s="32">
        <v>3300</v>
      </c>
      <c r="O16" s="32" t="s">
        <v>913</v>
      </c>
    </row>
    <row r="17" spans="1:15" x14ac:dyDescent="0.3">
      <c r="A17" s="385">
        <v>14</v>
      </c>
      <c r="B17" s="31"/>
      <c r="C17" s="30">
        <v>46018</v>
      </c>
      <c r="D17" s="31" t="s">
        <v>775</v>
      </c>
      <c r="E17" s="31" t="s">
        <v>9</v>
      </c>
      <c r="F17" s="31" t="s">
        <v>128</v>
      </c>
      <c r="G17" s="32">
        <v>9795</v>
      </c>
      <c r="H17" s="32">
        <v>13940</v>
      </c>
      <c r="I17" s="32" t="s">
        <v>911</v>
      </c>
      <c r="J17" s="32">
        <v>170</v>
      </c>
      <c r="K17" s="32">
        <v>5100</v>
      </c>
      <c r="L17" s="32"/>
      <c r="M17" s="32" t="s">
        <v>915</v>
      </c>
      <c r="N17" s="32"/>
      <c r="O17" s="32" t="s">
        <v>913</v>
      </c>
    </row>
    <row r="18" spans="1:15" ht="15" thickBot="1" x14ac:dyDescent="0.35">
      <c r="A18" s="385">
        <v>15</v>
      </c>
      <c r="B18" s="31" t="s">
        <v>917</v>
      </c>
      <c r="C18" s="30">
        <v>45982</v>
      </c>
      <c r="D18" s="31" t="s">
        <v>775</v>
      </c>
      <c r="E18" s="31" t="s">
        <v>9</v>
      </c>
      <c r="F18" s="31" t="s">
        <v>44</v>
      </c>
      <c r="G18" s="32">
        <v>14255</v>
      </c>
      <c r="H18" s="32">
        <v>21675</v>
      </c>
      <c r="I18" s="32" t="s">
        <v>911</v>
      </c>
      <c r="J18" s="32">
        <v>170</v>
      </c>
      <c r="K18" s="32">
        <v>5100</v>
      </c>
      <c r="L18" s="32"/>
      <c r="M18" s="32" t="s">
        <v>912</v>
      </c>
      <c r="N18" s="32">
        <v>3300</v>
      </c>
      <c r="O18" s="32"/>
    </row>
    <row r="19" spans="1:15" x14ac:dyDescent="0.3">
      <c r="A19" s="387">
        <v>16</v>
      </c>
      <c r="B19" s="25" t="s">
        <v>918</v>
      </c>
      <c r="C19" s="24">
        <v>45782</v>
      </c>
      <c r="D19" s="25" t="s">
        <v>53</v>
      </c>
      <c r="E19" s="25" t="s">
        <v>4</v>
      </c>
      <c r="F19" s="25" t="s">
        <v>128</v>
      </c>
      <c r="G19" s="26">
        <v>9070</v>
      </c>
      <c r="H19" s="26">
        <v>15000</v>
      </c>
      <c r="I19" s="26" t="s">
        <v>919</v>
      </c>
      <c r="J19" s="26">
        <v>170</v>
      </c>
      <c r="K19" s="26">
        <v>4900</v>
      </c>
      <c r="L19" s="26" t="s">
        <v>920</v>
      </c>
      <c r="M19" s="26">
        <v>2800</v>
      </c>
      <c r="N19" s="26"/>
      <c r="O19" s="27" t="s">
        <v>920</v>
      </c>
    </row>
    <row r="20" spans="1:15" x14ac:dyDescent="0.3">
      <c r="A20" s="385">
        <v>17</v>
      </c>
      <c r="B20" s="31" t="s">
        <v>921</v>
      </c>
      <c r="C20" s="30">
        <v>45782</v>
      </c>
      <c r="D20" s="31" t="s">
        <v>53</v>
      </c>
      <c r="E20" s="31" t="s">
        <v>4</v>
      </c>
      <c r="F20" s="31" t="s">
        <v>44</v>
      </c>
      <c r="G20" s="32">
        <v>11500</v>
      </c>
      <c r="H20" s="32">
        <v>16700</v>
      </c>
      <c r="I20" s="32" t="s">
        <v>919</v>
      </c>
      <c r="J20" s="32">
        <v>170</v>
      </c>
      <c r="K20" s="32">
        <v>4900</v>
      </c>
      <c r="L20" s="32" t="s">
        <v>920</v>
      </c>
      <c r="M20" s="32">
        <v>2800</v>
      </c>
      <c r="N20" s="32">
        <v>2500</v>
      </c>
      <c r="O20" s="33" t="s">
        <v>920</v>
      </c>
    </row>
    <row r="21" spans="1:15" x14ac:dyDescent="0.3">
      <c r="A21" s="385">
        <v>18</v>
      </c>
      <c r="B21" s="31" t="s">
        <v>922</v>
      </c>
      <c r="C21" s="30">
        <v>45782</v>
      </c>
      <c r="D21" s="31" t="s">
        <v>124</v>
      </c>
      <c r="E21" s="31" t="s">
        <v>4</v>
      </c>
      <c r="F21" s="31" t="s">
        <v>128</v>
      </c>
      <c r="G21" s="32">
        <v>11590</v>
      </c>
      <c r="H21" s="32">
        <v>15690</v>
      </c>
      <c r="I21" s="32" t="s">
        <v>919</v>
      </c>
      <c r="J21" s="32">
        <v>170</v>
      </c>
      <c r="K21" s="32">
        <v>4900</v>
      </c>
      <c r="L21" s="32" t="s">
        <v>920</v>
      </c>
      <c r="M21" s="32">
        <v>2800</v>
      </c>
      <c r="N21" s="32"/>
      <c r="O21" s="33" t="s">
        <v>920</v>
      </c>
    </row>
    <row r="22" spans="1:15" x14ac:dyDescent="0.3">
      <c r="A22" s="385">
        <v>19</v>
      </c>
      <c r="B22" s="31" t="s">
        <v>923</v>
      </c>
      <c r="C22" s="30">
        <v>45782</v>
      </c>
      <c r="D22" s="31" t="s">
        <v>124</v>
      </c>
      <c r="E22" s="31" t="s">
        <v>4</v>
      </c>
      <c r="F22" s="31" t="s">
        <v>44</v>
      </c>
      <c r="G22" s="32">
        <v>15690</v>
      </c>
      <c r="H22" s="32">
        <v>17790</v>
      </c>
      <c r="I22" s="32" t="s">
        <v>919</v>
      </c>
      <c r="J22" s="32">
        <v>170</v>
      </c>
      <c r="K22" s="32">
        <v>4900</v>
      </c>
      <c r="L22" s="32" t="s">
        <v>920</v>
      </c>
      <c r="M22" s="32">
        <v>2800</v>
      </c>
      <c r="N22" s="32">
        <v>2500</v>
      </c>
      <c r="O22" s="33" t="s">
        <v>920</v>
      </c>
    </row>
    <row r="23" spans="1:15" x14ac:dyDescent="0.3">
      <c r="A23" s="385">
        <v>20</v>
      </c>
      <c r="B23" s="31" t="s">
        <v>924</v>
      </c>
      <c r="C23" s="30">
        <v>45782</v>
      </c>
      <c r="D23" s="31" t="s">
        <v>775</v>
      </c>
      <c r="E23" s="31" t="s">
        <v>4</v>
      </c>
      <c r="F23" s="31" t="s">
        <v>128</v>
      </c>
      <c r="G23" s="32">
        <v>9400</v>
      </c>
      <c r="H23" s="32">
        <v>13850</v>
      </c>
      <c r="I23" s="32" t="s">
        <v>919</v>
      </c>
      <c r="J23" s="32">
        <v>170</v>
      </c>
      <c r="K23" s="32">
        <v>4900</v>
      </c>
      <c r="L23" s="32" t="s">
        <v>920</v>
      </c>
      <c r="M23" s="32">
        <v>2800</v>
      </c>
      <c r="N23" s="32"/>
      <c r="O23" s="33" t="s">
        <v>920</v>
      </c>
    </row>
    <row r="24" spans="1:15" ht="15" thickBot="1" x14ac:dyDescent="0.35">
      <c r="A24" s="385">
        <v>21</v>
      </c>
      <c r="B24" s="31" t="s">
        <v>925</v>
      </c>
      <c r="C24" s="30">
        <v>45782</v>
      </c>
      <c r="D24" s="31" t="s">
        <v>775</v>
      </c>
      <c r="E24" s="31" t="s">
        <v>4</v>
      </c>
      <c r="F24" s="31" t="s">
        <v>44</v>
      </c>
      <c r="G24" s="32">
        <v>12000</v>
      </c>
      <c r="H24" s="32">
        <v>17500</v>
      </c>
      <c r="I24" s="32" t="s">
        <v>919</v>
      </c>
      <c r="J24" s="32">
        <v>170</v>
      </c>
      <c r="K24" s="32">
        <v>4900</v>
      </c>
      <c r="L24" s="32" t="s">
        <v>920</v>
      </c>
      <c r="M24" s="32">
        <v>2800</v>
      </c>
      <c r="N24" s="32">
        <v>2500</v>
      </c>
      <c r="O24" s="33" t="s">
        <v>920</v>
      </c>
    </row>
    <row r="25" spans="1:15" x14ac:dyDescent="0.3">
      <c r="A25" s="387">
        <v>22</v>
      </c>
      <c r="B25" s="25" t="s">
        <v>926</v>
      </c>
      <c r="C25" s="24">
        <v>46023</v>
      </c>
      <c r="D25" s="25" t="s">
        <v>775</v>
      </c>
      <c r="E25" s="25" t="s">
        <v>868</v>
      </c>
      <c r="F25" s="25" t="s">
        <v>128</v>
      </c>
      <c r="G25" s="26">
        <v>11575</v>
      </c>
      <c r="H25" s="26">
        <v>17100</v>
      </c>
      <c r="I25" s="26">
        <v>1050</v>
      </c>
      <c r="J25" s="26">
        <v>170</v>
      </c>
      <c r="K25" s="26">
        <v>5500</v>
      </c>
      <c r="L25" s="26"/>
      <c r="M25" s="26">
        <v>1250</v>
      </c>
      <c r="N25" s="26"/>
      <c r="O25" s="38" t="s">
        <v>913</v>
      </c>
    </row>
    <row r="26" spans="1:15" x14ac:dyDescent="0.3">
      <c r="A26" s="385">
        <v>23</v>
      </c>
      <c r="B26" s="31" t="s">
        <v>927</v>
      </c>
      <c r="C26" s="30">
        <v>46023</v>
      </c>
      <c r="D26" s="31" t="s">
        <v>775</v>
      </c>
      <c r="E26" s="31" t="s">
        <v>868</v>
      </c>
      <c r="F26" s="31" t="s">
        <v>44</v>
      </c>
      <c r="G26" s="32">
        <v>20300</v>
      </c>
      <c r="H26" s="32">
        <v>30200</v>
      </c>
      <c r="I26" s="32">
        <v>1050</v>
      </c>
      <c r="J26" s="32">
        <v>170</v>
      </c>
      <c r="K26" s="32">
        <v>5500</v>
      </c>
      <c r="L26" s="32"/>
      <c r="M26" s="32">
        <v>1250</v>
      </c>
      <c r="N26" s="32"/>
      <c r="O26" s="39" t="s">
        <v>913</v>
      </c>
    </row>
    <row r="27" spans="1:15" x14ac:dyDescent="0.3">
      <c r="A27" s="385">
        <v>24</v>
      </c>
      <c r="B27" s="31" t="s">
        <v>928</v>
      </c>
      <c r="C27" s="30">
        <v>46023</v>
      </c>
      <c r="D27" s="31" t="s">
        <v>124</v>
      </c>
      <c r="E27" s="31" t="s">
        <v>868</v>
      </c>
      <c r="F27" s="31" t="s">
        <v>128</v>
      </c>
      <c r="G27" s="32">
        <v>12850</v>
      </c>
      <c r="H27" s="32">
        <v>19800</v>
      </c>
      <c r="I27" s="32">
        <v>1050</v>
      </c>
      <c r="J27" s="32">
        <v>170</v>
      </c>
      <c r="K27" s="32">
        <v>5500</v>
      </c>
      <c r="L27" s="32"/>
      <c r="M27" s="32">
        <v>1250</v>
      </c>
      <c r="N27" s="32"/>
      <c r="O27" s="39" t="s">
        <v>913</v>
      </c>
    </row>
    <row r="28" spans="1:15" x14ac:dyDescent="0.3">
      <c r="A28" s="385">
        <v>25</v>
      </c>
      <c r="B28" s="31" t="s">
        <v>929</v>
      </c>
      <c r="C28" s="30">
        <v>46023</v>
      </c>
      <c r="D28" s="31" t="s">
        <v>124</v>
      </c>
      <c r="E28" s="31" t="s">
        <v>868</v>
      </c>
      <c r="F28" s="31" t="s">
        <v>44</v>
      </c>
      <c r="G28" s="32">
        <v>30100</v>
      </c>
      <c r="H28" s="32">
        <v>45125</v>
      </c>
      <c r="I28" s="32">
        <v>1050</v>
      </c>
      <c r="J28" s="32">
        <v>170</v>
      </c>
      <c r="K28" s="32">
        <v>5500</v>
      </c>
      <c r="L28" s="32"/>
      <c r="M28" s="32">
        <v>1250</v>
      </c>
      <c r="N28" s="32"/>
      <c r="O28" s="39" t="s">
        <v>913</v>
      </c>
    </row>
    <row r="29" spans="1:15" x14ac:dyDescent="0.3">
      <c r="A29" s="385">
        <v>26</v>
      </c>
      <c r="B29" s="31" t="s">
        <v>930</v>
      </c>
      <c r="C29" s="30">
        <v>46023</v>
      </c>
      <c r="D29" s="31" t="s">
        <v>53</v>
      </c>
      <c r="E29" s="31" t="s">
        <v>868</v>
      </c>
      <c r="F29" s="31" t="s">
        <v>128</v>
      </c>
      <c r="G29" s="32">
        <v>11200</v>
      </c>
      <c r="H29" s="32">
        <v>18325</v>
      </c>
      <c r="I29" s="32">
        <v>1050</v>
      </c>
      <c r="J29" s="32">
        <v>170</v>
      </c>
      <c r="K29" s="32">
        <v>5500</v>
      </c>
      <c r="L29" s="32"/>
      <c r="M29" s="32">
        <v>1250</v>
      </c>
      <c r="N29" s="32"/>
      <c r="O29" s="39" t="s">
        <v>913</v>
      </c>
    </row>
    <row r="30" spans="1:15" ht="15" thickBot="1" x14ac:dyDescent="0.35">
      <c r="A30" s="385">
        <v>27</v>
      </c>
      <c r="B30" s="31" t="s">
        <v>931</v>
      </c>
      <c r="C30" s="30">
        <v>46023</v>
      </c>
      <c r="D30" s="31" t="s">
        <v>53</v>
      </c>
      <c r="E30" s="31" t="s">
        <v>868</v>
      </c>
      <c r="F30" s="31" t="s">
        <v>44</v>
      </c>
      <c r="G30" s="32">
        <v>16125</v>
      </c>
      <c r="H30" s="32">
        <v>26100</v>
      </c>
      <c r="I30" s="32">
        <v>1050</v>
      </c>
      <c r="J30" s="32">
        <v>170</v>
      </c>
      <c r="K30" s="32">
        <v>5500</v>
      </c>
      <c r="L30" s="32"/>
      <c r="M30" s="32">
        <v>1250</v>
      </c>
      <c r="N30" s="22"/>
      <c r="O30" s="39" t="s">
        <v>913</v>
      </c>
    </row>
    <row r="31" spans="1:15" x14ac:dyDescent="0.3">
      <c r="A31" s="387">
        <v>28</v>
      </c>
      <c r="B31" s="25" t="s">
        <v>932</v>
      </c>
      <c r="C31" s="40">
        <v>45713</v>
      </c>
      <c r="D31" s="25" t="s">
        <v>775</v>
      </c>
      <c r="E31" s="25" t="s">
        <v>825</v>
      </c>
      <c r="F31" s="25" t="s">
        <v>128</v>
      </c>
      <c r="G31" s="26"/>
      <c r="H31" s="26"/>
      <c r="I31" s="26" t="s">
        <v>933</v>
      </c>
      <c r="J31" s="26">
        <v>170</v>
      </c>
      <c r="K31" s="26">
        <v>4300</v>
      </c>
      <c r="L31" s="26">
        <v>1600</v>
      </c>
      <c r="M31" s="26"/>
      <c r="N31" s="26"/>
      <c r="O31" s="27"/>
    </row>
    <row r="32" spans="1:15" x14ac:dyDescent="0.3">
      <c r="A32" s="385">
        <v>29</v>
      </c>
      <c r="B32" s="31" t="s">
        <v>934</v>
      </c>
      <c r="C32" s="41">
        <v>45713</v>
      </c>
      <c r="D32" s="31" t="s">
        <v>775</v>
      </c>
      <c r="E32" s="31" t="s">
        <v>825</v>
      </c>
      <c r="F32" s="31" t="s">
        <v>44</v>
      </c>
      <c r="G32" s="32"/>
      <c r="H32" s="32"/>
      <c r="I32" s="32" t="s">
        <v>933</v>
      </c>
      <c r="J32" s="32">
        <v>170</v>
      </c>
      <c r="K32" s="32">
        <v>4300</v>
      </c>
      <c r="L32" s="32">
        <v>1600</v>
      </c>
      <c r="M32" s="32"/>
      <c r="N32" s="32"/>
      <c r="O32" s="33"/>
    </row>
    <row r="33" spans="1:15" x14ac:dyDescent="0.3">
      <c r="A33" s="385">
        <v>30</v>
      </c>
      <c r="B33" s="31" t="s">
        <v>935</v>
      </c>
      <c r="C33" s="41">
        <v>45713</v>
      </c>
      <c r="D33" s="31" t="s">
        <v>124</v>
      </c>
      <c r="E33" s="31" t="s">
        <v>825</v>
      </c>
      <c r="F33" s="31" t="s">
        <v>128</v>
      </c>
      <c r="G33" s="32"/>
      <c r="H33" s="32"/>
      <c r="I33" s="32" t="s">
        <v>933</v>
      </c>
      <c r="J33" s="32">
        <v>170</v>
      </c>
      <c r="K33" s="32">
        <v>4300</v>
      </c>
      <c r="L33" s="32">
        <v>1600</v>
      </c>
      <c r="M33" s="32"/>
      <c r="N33" s="32"/>
      <c r="O33" s="33"/>
    </row>
    <row r="34" spans="1:15" x14ac:dyDescent="0.3">
      <c r="A34" s="385">
        <v>31</v>
      </c>
      <c r="B34" s="31" t="s">
        <v>936</v>
      </c>
      <c r="C34" s="41">
        <v>45713</v>
      </c>
      <c r="D34" s="31" t="s">
        <v>124</v>
      </c>
      <c r="E34" s="31" t="s">
        <v>825</v>
      </c>
      <c r="F34" s="31" t="s">
        <v>44</v>
      </c>
      <c r="G34" s="32"/>
      <c r="H34" s="32"/>
      <c r="I34" s="32" t="s">
        <v>933</v>
      </c>
      <c r="J34" s="32">
        <v>170</v>
      </c>
      <c r="K34" s="32">
        <v>4300</v>
      </c>
      <c r="L34" s="32">
        <v>1600</v>
      </c>
      <c r="M34" s="32"/>
      <c r="N34" s="32"/>
      <c r="O34" s="33"/>
    </row>
    <row r="35" spans="1:15" x14ac:dyDescent="0.3">
      <c r="A35" s="385">
        <v>32</v>
      </c>
      <c r="B35" s="31" t="s">
        <v>937</v>
      </c>
      <c r="C35" s="41">
        <v>45713</v>
      </c>
      <c r="D35" s="31" t="s">
        <v>53</v>
      </c>
      <c r="E35" s="31" t="s">
        <v>825</v>
      </c>
      <c r="F35" s="31" t="s">
        <v>128</v>
      </c>
      <c r="G35" s="32"/>
      <c r="H35" s="32"/>
      <c r="I35" s="32" t="s">
        <v>933</v>
      </c>
      <c r="J35" s="32">
        <v>170</v>
      </c>
      <c r="K35" s="32">
        <v>4300</v>
      </c>
      <c r="L35" s="32">
        <v>1600</v>
      </c>
      <c r="M35" s="32"/>
      <c r="N35" s="32"/>
      <c r="O35" s="33"/>
    </row>
    <row r="36" spans="1:15" x14ac:dyDescent="0.3">
      <c r="A36" s="385">
        <v>33</v>
      </c>
      <c r="B36" s="31" t="s">
        <v>938</v>
      </c>
      <c r="C36" s="41">
        <v>45713</v>
      </c>
      <c r="D36" s="31" t="s">
        <v>53</v>
      </c>
      <c r="E36" s="31" t="s">
        <v>825</v>
      </c>
      <c r="F36" s="31" t="s">
        <v>44</v>
      </c>
      <c r="G36" s="32"/>
      <c r="H36" s="32"/>
      <c r="I36" s="32" t="s">
        <v>933</v>
      </c>
      <c r="J36" s="32">
        <v>170</v>
      </c>
      <c r="K36" s="32">
        <v>4300</v>
      </c>
      <c r="L36" s="32">
        <v>1600</v>
      </c>
      <c r="M36" s="32"/>
      <c r="N36" s="32"/>
      <c r="O36" s="33"/>
    </row>
    <row r="37" spans="1:15" x14ac:dyDescent="0.3">
      <c r="A37" s="385">
        <v>34</v>
      </c>
      <c r="B37" s="31" t="s">
        <v>939</v>
      </c>
      <c r="C37" s="41">
        <v>45740</v>
      </c>
      <c r="D37" s="31" t="s">
        <v>53</v>
      </c>
      <c r="E37" s="31" t="s">
        <v>803</v>
      </c>
      <c r="F37" s="31" t="s">
        <v>44</v>
      </c>
      <c r="G37" s="32">
        <v>12400</v>
      </c>
      <c r="H37" s="32">
        <v>11500</v>
      </c>
      <c r="I37" s="32">
        <v>700</v>
      </c>
      <c r="J37" s="32">
        <v>170</v>
      </c>
      <c r="K37" s="32"/>
      <c r="L37" s="32"/>
      <c r="M37" s="32"/>
      <c r="N37" s="32"/>
      <c r="O37" s="33"/>
    </row>
    <row r="38" spans="1:15" ht="15" thickBot="1" x14ac:dyDescent="0.35">
      <c r="A38" s="384">
        <v>35</v>
      </c>
      <c r="B38" s="35" t="s">
        <v>940</v>
      </c>
      <c r="C38" s="42">
        <v>45713</v>
      </c>
      <c r="D38" s="35" t="s">
        <v>775</v>
      </c>
      <c r="E38" s="35" t="s">
        <v>803</v>
      </c>
      <c r="F38" s="35" t="s">
        <v>128</v>
      </c>
      <c r="G38" s="36"/>
      <c r="H38" s="36"/>
      <c r="I38" s="36">
        <v>700</v>
      </c>
      <c r="J38" s="36">
        <v>170</v>
      </c>
      <c r="K38" s="36">
        <v>5000</v>
      </c>
      <c r="L38" s="36">
        <v>1000</v>
      </c>
      <c r="M38" s="36"/>
      <c r="N38" s="36"/>
      <c r="O38" s="37" t="s">
        <v>941</v>
      </c>
    </row>
    <row r="39" spans="1:15" x14ac:dyDescent="0.3">
      <c r="A39" s="385">
        <v>36</v>
      </c>
      <c r="B39" s="31" t="s">
        <v>942</v>
      </c>
      <c r="C39" s="30">
        <v>45713</v>
      </c>
      <c r="D39" s="31" t="s">
        <v>775</v>
      </c>
      <c r="E39" s="31" t="s">
        <v>18</v>
      </c>
      <c r="F39" s="31" t="s">
        <v>128</v>
      </c>
      <c r="G39" s="32"/>
      <c r="H39" s="32"/>
      <c r="I39" s="32" t="s">
        <v>911</v>
      </c>
      <c r="J39" s="32">
        <v>170</v>
      </c>
      <c r="K39" s="32">
        <v>4200</v>
      </c>
      <c r="L39" s="32">
        <v>2500</v>
      </c>
      <c r="M39" s="32" t="s">
        <v>943</v>
      </c>
      <c r="N39" s="32"/>
      <c r="O39" s="32"/>
    </row>
    <row r="40" spans="1:15" x14ac:dyDescent="0.3">
      <c r="A40" s="385">
        <v>37</v>
      </c>
      <c r="B40" s="31" t="s">
        <v>944</v>
      </c>
      <c r="C40" s="30">
        <v>45713</v>
      </c>
      <c r="D40" s="31" t="s">
        <v>775</v>
      </c>
      <c r="E40" s="31" t="s">
        <v>18</v>
      </c>
      <c r="F40" s="31" t="s">
        <v>44</v>
      </c>
      <c r="G40" s="32"/>
      <c r="H40" s="32"/>
      <c r="I40" s="32" t="s">
        <v>911</v>
      </c>
      <c r="J40" s="32">
        <v>170</v>
      </c>
      <c r="K40" s="32">
        <v>4200</v>
      </c>
      <c r="L40" s="32">
        <v>2500</v>
      </c>
      <c r="M40" s="32" t="s">
        <v>943</v>
      </c>
      <c r="N40" s="32">
        <v>2500</v>
      </c>
      <c r="O40" s="32"/>
    </row>
    <row r="41" spans="1:15" x14ac:dyDescent="0.3">
      <c r="A41" s="385">
        <v>38</v>
      </c>
      <c r="B41" s="31"/>
      <c r="C41" s="30">
        <v>46010</v>
      </c>
      <c r="D41" s="31" t="s">
        <v>124</v>
      </c>
      <c r="E41" s="31" t="s">
        <v>18</v>
      </c>
      <c r="F41" s="31" t="s">
        <v>128</v>
      </c>
      <c r="G41" s="32"/>
      <c r="H41" s="32">
        <v>16225</v>
      </c>
      <c r="I41" s="32" t="s">
        <v>911</v>
      </c>
      <c r="J41" s="32">
        <v>170</v>
      </c>
      <c r="K41" s="32">
        <v>4200</v>
      </c>
      <c r="L41" s="32"/>
      <c r="M41" s="32" t="s">
        <v>943</v>
      </c>
      <c r="N41" s="32"/>
      <c r="O41" s="32"/>
    </row>
    <row r="42" spans="1:15" x14ac:dyDescent="0.3">
      <c r="A42" s="385">
        <v>39</v>
      </c>
      <c r="B42" s="31" t="s">
        <v>945</v>
      </c>
      <c r="C42" s="30">
        <v>45713</v>
      </c>
      <c r="D42" s="31" t="s">
        <v>124</v>
      </c>
      <c r="E42" s="31" t="s">
        <v>18</v>
      </c>
      <c r="F42" s="31" t="s">
        <v>44</v>
      </c>
      <c r="G42" s="32"/>
      <c r="H42" s="32"/>
      <c r="I42" s="32" t="s">
        <v>911</v>
      </c>
      <c r="J42" s="32">
        <v>170</v>
      </c>
      <c r="K42" s="32">
        <v>4200</v>
      </c>
      <c r="L42" s="32">
        <v>2500</v>
      </c>
      <c r="M42" s="32" t="s">
        <v>943</v>
      </c>
      <c r="N42" s="32">
        <v>2500</v>
      </c>
      <c r="O42" s="32"/>
    </row>
    <row r="43" spans="1:15" x14ac:dyDescent="0.3">
      <c r="A43" s="385">
        <v>40</v>
      </c>
      <c r="B43" s="31" t="s">
        <v>946</v>
      </c>
      <c r="C43" s="30">
        <v>45713</v>
      </c>
      <c r="D43" s="31" t="s">
        <v>53</v>
      </c>
      <c r="E43" s="31" t="s">
        <v>18</v>
      </c>
      <c r="F43" s="31" t="s">
        <v>128</v>
      </c>
      <c r="G43" s="32"/>
      <c r="H43" s="32"/>
      <c r="I43" s="32" t="s">
        <v>911</v>
      </c>
      <c r="J43" s="32">
        <v>170</v>
      </c>
      <c r="K43" s="32">
        <v>4200</v>
      </c>
      <c r="L43" s="32">
        <v>2500</v>
      </c>
      <c r="M43" s="32" t="s">
        <v>943</v>
      </c>
      <c r="N43" s="32"/>
      <c r="O43" s="32"/>
    </row>
    <row r="44" spans="1:15" ht="15" thickBot="1" x14ac:dyDescent="0.35">
      <c r="A44" s="385">
        <v>41</v>
      </c>
      <c r="B44" s="31" t="s">
        <v>947</v>
      </c>
      <c r="C44" s="30">
        <v>45713</v>
      </c>
      <c r="D44" s="31" t="s">
        <v>53</v>
      </c>
      <c r="E44" s="31" t="s">
        <v>18</v>
      </c>
      <c r="F44" s="31" t="s">
        <v>44</v>
      </c>
      <c r="G44" s="32"/>
      <c r="H44" s="32"/>
      <c r="I44" s="32" t="s">
        <v>911</v>
      </c>
      <c r="J44" s="32">
        <v>170</v>
      </c>
      <c r="K44" s="32">
        <v>4200</v>
      </c>
      <c r="L44" s="32">
        <v>2500</v>
      </c>
      <c r="M44" s="32" t="s">
        <v>943</v>
      </c>
      <c r="N44" s="32">
        <v>2500</v>
      </c>
      <c r="O44" s="32"/>
    </row>
    <row r="45" spans="1:15" x14ac:dyDescent="0.3">
      <c r="A45" s="387">
        <v>42</v>
      </c>
      <c r="B45" s="25" t="s">
        <v>948</v>
      </c>
      <c r="C45" s="24">
        <v>45721</v>
      </c>
      <c r="D45" s="25" t="s">
        <v>775</v>
      </c>
      <c r="E45" s="25" t="s">
        <v>13</v>
      </c>
      <c r="F45" s="25" t="s">
        <v>128</v>
      </c>
      <c r="G45" s="26"/>
      <c r="H45" s="26"/>
      <c r="I45" s="26" t="s">
        <v>949</v>
      </c>
      <c r="J45" s="26">
        <v>170</v>
      </c>
      <c r="K45" s="26">
        <v>5100</v>
      </c>
      <c r="L45" s="26"/>
      <c r="M45" s="26" t="s">
        <v>142</v>
      </c>
      <c r="N45" s="26"/>
      <c r="O45" s="26" t="s">
        <v>913</v>
      </c>
    </row>
    <row r="46" spans="1:15" x14ac:dyDescent="0.3">
      <c r="A46" s="385">
        <v>43</v>
      </c>
      <c r="B46" s="31" t="s">
        <v>950</v>
      </c>
      <c r="C46" s="30">
        <v>45721</v>
      </c>
      <c r="D46" s="31" t="s">
        <v>775</v>
      </c>
      <c r="E46" s="31" t="s">
        <v>13</v>
      </c>
      <c r="F46" s="31" t="s">
        <v>44</v>
      </c>
      <c r="G46" s="32"/>
      <c r="H46" s="32"/>
      <c r="I46" s="32" t="s">
        <v>949</v>
      </c>
      <c r="J46" s="32">
        <v>170</v>
      </c>
      <c r="K46" s="32">
        <v>5100</v>
      </c>
      <c r="L46" s="32"/>
      <c r="M46" s="32" t="s">
        <v>951</v>
      </c>
      <c r="N46" s="32">
        <v>2500</v>
      </c>
      <c r="O46" s="32" t="s">
        <v>913</v>
      </c>
    </row>
    <row r="47" spans="1:15" x14ac:dyDescent="0.3">
      <c r="A47" s="385">
        <v>44</v>
      </c>
      <c r="B47" s="31"/>
      <c r="C47" s="30">
        <v>46031</v>
      </c>
      <c r="D47" s="31" t="s">
        <v>124</v>
      </c>
      <c r="E47" s="31" t="s">
        <v>13</v>
      </c>
      <c r="F47" s="31" t="s">
        <v>128</v>
      </c>
      <c r="G47" s="32"/>
      <c r="H47" s="32">
        <v>15700</v>
      </c>
      <c r="I47" s="32" t="s">
        <v>949</v>
      </c>
      <c r="J47" s="32">
        <v>170</v>
      </c>
      <c r="K47" s="32">
        <v>5100</v>
      </c>
      <c r="L47" s="32"/>
      <c r="M47" s="32" t="s">
        <v>951</v>
      </c>
      <c r="N47" s="32"/>
      <c r="O47" s="32" t="s">
        <v>913</v>
      </c>
    </row>
    <row r="48" spans="1:15" x14ac:dyDescent="0.3">
      <c r="A48" s="385">
        <v>45</v>
      </c>
      <c r="B48" s="31" t="s">
        <v>952</v>
      </c>
      <c r="C48" s="30">
        <v>45721</v>
      </c>
      <c r="D48" s="31" t="s">
        <v>124</v>
      </c>
      <c r="E48" s="31" t="s">
        <v>13</v>
      </c>
      <c r="F48" s="31" t="s">
        <v>44</v>
      </c>
      <c r="G48" s="32"/>
      <c r="H48" s="32"/>
      <c r="I48" s="32" t="s">
        <v>949</v>
      </c>
      <c r="J48" s="32">
        <v>170</v>
      </c>
      <c r="K48" s="32">
        <v>5100</v>
      </c>
      <c r="L48" s="32"/>
      <c r="M48" s="32" t="s">
        <v>951</v>
      </c>
      <c r="N48" s="32">
        <v>2500</v>
      </c>
      <c r="O48" s="32" t="s">
        <v>913</v>
      </c>
    </row>
    <row r="49" spans="1:15" x14ac:dyDescent="0.3">
      <c r="A49" s="385">
        <v>46</v>
      </c>
      <c r="B49" s="31" t="s">
        <v>953</v>
      </c>
      <c r="C49" s="30">
        <v>45721</v>
      </c>
      <c r="D49" s="31" t="s">
        <v>53</v>
      </c>
      <c r="E49" s="31" t="s">
        <v>13</v>
      </c>
      <c r="F49" s="31" t="s">
        <v>128</v>
      </c>
      <c r="G49" s="32"/>
      <c r="H49" s="32"/>
      <c r="I49" s="32" t="s">
        <v>949</v>
      </c>
      <c r="J49" s="32">
        <v>170</v>
      </c>
      <c r="K49" s="32">
        <v>5100</v>
      </c>
      <c r="L49" s="32"/>
      <c r="M49" s="32" t="s">
        <v>142</v>
      </c>
      <c r="N49" s="32"/>
      <c r="O49" s="32" t="s">
        <v>913</v>
      </c>
    </row>
    <row r="50" spans="1:15" ht="15" thickBot="1" x14ac:dyDescent="0.35">
      <c r="A50" s="385">
        <v>47</v>
      </c>
      <c r="B50" s="35"/>
      <c r="C50" s="34">
        <v>46060</v>
      </c>
      <c r="D50" s="35" t="s">
        <v>53</v>
      </c>
      <c r="E50" s="35" t="s">
        <v>13</v>
      </c>
      <c r="F50" s="35" t="s">
        <v>44</v>
      </c>
      <c r="G50" s="36">
        <v>15515</v>
      </c>
      <c r="H50" s="36">
        <v>21200</v>
      </c>
      <c r="I50" s="36" t="s">
        <v>949</v>
      </c>
      <c r="J50" s="36">
        <v>170</v>
      </c>
      <c r="K50" s="36">
        <v>5100</v>
      </c>
      <c r="L50" s="36"/>
      <c r="M50" s="36" t="s">
        <v>951</v>
      </c>
      <c r="N50" s="36">
        <v>2500</v>
      </c>
      <c r="O50" s="37" t="s">
        <v>913</v>
      </c>
    </row>
    <row r="51" spans="1:15" x14ac:dyDescent="0.3">
      <c r="A51" s="387">
        <v>48</v>
      </c>
      <c r="B51" s="31" t="s">
        <v>954</v>
      </c>
      <c r="C51" s="30">
        <v>45721</v>
      </c>
      <c r="D51" s="31" t="s">
        <v>775</v>
      </c>
      <c r="E51" s="31" t="s">
        <v>877</v>
      </c>
      <c r="F51" s="31" t="s">
        <v>128</v>
      </c>
      <c r="G51" s="32"/>
      <c r="H51" s="32"/>
      <c r="I51" s="32" t="s">
        <v>933</v>
      </c>
      <c r="J51" s="32">
        <v>170</v>
      </c>
      <c r="K51" s="32">
        <v>4000</v>
      </c>
      <c r="L51" s="32">
        <v>1200</v>
      </c>
      <c r="M51" s="32"/>
      <c r="N51" s="32"/>
      <c r="O51" s="33"/>
    </row>
    <row r="52" spans="1:15" x14ac:dyDescent="0.3">
      <c r="A52" s="385">
        <v>49</v>
      </c>
      <c r="B52" s="31" t="s">
        <v>955</v>
      </c>
      <c r="C52" s="30">
        <v>45721</v>
      </c>
      <c r="D52" s="31" t="s">
        <v>775</v>
      </c>
      <c r="E52" s="31" t="s">
        <v>877</v>
      </c>
      <c r="F52" s="31" t="s">
        <v>44</v>
      </c>
      <c r="G52" s="32"/>
      <c r="H52" s="32"/>
      <c r="I52" s="32" t="s">
        <v>933</v>
      </c>
      <c r="J52" s="32">
        <v>170</v>
      </c>
      <c r="K52" s="32">
        <v>4000</v>
      </c>
      <c r="L52" s="32">
        <v>1200</v>
      </c>
      <c r="M52" s="32"/>
      <c r="N52" s="32">
        <v>2500</v>
      </c>
      <c r="O52" s="33"/>
    </row>
    <row r="53" spans="1:15" x14ac:dyDescent="0.3">
      <c r="A53" s="385">
        <v>50</v>
      </c>
      <c r="B53" s="31" t="s">
        <v>956</v>
      </c>
      <c r="C53" s="30">
        <v>45721</v>
      </c>
      <c r="D53" s="31" t="s">
        <v>124</v>
      </c>
      <c r="E53" s="31" t="s">
        <v>877</v>
      </c>
      <c r="F53" s="31" t="s">
        <v>128</v>
      </c>
      <c r="G53" s="32"/>
      <c r="H53" s="32"/>
      <c r="I53" s="32" t="s">
        <v>933</v>
      </c>
      <c r="J53" s="32">
        <v>170</v>
      </c>
      <c r="K53" s="32">
        <v>4000</v>
      </c>
      <c r="L53" s="32">
        <v>1200</v>
      </c>
      <c r="M53" s="32"/>
      <c r="N53" s="32"/>
      <c r="O53" s="33"/>
    </row>
    <row r="54" spans="1:15" x14ac:dyDescent="0.3">
      <c r="A54" s="385">
        <v>51</v>
      </c>
      <c r="B54" s="31" t="s">
        <v>957</v>
      </c>
      <c r="C54" s="30">
        <v>45721</v>
      </c>
      <c r="D54" s="31" t="s">
        <v>124</v>
      </c>
      <c r="E54" s="31" t="s">
        <v>877</v>
      </c>
      <c r="F54" s="31" t="s">
        <v>44</v>
      </c>
      <c r="G54" s="32">
        <v>24500</v>
      </c>
      <c r="H54" s="32">
        <v>38500</v>
      </c>
      <c r="I54" s="32" t="s">
        <v>933</v>
      </c>
      <c r="J54" s="32">
        <v>170</v>
      </c>
      <c r="K54" s="32">
        <v>4000</v>
      </c>
      <c r="L54" s="32">
        <v>1200</v>
      </c>
      <c r="M54" s="32"/>
      <c r="N54" s="32">
        <v>2500</v>
      </c>
      <c r="O54" s="33"/>
    </row>
    <row r="55" spans="1:15" x14ac:dyDescent="0.3">
      <c r="A55" s="385">
        <v>52</v>
      </c>
      <c r="B55" s="31" t="s">
        <v>958</v>
      </c>
      <c r="C55" s="30">
        <v>45721</v>
      </c>
      <c r="D55" s="31" t="s">
        <v>53</v>
      </c>
      <c r="E55" s="31" t="s">
        <v>877</v>
      </c>
      <c r="F55" s="31" t="s">
        <v>128</v>
      </c>
      <c r="G55" s="32">
        <v>10222</v>
      </c>
      <c r="H55" s="32">
        <v>16608</v>
      </c>
      <c r="I55" s="32" t="s">
        <v>933</v>
      </c>
      <c r="J55" s="32">
        <v>170</v>
      </c>
      <c r="K55" s="32">
        <v>4000</v>
      </c>
      <c r="L55" s="32">
        <v>1200</v>
      </c>
      <c r="M55" s="32"/>
      <c r="N55" s="32"/>
      <c r="O55" s="33"/>
    </row>
    <row r="56" spans="1:15" ht="15" thickBot="1" x14ac:dyDescent="0.35">
      <c r="A56" s="385">
        <v>53</v>
      </c>
      <c r="B56" s="35" t="s">
        <v>959</v>
      </c>
      <c r="C56" s="34">
        <v>45721</v>
      </c>
      <c r="D56" s="35" t="s">
        <v>53</v>
      </c>
      <c r="E56" s="35" t="s">
        <v>877</v>
      </c>
      <c r="F56" s="35" t="s">
        <v>44</v>
      </c>
      <c r="G56" s="36">
        <v>15000</v>
      </c>
      <c r="H56" s="36">
        <v>22470</v>
      </c>
      <c r="I56" s="36" t="s">
        <v>933</v>
      </c>
      <c r="J56" s="36">
        <v>170</v>
      </c>
      <c r="K56" s="36">
        <v>4000</v>
      </c>
      <c r="L56" s="36">
        <v>1200</v>
      </c>
      <c r="M56" s="36"/>
      <c r="N56" s="36">
        <v>2500</v>
      </c>
      <c r="O56" s="37"/>
    </row>
    <row r="57" spans="1:15" x14ac:dyDescent="0.3">
      <c r="A57" s="387">
        <v>54</v>
      </c>
      <c r="B57" s="31" t="s">
        <v>960</v>
      </c>
      <c r="C57" s="30">
        <v>45735</v>
      </c>
      <c r="D57" s="31" t="s">
        <v>775</v>
      </c>
      <c r="E57" s="31" t="s">
        <v>19</v>
      </c>
      <c r="F57" s="31" t="s">
        <v>128</v>
      </c>
      <c r="G57" s="32">
        <v>9250</v>
      </c>
      <c r="H57" s="32">
        <v>14200</v>
      </c>
      <c r="I57" s="32" t="s">
        <v>911</v>
      </c>
      <c r="J57" s="32">
        <v>170</v>
      </c>
      <c r="K57" s="32">
        <v>5000</v>
      </c>
      <c r="L57" s="32"/>
      <c r="M57" s="32" t="s">
        <v>943</v>
      </c>
      <c r="N57" s="32"/>
      <c r="O57" s="33" t="s">
        <v>913</v>
      </c>
    </row>
    <row r="58" spans="1:15" x14ac:dyDescent="0.3">
      <c r="A58" s="385">
        <v>55</v>
      </c>
      <c r="B58" s="31" t="s">
        <v>961</v>
      </c>
      <c r="C58" s="30">
        <v>45735</v>
      </c>
      <c r="D58" s="31" t="s">
        <v>775</v>
      </c>
      <c r="E58" s="31" t="s">
        <v>19</v>
      </c>
      <c r="F58" s="31" t="s">
        <v>44</v>
      </c>
      <c r="G58" s="32">
        <v>17000</v>
      </c>
      <c r="H58" s="32">
        <v>26000</v>
      </c>
      <c r="I58" s="32" t="s">
        <v>911</v>
      </c>
      <c r="J58" s="32">
        <v>170</v>
      </c>
      <c r="K58" s="32">
        <v>5000</v>
      </c>
      <c r="L58" s="32"/>
      <c r="M58" s="32" t="s">
        <v>943</v>
      </c>
      <c r="N58" s="32">
        <v>2500</v>
      </c>
      <c r="O58" s="33" t="s">
        <v>913</v>
      </c>
    </row>
    <row r="59" spans="1:15" x14ac:dyDescent="0.3">
      <c r="A59" s="385">
        <v>56</v>
      </c>
      <c r="B59" s="31" t="s">
        <v>962</v>
      </c>
      <c r="C59" s="30">
        <v>45735</v>
      </c>
      <c r="D59" s="31" t="s">
        <v>124</v>
      </c>
      <c r="E59" s="31" t="s">
        <v>19</v>
      </c>
      <c r="F59" s="31" t="s">
        <v>128</v>
      </c>
      <c r="G59" s="32">
        <v>12650</v>
      </c>
      <c r="H59" s="32">
        <v>19767</v>
      </c>
      <c r="I59" s="32" t="s">
        <v>911</v>
      </c>
      <c r="J59" s="32">
        <v>170</v>
      </c>
      <c r="K59" s="32">
        <v>5000</v>
      </c>
      <c r="L59" s="32"/>
      <c r="M59" s="32" t="s">
        <v>943</v>
      </c>
      <c r="N59" s="32"/>
      <c r="O59" s="33" t="s">
        <v>913</v>
      </c>
    </row>
    <row r="60" spans="1:15" x14ac:dyDescent="0.3">
      <c r="A60" s="385">
        <v>57</v>
      </c>
      <c r="B60" s="31" t="s">
        <v>963</v>
      </c>
      <c r="C60" s="30">
        <v>45735</v>
      </c>
      <c r="D60" s="31" t="s">
        <v>124</v>
      </c>
      <c r="E60" s="31" t="s">
        <v>19</v>
      </c>
      <c r="F60" s="31" t="s">
        <v>44</v>
      </c>
      <c r="G60" s="32">
        <v>28462</v>
      </c>
      <c r="H60" s="32">
        <v>44476</v>
      </c>
      <c r="I60" s="32" t="s">
        <v>911</v>
      </c>
      <c r="J60" s="32">
        <v>170</v>
      </c>
      <c r="K60" s="32">
        <v>5000</v>
      </c>
      <c r="L60" s="32"/>
      <c r="M60" s="32" t="s">
        <v>943</v>
      </c>
      <c r="N60" s="32">
        <v>2500</v>
      </c>
      <c r="O60" s="33" t="s">
        <v>913</v>
      </c>
    </row>
    <row r="61" spans="1:15" x14ac:dyDescent="0.3">
      <c r="A61" s="385">
        <v>58</v>
      </c>
      <c r="B61" s="31" t="s">
        <v>964</v>
      </c>
      <c r="C61" s="30">
        <v>45735</v>
      </c>
      <c r="D61" s="31" t="s">
        <v>53</v>
      </c>
      <c r="E61" s="31" t="s">
        <v>19</v>
      </c>
      <c r="F61" s="31" t="s">
        <v>128</v>
      </c>
      <c r="G61" s="32">
        <v>10968</v>
      </c>
      <c r="H61" s="32">
        <v>17655</v>
      </c>
      <c r="I61" s="32" t="s">
        <v>911</v>
      </c>
      <c r="J61" s="32">
        <v>170</v>
      </c>
      <c r="K61" s="32">
        <v>5000</v>
      </c>
      <c r="L61" s="32"/>
      <c r="M61" s="32" t="s">
        <v>943</v>
      </c>
      <c r="N61" s="32"/>
      <c r="O61" s="33" t="s">
        <v>913</v>
      </c>
    </row>
    <row r="62" spans="1:15" ht="15" thickBot="1" x14ac:dyDescent="0.35">
      <c r="A62" s="385">
        <v>59</v>
      </c>
      <c r="B62" s="35" t="s">
        <v>965</v>
      </c>
      <c r="C62" s="34">
        <v>45735</v>
      </c>
      <c r="D62" s="35" t="s">
        <v>53</v>
      </c>
      <c r="E62" s="35" t="s">
        <v>19</v>
      </c>
      <c r="F62" s="35" t="s">
        <v>44</v>
      </c>
      <c r="G62" s="36">
        <v>13108</v>
      </c>
      <c r="H62" s="36">
        <v>21935</v>
      </c>
      <c r="I62" s="36" t="s">
        <v>911</v>
      </c>
      <c r="J62" s="36">
        <v>170</v>
      </c>
      <c r="K62" s="36">
        <v>5000</v>
      </c>
      <c r="L62" s="36"/>
      <c r="M62" s="36" t="s">
        <v>943</v>
      </c>
      <c r="N62" s="36">
        <v>2500</v>
      </c>
      <c r="O62" s="37" t="s">
        <v>913</v>
      </c>
    </row>
    <row r="63" spans="1:15" x14ac:dyDescent="0.3">
      <c r="A63" s="387">
        <v>60</v>
      </c>
      <c r="B63" s="31" t="s">
        <v>966</v>
      </c>
      <c r="C63" s="30">
        <v>45736</v>
      </c>
      <c r="D63" s="31" t="s">
        <v>775</v>
      </c>
      <c r="E63" s="31" t="s">
        <v>847</v>
      </c>
      <c r="F63" s="31" t="s">
        <v>128</v>
      </c>
      <c r="G63" s="32">
        <v>11500</v>
      </c>
      <c r="H63" s="32">
        <v>17000</v>
      </c>
      <c r="I63" s="32">
        <v>400</v>
      </c>
      <c r="J63" s="32">
        <v>170</v>
      </c>
      <c r="K63" s="32">
        <v>4500</v>
      </c>
      <c r="L63" s="32"/>
      <c r="M63" s="32" t="s">
        <v>943</v>
      </c>
      <c r="N63" s="32"/>
      <c r="O63" s="33" t="s">
        <v>913</v>
      </c>
    </row>
    <row r="64" spans="1:15" x14ac:dyDescent="0.3">
      <c r="A64" s="385">
        <v>61</v>
      </c>
      <c r="B64" s="31" t="s">
        <v>967</v>
      </c>
      <c r="C64" s="30">
        <v>45736</v>
      </c>
      <c r="D64" s="31" t="s">
        <v>775</v>
      </c>
      <c r="E64" s="31" t="s">
        <v>847</v>
      </c>
      <c r="F64" s="31" t="s">
        <v>44</v>
      </c>
      <c r="G64" s="32">
        <v>20500</v>
      </c>
      <c r="H64" s="32">
        <v>30000</v>
      </c>
      <c r="I64" s="32">
        <v>400</v>
      </c>
      <c r="J64" s="32">
        <v>170</v>
      </c>
      <c r="K64" s="32">
        <v>4500</v>
      </c>
      <c r="L64" s="32"/>
      <c r="M64" s="32" t="s">
        <v>943</v>
      </c>
      <c r="N64" s="32">
        <v>2500</v>
      </c>
      <c r="O64" s="33" t="s">
        <v>913</v>
      </c>
    </row>
    <row r="65" spans="1:15" x14ac:dyDescent="0.3">
      <c r="A65" s="385">
        <v>62</v>
      </c>
      <c r="B65" s="31" t="s">
        <v>968</v>
      </c>
      <c r="C65" s="30">
        <v>45736</v>
      </c>
      <c r="D65" s="31" t="s">
        <v>124</v>
      </c>
      <c r="E65" s="31" t="s">
        <v>847</v>
      </c>
      <c r="F65" s="31" t="s">
        <v>128</v>
      </c>
      <c r="G65" s="32"/>
      <c r="H65" s="32"/>
      <c r="I65" s="32">
        <v>400</v>
      </c>
      <c r="J65" s="32">
        <v>170</v>
      </c>
      <c r="K65" s="32">
        <v>4500</v>
      </c>
      <c r="L65" s="32"/>
      <c r="M65" s="32" t="s">
        <v>943</v>
      </c>
      <c r="N65" s="32"/>
      <c r="O65" s="33" t="s">
        <v>913</v>
      </c>
    </row>
    <row r="66" spans="1:15" x14ac:dyDescent="0.3">
      <c r="A66" s="385">
        <v>63</v>
      </c>
      <c r="B66" s="31" t="s">
        <v>969</v>
      </c>
      <c r="C66" s="30">
        <v>45736</v>
      </c>
      <c r="D66" s="31" t="s">
        <v>124</v>
      </c>
      <c r="E66" s="31" t="s">
        <v>847</v>
      </c>
      <c r="F66" s="31" t="s">
        <v>44</v>
      </c>
      <c r="G66" s="32"/>
      <c r="H66" s="32"/>
      <c r="I66" s="32">
        <v>400</v>
      </c>
      <c r="J66" s="32">
        <v>170</v>
      </c>
      <c r="K66" s="32">
        <v>4500</v>
      </c>
      <c r="L66" s="32"/>
      <c r="M66" s="32" t="s">
        <v>943</v>
      </c>
      <c r="N66" s="32">
        <v>2500</v>
      </c>
      <c r="O66" s="33" t="s">
        <v>913</v>
      </c>
    </row>
    <row r="67" spans="1:15" x14ac:dyDescent="0.3">
      <c r="A67" s="385">
        <v>64</v>
      </c>
      <c r="B67" s="31"/>
      <c r="C67" s="30">
        <v>45884</v>
      </c>
      <c r="D67" s="31" t="s">
        <v>53</v>
      </c>
      <c r="E67" s="31" t="s">
        <v>847</v>
      </c>
      <c r="F67" s="31" t="s">
        <v>128</v>
      </c>
      <c r="G67" s="32">
        <v>12500</v>
      </c>
      <c r="H67" s="32"/>
      <c r="I67" s="32">
        <v>400</v>
      </c>
      <c r="J67" s="32">
        <v>170</v>
      </c>
      <c r="K67" s="32">
        <v>4500</v>
      </c>
      <c r="L67" s="32"/>
      <c r="M67" s="32" t="s">
        <v>943</v>
      </c>
      <c r="N67" s="32"/>
      <c r="O67" s="33"/>
    </row>
    <row r="68" spans="1:15" ht="15" thickBot="1" x14ac:dyDescent="0.35">
      <c r="A68" s="385">
        <v>65</v>
      </c>
      <c r="B68" s="35" t="s">
        <v>970</v>
      </c>
      <c r="C68" s="34">
        <v>45736</v>
      </c>
      <c r="D68" s="35" t="s">
        <v>53</v>
      </c>
      <c r="E68" s="35" t="s">
        <v>847</v>
      </c>
      <c r="F68" s="35" t="s">
        <v>44</v>
      </c>
      <c r="G68" s="36"/>
      <c r="H68" s="36"/>
      <c r="I68" s="36">
        <v>400</v>
      </c>
      <c r="J68" s="36">
        <v>170</v>
      </c>
      <c r="K68" s="36">
        <v>4500</v>
      </c>
      <c r="L68" s="36"/>
      <c r="M68" s="36" t="s">
        <v>943</v>
      </c>
      <c r="N68" s="36">
        <v>2500</v>
      </c>
      <c r="O68" s="37" t="s">
        <v>913</v>
      </c>
    </row>
    <row r="69" spans="1:15" x14ac:dyDescent="0.3">
      <c r="A69" s="387">
        <v>66</v>
      </c>
      <c r="B69" s="31"/>
      <c r="C69" s="30">
        <v>45883</v>
      </c>
      <c r="D69" s="31" t="s">
        <v>53</v>
      </c>
      <c r="E69" s="31" t="s">
        <v>876</v>
      </c>
      <c r="F69" s="31" t="s">
        <v>128</v>
      </c>
      <c r="G69" s="32">
        <v>13500</v>
      </c>
      <c r="H69" s="32">
        <v>18500</v>
      </c>
      <c r="I69" s="32" t="s">
        <v>911</v>
      </c>
      <c r="J69" s="22">
        <v>170</v>
      </c>
      <c r="K69" s="22">
        <v>4500</v>
      </c>
      <c r="L69" s="22">
        <v>3500</v>
      </c>
      <c r="M69" s="22" t="s">
        <v>911</v>
      </c>
      <c r="N69" s="382"/>
      <c r="O69" s="382"/>
    </row>
    <row r="70" spans="1:15" ht="15" thickBot="1" x14ac:dyDescent="0.35">
      <c r="A70" s="385">
        <v>67</v>
      </c>
      <c r="B70" s="35" t="s">
        <v>971</v>
      </c>
      <c r="C70" s="34">
        <v>45890</v>
      </c>
      <c r="D70" s="35" t="s">
        <v>53</v>
      </c>
      <c r="E70" s="35" t="s">
        <v>876</v>
      </c>
      <c r="F70" s="35" t="s">
        <v>44</v>
      </c>
      <c r="G70" s="36">
        <v>18500</v>
      </c>
      <c r="H70" s="36"/>
      <c r="I70" s="36" t="s">
        <v>911</v>
      </c>
      <c r="J70" s="36">
        <v>170</v>
      </c>
      <c r="K70" s="36">
        <v>4500</v>
      </c>
      <c r="L70" s="36">
        <v>3500</v>
      </c>
      <c r="M70" s="36"/>
      <c r="N70" s="36">
        <v>2500</v>
      </c>
      <c r="O70" s="37"/>
    </row>
    <row r="71" spans="1:15" x14ac:dyDescent="0.3">
      <c r="A71" s="421">
        <v>68</v>
      </c>
      <c r="B71" s="29"/>
      <c r="C71" s="30">
        <v>45922</v>
      </c>
      <c r="D71" s="31" t="s">
        <v>775</v>
      </c>
      <c r="E71" s="31" t="s">
        <v>803</v>
      </c>
      <c r="F71" s="31" t="s">
        <v>44</v>
      </c>
      <c r="G71" s="422"/>
      <c r="H71" s="422">
        <v>25500</v>
      </c>
      <c r="I71" s="422">
        <v>700</v>
      </c>
      <c r="J71" s="422">
        <v>170</v>
      </c>
      <c r="K71" s="422">
        <v>5000</v>
      </c>
      <c r="L71" s="422"/>
      <c r="M71" s="422"/>
      <c r="N71" s="422">
        <v>3500</v>
      </c>
      <c r="O71" s="422"/>
    </row>
    <row r="72" spans="1:15" x14ac:dyDescent="0.3">
      <c r="A72" s="385">
        <v>69</v>
      </c>
      <c r="B72" s="29"/>
      <c r="C72" s="30">
        <v>45924</v>
      </c>
      <c r="D72" s="31" t="s">
        <v>53</v>
      </c>
      <c r="E72" s="31" t="s">
        <v>809</v>
      </c>
      <c r="F72" s="31" t="s">
        <v>128</v>
      </c>
      <c r="G72" s="422">
        <v>11300</v>
      </c>
      <c r="H72" s="422">
        <v>18300</v>
      </c>
      <c r="I72" s="422" t="s">
        <v>911</v>
      </c>
      <c r="J72" s="422">
        <v>170</v>
      </c>
      <c r="K72" s="422">
        <v>4500</v>
      </c>
      <c r="L72" s="422">
        <v>4500</v>
      </c>
      <c r="M72" s="422">
        <f>50+150+200</f>
        <v>400</v>
      </c>
      <c r="N72" s="422"/>
      <c r="O72" s="422"/>
    </row>
    <row r="73" spans="1:15" ht="15" thickBot="1" x14ac:dyDescent="0.35">
      <c r="A73" s="385">
        <v>70</v>
      </c>
      <c r="B73" s="35"/>
      <c r="C73" s="34">
        <v>45924</v>
      </c>
      <c r="D73" s="35" t="s">
        <v>53</v>
      </c>
      <c r="E73" s="35" t="s">
        <v>809</v>
      </c>
      <c r="F73" s="35" t="s">
        <v>44</v>
      </c>
      <c r="G73" s="36">
        <v>13100</v>
      </c>
      <c r="H73" s="36">
        <v>21100</v>
      </c>
      <c r="I73" s="36" t="s">
        <v>911</v>
      </c>
      <c r="J73" s="36">
        <v>170</v>
      </c>
      <c r="K73" s="36">
        <v>4500</v>
      </c>
      <c r="L73" s="36">
        <v>4500</v>
      </c>
      <c r="M73" s="36">
        <f>50+150+200</f>
        <v>400</v>
      </c>
      <c r="N73" s="36">
        <v>2500</v>
      </c>
      <c r="O73" s="37"/>
    </row>
    <row r="74" spans="1:15" x14ac:dyDescent="0.3">
      <c r="A74" s="387">
        <v>71</v>
      </c>
      <c r="B74" s="29"/>
      <c r="C74" s="30">
        <v>45973</v>
      </c>
      <c r="D74" s="31" t="s">
        <v>775</v>
      </c>
      <c r="E74" s="31" t="s">
        <v>349</v>
      </c>
      <c r="F74" s="31" t="s">
        <v>44</v>
      </c>
      <c r="G74" s="422">
        <v>18000</v>
      </c>
      <c r="H74" s="422">
        <v>27000</v>
      </c>
      <c r="I74" s="422" t="s">
        <v>972</v>
      </c>
      <c r="J74" s="422">
        <v>170</v>
      </c>
      <c r="K74" s="422">
        <v>5500</v>
      </c>
      <c r="L74" s="422"/>
      <c r="M74" s="422"/>
      <c r="N74" s="422">
        <v>2500</v>
      </c>
      <c r="O74" s="422"/>
    </row>
    <row r="75" spans="1:15" x14ac:dyDescent="0.3">
      <c r="A75" s="385">
        <v>72</v>
      </c>
      <c r="B75" s="29"/>
      <c r="C75" s="30">
        <v>45973</v>
      </c>
      <c r="D75" s="31" t="s">
        <v>775</v>
      </c>
      <c r="E75" s="31" t="s">
        <v>349</v>
      </c>
      <c r="F75" s="31" t="s">
        <v>128</v>
      </c>
      <c r="G75" s="422">
        <v>9000</v>
      </c>
      <c r="H75" s="422">
        <v>13500</v>
      </c>
      <c r="I75" s="422" t="s">
        <v>972</v>
      </c>
      <c r="J75" s="422">
        <v>170</v>
      </c>
      <c r="K75" s="422">
        <v>5500</v>
      </c>
      <c r="L75" s="422"/>
      <c r="M75" s="422"/>
      <c r="N75" s="422"/>
      <c r="O75" s="422"/>
    </row>
    <row r="76" spans="1:15" x14ac:dyDescent="0.3">
      <c r="A76" s="421">
        <v>73</v>
      </c>
      <c r="B76" s="29"/>
      <c r="C76" s="30">
        <v>45973</v>
      </c>
      <c r="D76" s="31" t="s">
        <v>124</v>
      </c>
      <c r="E76" s="31" t="s">
        <v>349</v>
      </c>
      <c r="F76" s="31" t="s">
        <v>44</v>
      </c>
      <c r="G76" s="422">
        <v>29000</v>
      </c>
      <c r="H76" s="422">
        <v>43450</v>
      </c>
      <c r="I76" s="422" t="s">
        <v>972</v>
      </c>
      <c r="J76" s="422">
        <v>170</v>
      </c>
      <c r="K76" s="422">
        <v>5500</v>
      </c>
      <c r="L76" s="422"/>
      <c r="M76" s="422"/>
      <c r="N76" s="422">
        <v>2500</v>
      </c>
      <c r="O76" s="422"/>
    </row>
    <row r="77" spans="1:15" x14ac:dyDescent="0.3">
      <c r="A77" s="421">
        <v>74</v>
      </c>
      <c r="B77" s="29"/>
      <c r="C77" s="30">
        <v>45973</v>
      </c>
      <c r="D77" s="31" t="s">
        <v>124</v>
      </c>
      <c r="E77" s="31" t="s">
        <v>349</v>
      </c>
      <c r="F77" s="31" t="s">
        <v>128</v>
      </c>
      <c r="G77" s="422">
        <v>11900</v>
      </c>
      <c r="H77" s="422">
        <v>17800</v>
      </c>
      <c r="I77" s="422" t="s">
        <v>972</v>
      </c>
      <c r="J77" s="422">
        <v>170</v>
      </c>
      <c r="K77" s="422">
        <v>5500</v>
      </c>
      <c r="L77" s="422"/>
      <c r="M77" s="422"/>
      <c r="N77" s="422"/>
      <c r="O77" s="422"/>
    </row>
    <row r="78" spans="1:15" x14ac:dyDescent="0.3">
      <c r="A78" s="385">
        <v>75</v>
      </c>
      <c r="B78" s="29"/>
      <c r="C78" s="30">
        <v>45973</v>
      </c>
      <c r="D78" s="31" t="s">
        <v>53</v>
      </c>
      <c r="E78" s="31" t="s">
        <v>349</v>
      </c>
      <c r="F78" s="31" t="s">
        <v>44</v>
      </c>
      <c r="G78" s="422">
        <v>13700</v>
      </c>
      <c r="H78" s="422">
        <v>21250</v>
      </c>
      <c r="I78" s="422" t="s">
        <v>972</v>
      </c>
      <c r="J78" s="422">
        <v>170</v>
      </c>
      <c r="K78" s="422">
        <v>5500</v>
      </c>
      <c r="L78" s="422"/>
      <c r="M78" s="422"/>
      <c r="N78" s="422">
        <v>2500</v>
      </c>
      <c r="O78" s="422"/>
    </row>
    <row r="79" spans="1:15" ht="15" thickBot="1" x14ac:dyDescent="0.35">
      <c r="A79" s="385">
        <v>76</v>
      </c>
      <c r="B79" s="35"/>
      <c r="C79" s="34">
        <v>45973</v>
      </c>
      <c r="D79" s="35" t="s">
        <v>53</v>
      </c>
      <c r="E79" s="35" t="s">
        <v>349</v>
      </c>
      <c r="F79" s="35" t="s">
        <v>128</v>
      </c>
      <c r="G79" s="36">
        <v>10000</v>
      </c>
      <c r="H79" s="36">
        <v>15900</v>
      </c>
      <c r="I79" s="36" t="s">
        <v>972</v>
      </c>
      <c r="J79" s="36">
        <v>170</v>
      </c>
      <c r="K79" s="36">
        <v>5500</v>
      </c>
      <c r="L79" s="36"/>
      <c r="M79" s="36"/>
      <c r="N79" s="36"/>
      <c r="O79" s="37"/>
    </row>
    <row r="80" spans="1:15" x14ac:dyDescent="0.3">
      <c r="A80" s="387">
        <v>77</v>
      </c>
      <c r="B80" s="29"/>
      <c r="C80" s="30">
        <v>45975</v>
      </c>
      <c r="D80" s="31" t="s">
        <v>53</v>
      </c>
      <c r="E80" s="31" t="s">
        <v>878</v>
      </c>
      <c r="F80" s="31" t="s">
        <v>128</v>
      </c>
      <c r="G80" s="422">
        <v>15500</v>
      </c>
      <c r="H80" s="422">
        <v>22500</v>
      </c>
      <c r="I80" s="422" t="s">
        <v>911</v>
      </c>
      <c r="J80" s="422">
        <v>170</v>
      </c>
      <c r="K80" s="422">
        <v>4500</v>
      </c>
      <c r="L80" s="422">
        <v>3000</v>
      </c>
      <c r="M80" s="422" t="s">
        <v>911</v>
      </c>
      <c r="N80" s="422"/>
      <c r="O80" s="422"/>
    </row>
    <row r="81" spans="1:15" x14ac:dyDescent="0.3">
      <c r="A81" s="385">
        <v>78</v>
      </c>
      <c r="B81" s="637"/>
      <c r="C81" s="638">
        <v>45986</v>
      </c>
      <c r="D81" s="639" t="s">
        <v>53</v>
      </c>
      <c r="E81" s="639" t="s">
        <v>14</v>
      </c>
      <c r="F81" s="639" t="s">
        <v>128</v>
      </c>
      <c r="G81" s="422">
        <v>11400</v>
      </c>
      <c r="H81" s="382">
        <v>17900</v>
      </c>
      <c r="I81" s="422" t="s">
        <v>933</v>
      </c>
      <c r="J81" s="382">
        <v>170</v>
      </c>
      <c r="K81" s="382">
        <v>4500</v>
      </c>
      <c r="L81" s="382"/>
      <c r="M81" s="382" t="s">
        <v>911</v>
      </c>
      <c r="N81" s="382"/>
      <c r="O81" s="382"/>
    </row>
    <row r="82" spans="1:15" ht="15" thickBot="1" x14ac:dyDescent="0.35">
      <c r="A82" s="385">
        <v>79</v>
      </c>
      <c r="B82" s="35"/>
      <c r="C82" s="34">
        <v>45986</v>
      </c>
      <c r="D82" s="35" t="s">
        <v>53</v>
      </c>
      <c r="E82" s="35" t="s">
        <v>14</v>
      </c>
      <c r="F82" s="35" t="s">
        <v>44</v>
      </c>
      <c r="G82" s="36">
        <v>14500</v>
      </c>
      <c r="H82" s="36">
        <v>22500</v>
      </c>
      <c r="I82" s="36" t="s">
        <v>933</v>
      </c>
      <c r="J82" s="36">
        <v>170</v>
      </c>
      <c r="K82" s="36">
        <v>4500</v>
      </c>
      <c r="L82" s="36"/>
      <c r="M82" s="36" t="s">
        <v>911</v>
      </c>
      <c r="N82" s="36">
        <v>3000</v>
      </c>
      <c r="O82" s="37"/>
    </row>
    <row r="83" spans="1:15" x14ac:dyDescent="0.3">
      <c r="A83" s="387">
        <v>80</v>
      </c>
      <c r="B83" s="29"/>
      <c r="C83" s="30">
        <v>46006</v>
      </c>
      <c r="D83" s="31" t="s">
        <v>775</v>
      </c>
      <c r="E83" s="31" t="s">
        <v>1137</v>
      </c>
      <c r="F83" s="31" t="s">
        <v>128</v>
      </c>
      <c r="G83" s="422">
        <v>13500</v>
      </c>
      <c r="H83" s="422"/>
      <c r="I83" s="422">
        <v>750</v>
      </c>
      <c r="J83" s="422">
        <v>170</v>
      </c>
      <c r="K83" s="422">
        <v>5000</v>
      </c>
      <c r="L83" s="422"/>
      <c r="M83" s="422" t="s">
        <v>911</v>
      </c>
      <c r="N83" s="422"/>
      <c r="O83" s="422"/>
    </row>
    <row r="84" spans="1:15" x14ac:dyDescent="0.3">
      <c r="A84" s="636">
        <v>81</v>
      </c>
      <c r="B84" s="637"/>
      <c r="C84" s="638">
        <v>46006</v>
      </c>
      <c r="D84" s="639" t="s">
        <v>53</v>
      </c>
      <c r="E84" s="639" t="s">
        <v>1141</v>
      </c>
      <c r="F84" s="639" t="s">
        <v>128</v>
      </c>
      <c r="G84" s="422">
        <v>13000</v>
      </c>
      <c r="H84" s="382">
        <v>19500</v>
      </c>
      <c r="I84" s="422">
        <v>750</v>
      </c>
      <c r="J84" s="382">
        <v>170</v>
      </c>
      <c r="K84" s="382">
        <v>4500</v>
      </c>
      <c r="L84" s="382">
        <v>3000</v>
      </c>
      <c r="M84" s="382"/>
      <c r="N84" s="382"/>
      <c r="O84" s="382"/>
    </row>
    <row r="85" spans="1:15" x14ac:dyDescent="0.3">
      <c r="A85" s="636">
        <v>82</v>
      </c>
      <c r="B85" s="637"/>
      <c r="C85" s="638">
        <v>46006</v>
      </c>
      <c r="D85" s="639" t="s">
        <v>53</v>
      </c>
      <c r="E85" s="639" t="s">
        <v>1141</v>
      </c>
      <c r="F85" s="639" t="s">
        <v>44</v>
      </c>
      <c r="G85" s="422">
        <v>18500</v>
      </c>
      <c r="H85" s="382">
        <v>28000</v>
      </c>
      <c r="I85" s="422">
        <v>750</v>
      </c>
      <c r="J85" s="382">
        <v>170</v>
      </c>
      <c r="K85" s="382">
        <v>4500</v>
      </c>
      <c r="L85" s="382">
        <v>3000</v>
      </c>
      <c r="M85" s="382"/>
      <c r="N85" s="382">
        <v>2500</v>
      </c>
      <c r="O85" s="382"/>
    </row>
    <row r="86" spans="1:15" x14ac:dyDescent="0.3">
      <c r="A86" s="421"/>
      <c r="B86" s="29"/>
      <c r="C86" s="30">
        <v>46051</v>
      </c>
      <c r="D86" s="31" t="s">
        <v>53</v>
      </c>
      <c r="E86" s="31" t="s">
        <v>854</v>
      </c>
      <c r="F86" s="31" t="s">
        <v>44</v>
      </c>
      <c r="G86" s="422"/>
      <c r="H86" s="422">
        <v>15779</v>
      </c>
      <c r="I86" s="422" t="s">
        <v>911</v>
      </c>
      <c r="J86" s="422">
        <v>170</v>
      </c>
      <c r="K86" s="422">
        <v>4500</v>
      </c>
      <c r="L86" s="422"/>
      <c r="M86" s="422"/>
      <c r="N86" s="422">
        <v>3000</v>
      </c>
      <c r="O86" s="422"/>
    </row>
  </sheetData>
  <mergeCells count="1">
    <mergeCell ref="A1:B2"/>
  </mergeCells>
  <phoneticPr fontId="35" type="noConversion"/>
  <conditionalFormatting sqref="C3:F3 S3:V3 F6:F12 C6:D24 A3:A10">
    <cfRule type="expression" dxfId="515" priority="867">
      <formula>ISNUMBER(G)</formula>
    </cfRule>
  </conditionalFormatting>
  <conditionalFormatting sqref="B3">
    <cfRule type="expression" dxfId="514" priority="863">
      <formula>ISNUMBER(G)</formula>
    </cfRule>
  </conditionalFormatting>
  <conditionalFormatting sqref="S3 D3:D37 A4:A10">
    <cfRule type="cellIs" dxfId="513" priority="859" operator="equal">
      <formula>"LOSS"</formula>
    </cfRule>
    <cfRule type="cellIs" dxfId="512" priority="860" operator="equal">
      <formula>"INQUIRY ONLY"</formula>
    </cfRule>
  </conditionalFormatting>
  <conditionalFormatting sqref="C25:E25 C26:D26 D27:D37 E26:E38 F25:F37 B13:B37 D4:F5 B4:B5 B39:B49 D39:F49 D51:F55 B51:B55 B57:B61 D57:F61 D63:F67 B63:B67">
    <cfRule type="expression" dxfId="511" priority="736">
      <formula>ISNUMBER(G)</formula>
    </cfRule>
  </conditionalFormatting>
  <conditionalFormatting sqref="D39:D49 D51:D55 D57:D61 D63:D67 D69">
    <cfRule type="cellIs" dxfId="510" priority="734" operator="equal">
      <formula>"LOSS"</formula>
    </cfRule>
    <cfRule type="cellIs" dxfId="509" priority="735" operator="equal">
      <formula>"INQUIRY ONLY"</formula>
    </cfRule>
  </conditionalFormatting>
  <conditionalFormatting sqref="D25:E25 D26:D37 E26:E38 F25:F37 D4:F5 D39:F49 D51:F55 F50 D50 D57:F61 F56 D56 D63:F67 F62 D62 F68 D68 F6:F12 D6:D24 A4:A10">
    <cfRule type="expression" dxfId="508" priority="737">
      <formula>#REF!="COMPLETED"</formula>
    </cfRule>
  </conditionalFormatting>
  <conditionalFormatting sqref="D25:E25 D26:D37 E26:E38 F25:F37 D4:F5 D39:F49 D51:F55 F50 D50 D57:F61 F56 D56 D63:F67 F62 D62 F68 D68 F6:F12 D6:D24 A4:A10">
    <cfRule type="expression" dxfId="507" priority="738">
      <formula>#REF!="LOST"</formula>
    </cfRule>
    <cfRule type="expression" dxfId="506" priority="739">
      <formula>#REF!="COMPLETED"</formula>
    </cfRule>
  </conditionalFormatting>
  <conditionalFormatting sqref="C6:C26">
    <cfRule type="expression" dxfId="505" priority="740">
      <formula>#REF!="LOST"</formula>
    </cfRule>
    <cfRule type="expression" dxfId="504" priority="741">
      <formula>#REF!="COMPLETED"</formula>
    </cfRule>
    <cfRule type="expression" dxfId="503" priority="742">
      <formula>#REF!="COMPLETED"</formula>
    </cfRule>
  </conditionalFormatting>
  <conditionalFormatting sqref="D9">
    <cfRule type="expression" dxfId="502" priority="729">
      <formula>ISNUMBER(G)</formula>
    </cfRule>
  </conditionalFormatting>
  <conditionalFormatting sqref="D9">
    <cfRule type="cellIs" dxfId="501" priority="727" operator="equal">
      <formula>"LOSS"</formula>
    </cfRule>
    <cfRule type="cellIs" dxfId="500" priority="728" operator="equal">
      <formula>"INQUIRY ONLY"</formula>
    </cfRule>
  </conditionalFormatting>
  <conditionalFormatting sqref="D9">
    <cfRule type="expression" dxfId="499" priority="730">
      <formula>#REF!="COMPLETED"</formula>
    </cfRule>
  </conditionalFormatting>
  <conditionalFormatting sqref="D9">
    <cfRule type="expression" dxfId="498" priority="731">
      <formula>#REF!="LOST"</formula>
    </cfRule>
    <cfRule type="expression" dxfId="497" priority="732">
      <formula>#REF!="COMPLETED"</formula>
    </cfRule>
  </conditionalFormatting>
  <conditionalFormatting sqref="D10">
    <cfRule type="expression" dxfId="496" priority="722">
      <formula>ISNUMBER(G)</formula>
    </cfRule>
  </conditionalFormatting>
  <conditionalFormatting sqref="D10">
    <cfRule type="cellIs" dxfId="495" priority="720" operator="equal">
      <formula>"LOSS"</formula>
    </cfRule>
    <cfRule type="cellIs" dxfId="494" priority="721" operator="equal">
      <formula>"INQUIRY ONLY"</formula>
    </cfRule>
  </conditionalFormatting>
  <conditionalFormatting sqref="D10">
    <cfRule type="expression" dxfId="493" priority="723">
      <formula>#REF!="COMPLETED"</formula>
    </cfRule>
  </conditionalFormatting>
  <conditionalFormatting sqref="D10">
    <cfRule type="expression" dxfId="492" priority="724">
      <formula>#REF!="LOST"</formula>
    </cfRule>
    <cfRule type="expression" dxfId="491" priority="725">
      <formula>#REF!="COMPLETED"</formula>
    </cfRule>
  </conditionalFormatting>
  <conditionalFormatting sqref="D17">
    <cfRule type="expression" dxfId="490" priority="715">
      <formula>ISNUMBER(G)</formula>
    </cfRule>
  </conditionalFormatting>
  <conditionalFormatting sqref="D17">
    <cfRule type="cellIs" dxfId="489" priority="713" operator="equal">
      <formula>"LOSS"</formula>
    </cfRule>
    <cfRule type="cellIs" dxfId="488" priority="714" operator="equal">
      <formula>"INQUIRY ONLY"</formula>
    </cfRule>
  </conditionalFormatting>
  <conditionalFormatting sqref="D17">
    <cfRule type="expression" dxfId="487" priority="716">
      <formula>#REF!="COMPLETED"</formula>
    </cfRule>
  </conditionalFormatting>
  <conditionalFormatting sqref="D17">
    <cfRule type="expression" dxfId="486" priority="717">
      <formula>#REF!="LOST"</formula>
    </cfRule>
    <cfRule type="expression" dxfId="485" priority="718">
      <formula>#REF!="COMPLETED"</formula>
    </cfRule>
  </conditionalFormatting>
  <conditionalFormatting sqref="D18">
    <cfRule type="expression" dxfId="484" priority="708">
      <formula>ISNUMBER(G)</formula>
    </cfRule>
  </conditionalFormatting>
  <conditionalFormatting sqref="D18">
    <cfRule type="cellIs" dxfId="483" priority="706" operator="equal">
      <formula>"LOSS"</formula>
    </cfRule>
    <cfRule type="cellIs" dxfId="482" priority="707" operator="equal">
      <formula>"INQUIRY ONLY"</formula>
    </cfRule>
  </conditionalFormatting>
  <conditionalFormatting sqref="D18">
    <cfRule type="expression" dxfId="481" priority="709">
      <formula>#REF!="COMPLETED"</formula>
    </cfRule>
  </conditionalFormatting>
  <conditionalFormatting sqref="D18">
    <cfRule type="expression" dxfId="480" priority="710">
      <formula>#REF!="LOST"</formula>
    </cfRule>
    <cfRule type="expression" dxfId="479" priority="711">
      <formula>#REF!="COMPLETED"</formula>
    </cfRule>
  </conditionalFormatting>
  <conditionalFormatting sqref="D23">
    <cfRule type="expression" dxfId="478" priority="701">
      <formula>ISNUMBER(G)</formula>
    </cfRule>
  </conditionalFormatting>
  <conditionalFormatting sqref="D23">
    <cfRule type="cellIs" dxfId="477" priority="699" operator="equal">
      <formula>"LOSS"</formula>
    </cfRule>
    <cfRule type="cellIs" dxfId="476" priority="700" operator="equal">
      <formula>"INQUIRY ONLY"</formula>
    </cfRule>
  </conditionalFormatting>
  <conditionalFormatting sqref="D23">
    <cfRule type="expression" dxfId="475" priority="702">
      <formula>#REF!="COMPLETED"</formula>
    </cfRule>
  </conditionalFormatting>
  <conditionalFormatting sqref="D23">
    <cfRule type="expression" dxfId="474" priority="703">
      <formula>#REF!="LOST"</formula>
    </cfRule>
    <cfRule type="expression" dxfId="473" priority="704">
      <formula>#REF!="COMPLETED"</formula>
    </cfRule>
  </conditionalFormatting>
  <conditionalFormatting sqref="D24">
    <cfRule type="expression" dxfId="472" priority="694">
      <formula>ISNUMBER(G)</formula>
    </cfRule>
  </conditionalFormatting>
  <conditionalFormatting sqref="D24">
    <cfRule type="cellIs" dxfId="471" priority="692" operator="equal">
      <formula>"LOSS"</formula>
    </cfRule>
    <cfRule type="cellIs" dxfId="470" priority="693" operator="equal">
      <formula>"INQUIRY ONLY"</formula>
    </cfRule>
  </conditionalFormatting>
  <conditionalFormatting sqref="D24">
    <cfRule type="expression" dxfId="469" priority="695">
      <formula>#REF!="COMPLETED"</formula>
    </cfRule>
  </conditionalFormatting>
  <conditionalFormatting sqref="D24">
    <cfRule type="expression" dxfId="468" priority="696">
      <formula>#REF!="LOST"</formula>
    </cfRule>
    <cfRule type="expression" dxfId="467" priority="697">
      <formula>#REF!="COMPLETED"</formula>
    </cfRule>
  </conditionalFormatting>
  <conditionalFormatting sqref="D69:F69">
    <cfRule type="expression" dxfId="466" priority="687">
      <formula>ISNUMBER(G)</formula>
    </cfRule>
  </conditionalFormatting>
  <conditionalFormatting sqref="D69:F69">
    <cfRule type="expression" dxfId="465" priority="688">
      <formula>#REF!="COMPLETED"</formula>
    </cfRule>
  </conditionalFormatting>
  <conditionalFormatting sqref="D69:F69">
    <cfRule type="expression" dxfId="464" priority="689">
      <formula>#REF!="LOST"</formula>
    </cfRule>
    <cfRule type="expression" dxfId="463" priority="690">
      <formula>#REF!="COMPLETED"</formula>
    </cfRule>
  </conditionalFormatting>
  <conditionalFormatting sqref="B13:B37 B39:B49 B51:B55 B57:B61 B63:B67 B69">
    <cfRule type="cellIs" dxfId="462" priority="590" operator="equal">
      <formula>"LOSS"</formula>
    </cfRule>
    <cfRule type="cellIs" dxfId="461" priority="591" operator="equal">
      <formula>"INQUIRY ONLY"</formula>
    </cfRule>
  </conditionalFormatting>
  <conditionalFormatting sqref="B13:B37 B39:B49 B51:B55 B57:B61 B63:B67">
    <cfRule type="expression" dxfId="460" priority="592">
      <formula>#REF!="COMPLETED"</formula>
    </cfRule>
  </conditionalFormatting>
  <conditionalFormatting sqref="B13:B37 B39:B49 B51:B55 B57:B61 B63:B67">
    <cfRule type="expression" dxfId="459" priority="593">
      <formula>#REF!="LOST"</formula>
    </cfRule>
    <cfRule type="expression" dxfId="458" priority="594">
      <formula>#REF!="COMPLETED"</formula>
    </cfRule>
  </conditionalFormatting>
  <conditionalFormatting sqref="B17">
    <cfRule type="expression" dxfId="457" priority="586">
      <formula>ISNUMBER(G)</formula>
    </cfRule>
  </conditionalFormatting>
  <conditionalFormatting sqref="B17">
    <cfRule type="cellIs" dxfId="456" priority="584" operator="equal">
      <formula>"LOSS"</formula>
    </cfRule>
    <cfRule type="cellIs" dxfId="455" priority="585" operator="equal">
      <formula>"INQUIRY ONLY"</formula>
    </cfRule>
  </conditionalFormatting>
  <conditionalFormatting sqref="B17">
    <cfRule type="expression" dxfId="454" priority="587">
      <formula>#REF!="COMPLETED"</formula>
    </cfRule>
  </conditionalFormatting>
  <conditionalFormatting sqref="B17">
    <cfRule type="expression" dxfId="453" priority="588">
      <formula>#REF!="LOST"</formula>
    </cfRule>
    <cfRule type="expression" dxfId="452" priority="589">
      <formula>#REF!="COMPLETED"</formula>
    </cfRule>
  </conditionalFormatting>
  <conditionalFormatting sqref="B18">
    <cfRule type="expression" dxfId="451" priority="579">
      <formula>ISNUMBER(G)</formula>
    </cfRule>
  </conditionalFormatting>
  <conditionalFormatting sqref="B18">
    <cfRule type="cellIs" dxfId="450" priority="577" operator="equal">
      <formula>"LOSS"</formula>
    </cfRule>
    <cfRule type="cellIs" dxfId="449" priority="578" operator="equal">
      <formula>"INQUIRY ONLY"</formula>
    </cfRule>
  </conditionalFormatting>
  <conditionalFormatting sqref="B18">
    <cfRule type="expression" dxfId="448" priority="580">
      <formula>#REF!="COMPLETED"</formula>
    </cfRule>
  </conditionalFormatting>
  <conditionalFormatting sqref="B18">
    <cfRule type="expression" dxfId="447" priority="581">
      <formula>#REF!="LOST"</formula>
    </cfRule>
    <cfRule type="expression" dxfId="446" priority="582">
      <formula>#REF!="COMPLETED"</formula>
    </cfRule>
  </conditionalFormatting>
  <conditionalFormatting sqref="B23">
    <cfRule type="expression" dxfId="445" priority="572">
      <formula>ISNUMBER(G)</formula>
    </cfRule>
  </conditionalFormatting>
  <conditionalFormatting sqref="B23">
    <cfRule type="cellIs" dxfId="444" priority="570" operator="equal">
      <formula>"LOSS"</formula>
    </cfRule>
    <cfRule type="cellIs" dxfId="443" priority="571" operator="equal">
      <formula>"INQUIRY ONLY"</formula>
    </cfRule>
  </conditionalFormatting>
  <conditionalFormatting sqref="B23">
    <cfRule type="expression" dxfId="442" priority="573">
      <formula>#REF!="COMPLETED"</formula>
    </cfRule>
  </conditionalFormatting>
  <conditionalFormatting sqref="B23">
    <cfRule type="expression" dxfId="441" priority="574">
      <formula>#REF!="LOST"</formula>
    </cfRule>
    <cfRule type="expression" dxfId="440" priority="575">
      <formula>#REF!="COMPLETED"</formula>
    </cfRule>
  </conditionalFormatting>
  <conditionalFormatting sqref="B24">
    <cfRule type="expression" dxfId="439" priority="565">
      <formula>ISNUMBER(G)</formula>
    </cfRule>
  </conditionalFormatting>
  <conditionalFormatting sqref="B24">
    <cfRule type="cellIs" dxfId="438" priority="563" operator="equal">
      <formula>"LOSS"</formula>
    </cfRule>
    <cfRule type="cellIs" dxfId="437" priority="564" operator="equal">
      <formula>"INQUIRY ONLY"</formula>
    </cfRule>
  </conditionalFormatting>
  <conditionalFormatting sqref="B24">
    <cfRule type="expression" dxfId="436" priority="566">
      <formula>#REF!="COMPLETED"</formula>
    </cfRule>
  </conditionalFormatting>
  <conditionalFormatting sqref="B24">
    <cfRule type="expression" dxfId="435" priority="567">
      <formula>#REF!="LOST"</formula>
    </cfRule>
    <cfRule type="expression" dxfId="434" priority="568">
      <formula>#REF!="COMPLETED"</formula>
    </cfRule>
  </conditionalFormatting>
  <conditionalFormatting sqref="B69">
    <cfRule type="expression" dxfId="433" priority="558">
      <formula>ISNUMBER(G)</formula>
    </cfRule>
  </conditionalFormatting>
  <conditionalFormatting sqref="B69">
    <cfRule type="expression" dxfId="432" priority="559">
      <formula>#REF!="COMPLETED"</formula>
    </cfRule>
  </conditionalFormatting>
  <conditionalFormatting sqref="B69">
    <cfRule type="expression" dxfId="431" priority="560">
      <formula>#REF!="LOST"</formula>
    </cfRule>
    <cfRule type="expression" dxfId="430" priority="561">
      <formula>#REF!="COMPLETED"</formula>
    </cfRule>
  </conditionalFormatting>
  <conditionalFormatting sqref="A11:A37 A39:A70">
    <cfRule type="expression" dxfId="429" priority="553">
      <formula>ISNUMBER(G)</formula>
    </cfRule>
  </conditionalFormatting>
  <conditionalFormatting sqref="A11:A37 A39:A70">
    <cfRule type="cellIs" dxfId="428" priority="551" operator="equal">
      <formula>"LOSS"</formula>
    </cfRule>
    <cfRule type="cellIs" dxfId="427" priority="552" operator="equal">
      <formula>"INQUIRY ONLY"</formula>
    </cfRule>
  </conditionalFormatting>
  <conditionalFormatting sqref="A11:A37 A39:A70">
    <cfRule type="expression" dxfId="426" priority="554">
      <formula>#REF!="COMPLETED"</formula>
    </cfRule>
  </conditionalFormatting>
  <conditionalFormatting sqref="A11:A37 A39:A70">
    <cfRule type="expression" dxfId="425" priority="555">
      <formula>#REF!="LOST"</formula>
    </cfRule>
    <cfRule type="expression" dxfId="424" priority="556">
      <formula>#REF!="COMPLETED"</formula>
    </cfRule>
  </conditionalFormatting>
  <conditionalFormatting sqref="A17">
    <cfRule type="expression" dxfId="423" priority="546">
      <formula>ISNUMBER(G)</formula>
    </cfRule>
  </conditionalFormatting>
  <conditionalFormatting sqref="A17">
    <cfRule type="cellIs" dxfId="422" priority="544" operator="equal">
      <formula>"LOSS"</formula>
    </cfRule>
    <cfRule type="cellIs" dxfId="421" priority="545" operator="equal">
      <formula>"INQUIRY ONLY"</formula>
    </cfRule>
  </conditionalFormatting>
  <conditionalFormatting sqref="A17">
    <cfRule type="expression" dxfId="420" priority="547">
      <formula>#REF!="COMPLETED"</formula>
    </cfRule>
  </conditionalFormatting>
  <conditionalFormatting sqref="A17">
    <cfRule type="expression" dxfId="419" priority="548">
      <formula>#REF!="LOST"</formula>
    </cfRule>
    <cfRule type="expression" dxfId="418" priority="549">
      <formula>#REF!="COMPLETED"</formula>
    </cfRule>
  </conditionalFormatting>
  <conditionalFormatting sqref="A18">
    <cfRule type="expression" dxfId="417" priority="539">
      <formula>ISNUMBER(G)</formula>
    </cfRule>
  </conditionalFormatting>
  <conditionalFormatting sqref="A18">
    <cfRule type="cellIs" dxfId="416" priority="537" operator="equal">
      <formula>"LOSS"</formula>
    </cfRule>
    <cfRule type="cellIs" dxfId="415" priority="538" operator="equal">
      <formula>"INQUIRY ONLY"</formula>
    </cfRule>
  </conditionalFormatting>
  <conditionalFormatting sqref="A18">
    <cfRule type="expression" dxfId="414" priority="540">
      <formula>#REF!="COMPLETED"</formula>
    </cfRule>
  </conditionalFormatting>
  <conditionalFormatting sqref="A18">
    <cfRule type="expression" dxfId="413" priority="541">
      <formula>#REF!="LOST"</formula>
    </cfRule>
    <cfRule type="expression" dxfId="412" priority="542">
      <formula>#REF!="COMPLETED"</formula>
    </cfRule>
  </conditionalFormatting>
  <conditionalFormatting sqref="A23">
    <cfRule type="expression" dxfId="411" priority="532">
      <formula>ISNUMBER(G)</formula>
    </cfRule>
  </conditionalFormatting>
  <conditionalFormatting sqref="A23">
    <cfRule type="cellIs" dxfId="410" priority="530" operator="equal">
      <formula>"LOSS"</formula>
    </cfRule>
    <cfRule type="cellIs" dxfId="409" priority="531" operator="equal">
      <formula>"INQUIRY ONLY"</formula>
    </cfRule>
  </conditionalFormatting>
  <conditionalFormatting sqref="A23">
    <cfRule type="expression" dxfId="408" priority="533">
      <formula>#REF!="COMPLETED"</formula>
    </cfRule>
  </conditionalFormatting>
  <conditionalFormatting sqref="A23">
    <cfRule type="expression" dxfId="407" priority="534">
      <formula>#REF!="LOST"</formula>
    </cfRule>
    <cfRule type="expression" dxfId="406" priority="535">
      <formula>#REF!="COMPLETED"</formula>
    </cfRule>
  </conditionalFormatting>
  <conditionalFormatting sqref="A24">
    <cfRule type="expression" dxfId="405" priority="525">
      <formula>ISNUMBER(G)</formula>
    </cfRule>
  </conditionalFormatting>
  <conditionalFormatting sqref="A24">
    <cfRule type="cellIs" dxfId="404" priority="523" operator="equal">
      <formula>"LOSS"</formula>
    </cfRule>
    <cfRule type="cellIs" dxfId="403" priority="524" operator="equal">
      <formula>"INQUIRY ONLY"</formula>
    </cfRule>
  </conditionalFormatting>
  <conditionalFormatting sqref="A24">
    <cfRule type="expression" dxfId="402" priority="526">
      <formula>#REF!="COMPLETED"</formula>
    </cfRule>
  </conditionalFormatting>
  <conditionalFormatting sqref="A24">
    <cfRule type="expression" dxfId="401" priority="527">
      <formula>#REF!="LOST"</formula>
    </cfRule>
    <cfRule type="expression" dxfId="400" priority="528">
      <formula>#REF!="COMPLETED"</formula>
    </cfRule>
  </conditionalFormatting>
  <conditionalFormatting sqref="A69">
    <cfRule type="expression" dxfId="399" priority="518">
      <formula>ISNUMBER(G)</formula>
    </cfRule>
  </conditionalFormatting>
  <conditionalFormatting sqref="A69">
    <cfRule type="expression" dxfId="398" priority="519">
      <formula>#REF!="COMPLETED"</formula>
    </cfRule>
  </conditionalFormatting>
  <conditionalFormatting sqref="A69">
    <cfRule type="expression" dxfId="397" priority="520">
      <formula>#REF!="LOST"</formula>
    </cfRule>
    <cfRule type="expression" dxfId="396" priority="521">
      <formula>#REF!="COMPLETED"</formula>
    </cfRule>
  </conditionalFormatting>
  <conditionalFormatting sqref="B4:B5">
    <cfRule type="cellIs" dxfId="395" priority="512" operator="equal">
      <formula>"LOSS"</formula>
    </cfRule>
    <cfRule type="cellIs" dxfId="394" priority="513" operator="equal">
      <formula>"INQUIRY ONLY"</formula>
    </cfRule>
  </conditionalFormatting>
  <conditionalFormatting sqref="B4:B5">
    <cfRule type="expression" dxfId="393" priority="514">
      <formula>#REF!="COMPLETED"</formula>
    </cfRule>
  </conditionalFormatting>
  <conditionalFormatting sqref="B4:B5">
    <cfRule type="expression" dxfId="392" priority="515">
      <formula>#REF!="LOST"</formula>
    </cfRule>
    <cfRule type="expression" dxfId="391" priority="516">
      <formula>#REF!="COMPLETED"</formula>
    </cfRule>
  </conditionalFormatting>
  <conditionalFormatting sqref="F8 C8">
    <cfRule type="expression" dxfId="390" priority="488">
      <formula>ISNUMBER(G)</formula>
    </cfRule>
  </conditionalFormatting>
  <conditionalFormatting sqref="F8">
    <cfRule type="expression" dxfId="389" priority="489">
      <formula>#REF!="COMPLETED"</formula>
    </cfRule>
  </conditionalFormatting>
  <conditionalFormatting sqref="F8">
    <cfRule type="expression" dxfId="388" priority="490">
      <formula>#REF!="LOST"</formula>
    </cfRule>
    <cfRule type="expression" dxfId="387" priority="491">
      <formula>#REF!="COMPLETED"</formula>
    </cfRule>
  </conditionalFormatting>
  <conditionalFormatting sqref="C8">
    <cfRule type="expression" dxfId="386" priority="492">
      <formula>#REF!="LOST"</formula>
    </cfRule>
    <cfRule type="expression" dxfId="385" priority="493">
      <formula>#REF!="COMPLETED"</formula>
    </cfRule>
    <cfRule type="expression" dxfId="384" priority="494">
      <formula>#REF!="COMPLETED"</formula>
    </cfRule>
  </conditionalFormatting>
  <conditionalFormatting sqref="A11">
    <cfRule type="expression" dxfId="383" priority="409">
      <formula>ISNUMBER(G)</formula>
    </cfRule>
  </conditionalFormatting>
  <conditionalFormatting sqref="A11">
    <cfRule type="cellIs" dxfId="382" priority="407" operator="equal">
      <formula>"LOSS"</formula>
    </cfRule>
    <cfRule type="cellIs" dxfId="381" priority="408" operator="equal">
      <formula>"INQUIRY ONLY"</formula>
    </cfRule>
  </conditionalFormatting>
  <conditionalFormatting sqref="A11">
    <cfRule type="expression" dxfId="380" priority="410">
      <formula>#REF!="COMPLETED"</formula>
    </cfRule>
  </conditionalFormatting>
  <conditionalFormatting sqref="A11">
    <cfRule type="expression" dxfId="379" priority="411">
      <formula>#REF!="LOST"</formula>
    </cfRule>
    <cfRule type="expression" dxfId="378" priority="412">
      <formula>#REF!="COMPLETED"</formula>
    </cfRule>
  </conditionalFormatting>
  <conditionalFormatting sqref="A12">
    <cfRule type="expression" dxfId="377" priority="402">
      <formula>ISNUMBER(G)</formula>
    </cfRule>
  </conditionalFormatting>
  <conditionalFormatting sqref="A12">
    <cfRule type="cellIs" dxfId="376" priority="400" operator="equal">
      <formula>"LOSS"</formula>
    </cfRule>
    <cfRule type="cellIs" dxfId="375" priority="401" operator="equal">
      <formula>"INQUIRY ONLY"</formula>
    </cfRule>
  </conditionalFormatting>
  <conditionalFormatting sqref="A12">
    <cfRule type="expression" dxfId="374" priority="403">
      <formula>#REF!="COMPLETED"</formula>
    </cfRule>
  </conditionalFormatting>
  <conditionalFormatting sqref="A12">
    <cfRule type="expression" dxfId="373" priority="404">
      <formula>#REF!="LOST"</formula>
    </cfRule>
    <cfRule type="expression" dxfId="372" priority="405">
      <formula>#REF!="COMPLETED"</formula>
    </cfRule>
  </conditionalFormatting>
  <conditionalFormatting sqref="F50 C50:D50">
    <cfRule type="expression" dxfId="371" priority="398">
      <formula>ISNUMBER(G)</formula>
    </cfRule>
  </conditionalFormatting>
  <conditionalFormatting sqref="D50">
    <cfRule type="cellIs" dxfId="370" priority="395" operator="equal">
      <formula>"LOSS"</formula>
    </cfRule>
    <cfRule type="cellIs" dxfId="369" priority="396" operator="equal">
      <formula>"INQUIRY ONLY"</formula>
    </cfRule>
  </conditionalFormatting>
  <conditionalFormatting sqref="C50">
    <cfRule type="expression" dxfId="368" priority="392">
      <formula>#REF!="LOST"</formula>
    </cfRule>
    <cfRule type="expression" dxfId="367" priority="393">
      <formula>#REF!="COMPLETED"</formula>
    </cfRule>
    <cfRule type="expression" dxfId="366" priority="394">
      <formula>#REF!="COMPLETED"</formula>
    </cfRule>
  </conditionalFormatting>
  <conditionalFormatting sqref="A50">
    <cfRule type="expression" dxfId="365" priority="388">
      <formula>ISNUMBER(G)</formula>
    </cfRule>
  </conditionalFormatting>
  <conditionalFormatting sqref="A50">
    <cfRule type="cellIs" dxfId="364" priority="386" operator="equal">
      <formula>"LOSS"</formula>
    </cfRule>
    <cfRule type="cellIs" dxfId="363" priority="387" operator="equal">
      <formula>"INQUIRY ONLY"</formula>
    </cfRule>
  </conditionalFormatting>
  <conditionalFormatting sqref="A50">
    <cfRule type="expression" dxfId="362" priority="389">
      <formula>#REF!="COMPLETED"</formula>
    </cfRule>
  </conditionalFormatting>
  <conditionalFormatting sqref="A50">
    <cfRule type="expression" dxfId="361" priority="390">
      <formula>#REF!="LOST"</formula>
    </cfRule>
    <cfRule type="expression" dxfId="360" priority="391">
      <formula>#REF!="COMPLETED"</formula>
    </cfRule>
  </conditionalFormatting>
  <conditionalFormatting sqref="F56 C56:D56">
    <cfRule type="expression" dxfId="359" priority="384">
      <formula>ISNUMBER(G)</formula>
    </cfRule>
  </conditionalFormatting>
  <conditionalFormatting sqref="D56">
    <cfRule type="cellIs" dxfId="358" priority="381" operator="equal">
      <formula>"LOSS"</formula>
    </cfRule>
    <cfRule type="cellIs" dxfId="357" priority="382" operator="equal">
      <formula>"INQUIRY ONLY"</formula>
    </cfRule>
  </conditionalFormatting>
  <conditionalFormatting sqref="C56">
    <cfRule type="expression" dxfId="356" priority="378">
      <formula>#REF!="LOST"</formula>
    </cfRule>
    <cfRule type="expression" dxfId="355" priority="379">
      <formula>#REF!="COMPLETED"</formula>
    </cfRule>
    <cfRule type="expression" dxfId="354" priority="380">
      <formula>#REF!="COMPLETED"</formula>
    </cfRule>
  </conditionalFormatting>
  <conditionalFormatting sqref="A56">
    <cfRule type="expression" dxfId="353" priority="374">
      <formula>ISNUMBER(G)</formula>
    </cfRule>
  </conditionalFormatting>
  <conditionalFormatting sqref="A56">
    <cfRule type="cellIs" dxfId="352" priority="372" operator="equal">
      <formula>"LOSS"</formula>
    </cfRule>
    <cfRule type="cellIs" dxfId="351" priority="373" operator="equal">
      <formula>"INQUIRY ONLY"</formula>
    </cfRule>
  </conditionalFormatting>
  <conditionalFormatting sqref="A56">
    <cfRule type="expression" dxfId="350" priority="375">
      <formula>#REF!="COMPLETED"</formula>
    </cfRule>
  </conditionalFormatting>
  <conditionalFormatting sqref="A56">
    <cfRule type="expression" dxfId="349" priority="376">
      <formula>#REF!="LOST"</formula>
    </cfRule>
    <cfRule type="expression" dxfId="348" priority="377">
      <formula>#REF!="COMPLETED"</formula>
    </cfRule>
  </conditionalFormatting>
  <conditionalFormatting sqref="F62 C62:D62">
    <cfRule type="expression" dxfId="347" priority="370">
      <formula>ISNUMBER(G)</formula>
    </cfRule>
  </conditionalFormatting>
  <conditionalFormatting sqref="D62">
    <cfRule type="cellIs" dxfId="346" priority="367" operator="equal">
      <formula>"LOSS"</formula>
    </cfRule>
    <cfRule type="cellIs" dxfId="345" priority="368" operator="equal">
      <formula>"INQUIRY ONLY"</formula>
    </cfRule>
  </conditionalFormatting>
  <conditionalFormatting sqref="C62">
    <cfRule type="expression" dxfId="344" priority="364">
      <formula>#REF!="LOST"</formula>
    </cfRule>
    <cfRule type="expression" dxfId="343" priority="365">
      <formula>#REF!="COMPLETED"</formula>
    </cfRule>
    <cfRule type="expression" dxfId="342" priority="366">
      <formula>#REF!="COMPLETED"</formula>
    </cfRule>
  </conditionalFormatting>
  <conditionalFormatting sqref="A62">
    <cfRule type="expression" dxfId="341" priority="360">
      <formula>ISNUMBER(G)</formula>
    </cfRule>
  </conditionalFormatting>
  <conditionalFormatting sqref="A62">
    <cfRule type="cellIs" dxfId="340" priority="358" operator="equal">
      <formula>"LOSS"</formula>
    </cfRule>
    <cfRule type="cellIs" dxfId="339" priority="359" operator="equal">
      <formula>"INQUIRY ONLY"</formula>
    </cfRule>
  </conditionalFormatting>
  <conditionalFormatting sqref="A62">
    <cfRule type="expression" dxfId="338" priority="361">
      <formula>#REF!="COMPLETED"</formula>
    </cfRule>
  </conditionalFormatting>
  <conditionalFormatting sqref="A62">
    <cfRule type="expression" dxfId="337" priority="362">
      <formula>#REF!="LOST"</formula>
    </cfRule>
    <cfRule type="expression" dxfId="336" priority="363">
      <formula>#REF!="COMPLETED"</formula>
    </cfRule>
  </conditionalFormatting>
  <conditionalFormatting sqref="F68 C68:D68">
    <cfRule type="expression" dxfId="335" priority="356">
      <formula>ISNUMBER(G)</formula>
    </cfRule>
  </conditionalFormatting>
  <conditionalFormatting sqref="D68">
    <cfRule type="cellIs" dxfId="334" priority="353" operator="equal">
      <formula>"LOSS"</formula>
    </cfRule>
    <cfRule type="cellIs" dxfId="333" priority="354" operator="equal">
      <formula>"INQUIRY ONLY"</formula>
    </cfRule>
  </conditionalFormatting>
  <conditionalFormatting sqref="C68">
    <cfRule type="expression" dxfId="332" priority="350">
      <formula>#REF!="LOST"</formula>
    </cfRule>
    <cfRule type="expression" dxfId="331" priority="351">
      <formula>#REF!="COMPLETED"</formula>
    </cfRule>
    <cfRule type="expression" dxfId="330" priority="352">
      <formula>#REF!="COMPLETED"</formula>
    </cfRule>
  </conditionalFormatting>
  <conditionalFormatting sqref="A68">
    <cfRule type="expression" dxfId="329" priority="346">
      <formula>ISNUMBER(G)</formula>
    </cfRule>
  </conditionalFormatting>
  <conditionalFormatting sqref="A68">
    <cfRule type="cellIs" dxfId="328" priority="344" operator="equal">
      <formula>"LOSS"</formula>
    </cfRule>
    <cfRule type="cellIs" dxfId="327" priority="345" operator="equal">
      <formula>"INQUIRY ONLY"</formula>
    </cfRule>
  </conditionalFormatting>
  <conditionalFormatting sqref="A68">
    <cfRule type="expression" dxfId="326" priority="347">
      <formula>#REF!="COMPLETED"</formula>
    </cfRule>
  </conditionalFormatting>
  <conditionalFormatting sqref="A68">
    <cfRule type="expression" dxfId="325" priority="348">
      <formula>#REF!="LOST"</formula>
    </cfRule>
    <cfRule type="expression" dxfId="324" priority="349">
      <formula>#REF!="COMPLETED"</formula>
    </cfRule>
  </conditionalFormatting>
  <conditionalFormatting sqref="F70 C70:D70">
    <cfRule type="expression" dxfId="323" priority="342">
      <formula>ISNUMBER(G)</formula>
    </cfRule>
  </conditionalFormatting>
  <conditionalFormatting sqref="D70">
    <cfRule type="cellIs" dxfId="322" priority="339" operator="equal">
      <formula>"LOSS"</formula>
    </cfRule>
    <cfRule type="cellIs" dxfId="321" priority="340" operator="equal">
      <formula>"INQUIRY ONLY"</formula>
    </cfRule>
  </conditionalFormatting>
  <conditionalFormatting sqref="F70 D70">
    <cfRule type="expression" dxfId="320" priority="333">
      <formula>#REF!="COMPLETED"</formula>
    </cfRule>
  </conditionalFormatting>
  <conditionalFormatting sqref="F70 D70">
    <cfRule type="expression" dxfId="319" priority="334">
      <formula>#REF!="LOST"</formula>
    </cfRule>
    <cfRule type="expression" dxfId="318" priority="335">
      <formula>#REF!="COMPLETED"</formula>
    </cfRule>
  </conditionalFormatting>
  <conditionalFormatting sqref="C70">
    <cfRule type="expression" dxfId="317" priority="336">
      <formula>#REF!="LOST"</formula>
    </cfRule>
    <cfRule type="expression" dxfId="316" priority="337">
      <formula>#REF!="COMPLETED"</formula>
    </cfRule>
    <cfRule type="expression" dxfId="315" priority="338">
      <formula>#REF!="COMPLETED"</formula>
    </cfRule>
  </conditionalFormatting>
  <conditionalFormatting sqref="A70">
    <cfRule type="expression" dxfId="314" priority="329">
      <formula>ISNUMBER(G)</formula>
    </cfRule>
  </conditionalFormatting>
  <conditionalFormatting sqref="A70">
    <cfRule type="expression" dxfId="313" priority="330">
      <formula>#REF!="COMPLETED"</formula>
    </cfRule>
  </conditionalFormatting>
  <conditionalFormatting sqref="A70">
    <cfRule type="expression" dxfId="312" priority="331">
      <formula>#REF!="LOST"</formula>
    </cfRule>
    <cfRule type="expression" dxfId="311" priority="332">
      <formula>#REF!="COMPLETED"</formula>
    </cfRule>
  </conditionalFormatting>
  <conditionalFormatting sqref="A70">
    <cfRule type="expression" dxfId="310" priority="324">
      <formula>ISNUMBER(G)</formula>
    </cfRule>
  </conditionalFormatting>
  <conditionalFormatting sqref="A70">
    <cfRule type="cellIs" dxfId="309" priority="322" operator="equal">
      <formula>"LOSS"</formula>
    </cfRule>
    <cfRule type="cellIs" dxfId="308" priority="323" operator="equal">
      <formula>"INQUIRY ONLY"</formula>
    </cfRule>
  </conditionalFormatting>
  <conditionalFormatting sqref="A70">
    <cfRule type="expression" dxfId="307" priority="325">
      <formula>#REF!="COMPLETED"</formula>
    </cfRule>
  </conditionalFormatting>
  <conditionalFormatting sqref="A70">
    <cfRule type="expression" dxfId="306" priority="326">
      <formula>#REF!="LOST"</formula>
    </cfRule>
    <cfRule type="expression" dxfId="305" priority="327">
      <formula>#REF!="COMPLETED"</formula>
    </cfRule>
  </conditionalFormatting>
  <conditionalFormatting sqref="F73 C73:D73">
    <cfRule type="expression" dxfId="304" priority="320">
      <formula>ISNUMBER(G)</formula>
    </cfRule>
  </conditionalFormatting>
  <conditionalFormatting sqref="D73">
    <cfRule type="cellIs" dxfId="303" priority="317" operator="equal">
      <formula>"LOSS"</formula>
    </cfRule>
    <cfRule type="cellIs" dxfId="302" priority="318" operator="equal">
      <formula>"INQUIRY ONLY"</formula>
    </cfRule>
  </conditionalFormatting>
  <conditionalFormatting sqref="F73 D73">
    <cfRule type="expression" dxfId="301" priority="311">
      <formula>#REF!="COMPLETED"</formula>
    </cfRule>
  </conditionalFormatting>
  <conditionalFormatting sqref="F73 D73">
    <cfRule type="expression" dxfId="300" priority="312">
      <formula>#REF!="LOST"</formula>
    </cfRule>
    <cfRule type="expression" dxfId="299" priority="313">
      <formula>#REF!="COMPLETED"</formula>
    </cfRule>
  </conditionalFormatting>
  <conditionalFormatting sqref="C73">
    <cfRule type="expression" dxfId="298" priority="314">
      <formula>#REF!="LOST"</formula>
    </cfRule>
    <cfRule type="expression" dxfId="297" priority="315">
      <formula>#REF!="COMPLETED"</formula>
    </cfRule>
    <cfRule type="expression" dxfId="296" priority="316">
      <formula>#REF!="COMPLETED"</formula>
    </cfRule>
  </conditionalFormatting>
  <conditionalFormatting sqref="F79 C79:D79">
    <cfRule type="expression" dxfId="295" priority="296">
      <formula>ISNUMBER(G)</formula>
    </cfRule>
  </conditionalFormatting>
  <conditionalFormatting sqref="D79">
    <cfRule type="cellIs" dxfId="294" priority="293" operator="equal">
      <formula>"LOSS"</formula>
    </cfRule>
    <cfRule type="cellIs" dxfId="293" priority="294" operator="equal">
      <formula>"INQUIRY ONLY"</formula>
    </cfRule>
  </conditionalFormatting>
  <conditionalFormatting sqref="F79 D79">
    <cfRule type="expression" dxfId="292" priority="287">
      <formula>#REF!="COMPLETED"</formula>
    </cfRule>
  </conditionalFormatting>
  <conditionalFormatting sqref="F79 D79">
    <cfRule type="expression" dxfId="291" priority="288">
      <formula>#REF!="LOST"</formula>
    </cfRule>
    <cfRule type="expression" dxfId="290" priority="289">
      <formula>#REF!="COMPLETED"</formula>
    </cfRule>
  </conditionalFormatting>
  <conditionalFormatting sqref="C79">
    <cfRule type="expression" dxfId="289" priority="290">
      <formula>#REF!="LOST"</formula>
    </cfRule>
    <cfRule type="expression" dxfId="288" priority="291">
      <formula>#REF!="COMPLETED"</formula>
    </cfRule>
    <cfRule type="expression" dxfId="287" priority="292">
      <formula>#REF!="COMPLETED"</formula>
    </cfRule>
  </conditionalFormatting>
  <conditionalFormatting sqref="F82 C82:D82">
    <cfRule type="expression" dxfId="286" priority="272">
      <formula>ISNUMBER(G)</formula>
    </cfRule>
  </conditionalFormatting>
  <conditionalFormatting sqref="D82">
    <cfRule type="cellIs" dxfId="285" priority="269" operator="equal">
      <formula>"LOSS"</formula>
    </cfRule>
    <cfRule type="cellIs" dxfId="284" priority="270" operator="equal">
      <formula>"INQUIRY ONLY"</formula>
    </cfRule>
  </conditionalFormatting>
  <conditionalFormatting sqref="F82 D82">
    <cfRule type="expression" dxfId="283" priority="263">
      <formula>#REF!="COMPLETED"</formula>
    </cfRule>
  </conditionalFormatting>
  <conditionalFormatting sqref="F82 D82">
    <cfRule type="expression" dxfId="282" priority="264">
      <formula>#REF!="LOST"</formula>
    </cfRule>
    <cfRule type="expression" dxfId="281" priority="265">
      <formula>#REF!="COMPLETED"</formula>
    </cfRule>
  </conditionalFormatting>
  <conditionalFormatting sqref="C82">
    <cfRule type="expression" dxfId="280" priority="266">
      <formula>#REF!="LOST"</formula>
    </cfRule>
    <cfRule type="expression" dxfId="279" priority="267">
      <formula>#REF!="COMPLETED"</formula>
    </cfRule>
    <cfRule type="expression" dxfId="278" priority="268">
      <formula>#REF!="COMPLETED"</formula>
    </cfRule>
  </conditionalFormatting>
  <conditionalFormatting sqref="A49">
    <cfRule type="expression" dxfId="277" priority="245">
      <formula>ISNUMBER(G)</formula>
    </cfRule>
  </conditionalFormatting>
  <conditionalFormatting sqref="A49">
    <cfRule type="cellIs" dxfId="276" priority="243" operator="equal">
      <formula>"LOSS"</formula>
    </cfRule>
    <cfRule type="cellIs" dxfId="275" priority="244" operator="equal">
      <formula>"INQUIRY ONLY"</formula>
    </cfRule>
  </conditionalFormatting>
  <conditionalFormatting sqref="A49">
    <cfRule type="expression" dxfId="274" priority="246">
      <formula>#REF!="COMPLETED"</formula>
    </cfRule>
  </conditionalFormatting>
  <conditionalFormatting sqref="A49">
    <cfRule type="expression" dxfId="273" priority="247">
      <formula>#REF!="LOST"</formula>
    </cfRule>
    <cfRule type="expression" dxfId="272" priority="248">
      <formula>#REF!="COMPLETED"</formula>
    </cfRule>
  </conditionalFormatting>
  <conditionalFormatting sqref="A50">
    <cfRule type="expression" dxfId="271" priority="238">
      <formula>ISNUMBER(G)</formula>
    </cfRule>
  </conditionalFormatting>
  <conditionalFormatting sqref="A50">
    <cfRule type="cellIs" dxfId="270" priority="236" operator="equal">
      <formula>"LOSS"</formula>
    </cfRule>
    <cfRule type="cellIs" dxfId="269" priority="237" operator="equal">
      <formula>"INQUIRY ONLY"</formula>
    </cfRule>
  </conditionalFormatting>
  <conditionalFormatting sqref="A50">
    <cfRule type="expression" dxfId="268" priority="239">
      <formula>#REF!="COMPLETED"</formula>
    </cfRule>
  </conditionalFormatting>
  <conditionalFormatting sqref="A50">
    <cfRule type="expression" dxfId="267" priority="240">
      <formula>#REF!="LOST"</formula>
    </cfRule>
    <cfRule type="expression" dxfId="266" priority="241">
      <formula>#REF!="COMPLETED"</formula>
    </cfRule>
  </conditionalFormatting>
  <conditionalFormatting sqref="A55">
    <cfRule type="expression" dxfId="265" priority="231">
      <formula>ISNUMBER(G)</formula>
    </cfRule>
  </conditionalFormatting>
  <conditionalFormatting sqref="A55">
    <cfRule type="cellIs" dxfId="264" priority="229" operator="equal">
      <formula>"LOSS"</formula>
    </cfRule>
    <cfRule type="cellIs" dxfId="263" priority="230" operator="equal">
      <formula>"INQUIRY ONLY"</formula>
    </cfRule>
  </conditionalFormatting>
  <conditionalFormatting sqref="A55">
    <cfRule type="expression" dxfId="262" priority="232">
      <formula>#REF!="COMPLETED"</formula>
    </cfRule>
  </conditionalFormatting>
  <conditionalFormatting sqref="A55">
    <cfRule type="expression" dxfId="261" priority="233">
      <formula>#REF!="LOST"</formula>
    </cfRule>
    <cfRule type="expression" dxfId="260" priority="234">
      <formula>#REF!="COMPLETED"</formula>
    </cfRule>
  </conditionalFormatting>
  <conditionalFormatting sqref="A56">
    <cfRule type="expression" dxfId="259" priority="224">
      <formula>ISNUMBER(G)</formula>
    </cfRule>
  </conditionalFormatting>
  <conditionalFormatting sqref="A56">
    <cfRule type="cellIs" dxfId="258" priority="222" operator="equal">
      <formula>"LOSS"</formula>
    </cfRule>
    <cfRule type="cellIs" dxfId="257" priority="223" operator="equal">
      <formula>"INQUIRY ONLY"</formula>
    </cfRule>
  </conditionalFormatting>
  <conditionalFormatting sqref="A56">
    <cfRule type="expression" dxfId="256" priority="225">
      <formula>#REF!="COMPLETED"</formula>
    </cfRule>
  </conditionalFormatting>
  <conditionalFormatting sqref="A56">
    <cfRule type="expression" dxfId="255" priority="226">
      <formula>#REF!="LOST"</formula>
    </cfRule>
    <cfRule type="expression" dxfId="254" priority="227">
      <formula>#REF!="COMPLETED"</formula>
    </cfRule>
  </conditionalFormatting>
  <conditionalFormatting sqref="A61">
    <cfRule type="expression" dxfId="253" priority="217">
      <formula>ISNUMBER(G)</formula>
    </cfRule>
  </conditionalFormatting>
  <conditionalFormatting sqref="A61">
    <cfRule type="cellIs" dxfId="252" priority="215" operator="equal">
      <formula>"LOSS"</formula>
    </cfRule>
    <cfRule type="cellIs" dxfId="251" priority="216" operator="equal">
      <formula>"INQUIRY ONLY"</formula>
    </cfRule>
  </conditionalFormatting>
  <conditionalFormatting sqref="A61">
    <cfRule type="expression" dxfId="250" priority="218">
      <formula>#REF!="COMPLETED"</formula>
    </cfRule>
  </conditionalFormatting>
  <conditionalFormatting sqref="A61">
    <cfRule type="expression" dxfId="249" priority="219">
      <formula>#REF!="LOST"</formula>
    </cfRule>
    <cfRule type="expression" dxfId="248" priority="220">
      <formula>#REF!="COMPLETED"</formula>
    </cfRule>
  </conditionalFormatting>
  <conditionalFormatting sqref="A62">
    <cfRule type="expression" dxfId="247" priority="210">
      <formula>ISNUMBER(G)</formula>
    </cfRule>
  </conditionalFormatting>
  <conditionalFormatting sqref="A62">
    <cfRule type="cellIs" dxfId="246" priority="208" operator="equal">
      <formula>"LOSS"</formula>
    </cfRule>
    <cfRule type="cellIs" dxfId="245" priority="209" operator="equal">
      <formula>"INQUIRY ONLY"</formula>
    </cfRule>
  </conditionalFormatting>
  <conditionalFormatting sqref="A62">
    <cfRule type="expression" dxfId="244" priority="211">
      <formula>#REF!="COMPLETED"</formula>
    </cfRule>
  </conditionalFormatting>
  <conditionalFormatting sqref="A62">
    <cfRule type="expression" dxfId="243" priority="212">
      <formula>#REF!="LOST"</formula>
    </cfRule>
    <cfRule type="expression" dxfId="242" priority="213">
      <formula>#REF!="COMPLETED"</formula>
    </cfRule>
  </conditionalFormatting>
  <conditionalFormatting sqref="A67">
    <cfRule type="expression" dxfId="241" priority="203">
      <formula>ISNUMBER(G)</formula>
    </cfRule>
  </conditionalFormatting>
  <conditionalFormatting sqref="A67">
    <cfRule type="cellIs" dxfId="240" priority="201" operator="equal">
      <formula>"LOSS"</formula>
    </cfRule>
    <cfRule type="cellIs" dxfId="239" priority="202" operator="equal">
      <formula>"INQUIRY ONLY"</formula>
    </cfRule>
  </conditionalFormatting>
  <conditionalFormatting sqref="A67">
    <cfRule type="expression" dxfId="238" priority="204">
      <formula>#REF!="COMPLETED"</formula>
    </cfRule>
  </conditionalFormatting>
  <conditionalFormatting sqref="A67">
    <cfRule type="expression" dxfId="237" priority="205">
      <formula>#REF!="LOST"</formula>
    </cfRule>
    <cfRule type="expression" dxfId="236" priority="206">
      <formula>#REF!="COMPLETED"</formula>
    </cfRule>
  </conditionalFormatting>
  <conditionalFormatting sqref="A68">
    <cfRule type="expression" dxfId="235" priority="196">
      <formula>ISNUMBER(G)</formula>
    </cfRule>
  </conditionalFormatting>
  <conditionalFormatting sqref="A68">
    <cfRule type="cellIs" dxfId="234" priority="194" operator="equal">
      <formula>"LOSS"</formula>
    </cfRule>
    <cfRule type="cellIs" dxfId="233" priority="195" operator="equal">
      <formula>"INQUIRY ONLY"</formula>
    </cfRule>
  </conditionalFormatting>
  <conditionalFormatting sqref="A68">
    <cfRule type="expression" dxfId="232" priority="197">
      <formula>#REF!="COMPLETED"</formula>
    </cfRule>
  </conditionalFormatting>
  <conditionalFormatting sqref="A68">
    <cfRule type="expression" dxfId="231" priority="198">
      <formula>#REF!="LOST"</formula>
    </cfRule>
    <cfRule type="expression" dxfId="230" priority="199">
      <formula>#REF!="COMPLETED"</formula>
    </cfRule>
  </conditionalFormatting>
  <conditionalFormatting sqref="A72:A75">
    <cfRule type="expression" dxfId="229" priority="189">
      <formula>ISNUMBER(G)</formula>
    </cfRule>
  </conditionalFormatting>
  <conditionalFormatting sqref="A72:A75">
    <cfRule type="cellIs" dxfId="228" priority="187" operator="equal">
      <formula>"LOSS"</formula>
    </cfRule>
    <cfRule type="cellIs" dxfId="227" priority="188" operator="equal">
      <formula>"INQUIRY ONLY"</formula>
    </cfRule>
  </conditionalFormatting>
  <conditionalFormatting sqref="A72:A75">
    <cfRule type="expression" dxfId="226" priority="190">
      <formula>#REF!="COMPLETED"</formula>
    </cfRule>
  </conditionalFormatting>
  <conditionalFormatting sqref="A72:A75">
    <cfRule type="expression" dxfId="225" priority="191">
      <formula>#REF!="LOST"</formula>
    </cfRule>
    <cfRule type="expression" dxfId="224" priority="192">
      <formula>#REF!="COMPLETED"</formula>
    </cfRule>
  </conditionalFormatting>
  <conditionalFormatting sqref="A74">
    <cfRule type="expression" dxfId="223" priority="182">
      <formula>ISNUMBER(G)</formula>
    </cfRule>
  </conditionalFormatting>
  <conditionalFormatting sqref="A74">
    <cfRule type="expression" dxfId="222" priority="183">
      <formula>#REF!="COMPLETED"</formula>
    </cfRule>
  </conditionalFormatting>
  <conditionalFormatting sqref="A74">
    <cfRule type="expression" dxfId="221" priority="184">
      <formula>#REF!="LOST"</formula>
    </cfRule>
    <cfRule type="expression" dxfId="220" priority="185">
      <formula>#REF!="COMPLETED"</formula>
    </cfRule>
  </conditionalFormatting>
  <conditionalFormatting sqref="A73">
    <cfRule type="expression" dxfId="219" priority="177">
      <formula>ISNUMBER(G)</formula>
    </cfRule>
  </conditionalFormatting>
  <conditionalFormatting sqref="A73">
    <cfRule type="cellIs" dxfId="218" priority="175" operator="equal">
      <formula>"LOSS"</formula>
    </cfRule>
    <cfRule type="cellIs" dxfId="217" priority="176" operator="equal">
      <formula>"INQUIRY ONLY"</formula>
    </cfRule>
  </conditionalFormatting>
  <conditionalFormatting sqref="A73">
    <cfRule type="expression" dxfId="216" priority="178">
      <formula>#REF!="COMPLETED"</formula>
    </cfRule>
  </conditionalFormatting>
  <conditionalFormatting sqref="A73">
    <cfRule type="expression" dxfId="215" priority="179">
      <formula>#REF!="LOST"</formula>
    </cfRule>
    <cfRule type="expression" dxfId="214" priority="180">
      <formula>#REF!="COMPLETED"</formula>
    </cfRule>
  </conditionalFormatting>
  <conditionalFormatting sqref="A75">
    <cfRule type="expression" dxfId="213" priority="170">
      <formula>ISNUMBER(G)</formula>
    </cfRule>
  </conditionalFormatting>
  <conditionalFormatting sqref="A75">
    <cfRule type="expression" dxfId="212" priority="171">
      <formula>#REF!="COMPLETED"</formula>
    </cfRule>
  </conditionalFormatting>
  <conditionalFormatting sqref="A75">
    <cfRule type="expression" dxfId="211" priority="172">
      <formula>#REF!="LOST"</formula>
    </cfRule>
    <cfRule type="expression" dxfId="210" priority="173">
      <formula>#REF!="COMPLETED"</formula>
    </cfRule>
  </conditionalFormatting>
  <conditionalFormatting sqref="A75">
    <cfRule type="expression" dxfId="209" priority="165">
      <formula>ISNUMBER(G)</formula>
    </cfRule>
  </conditionalFormatting>
  <conditionalFormatting sqref="A75">
    <cfRule type="cellIs" dxfId="208" priority="163" operator="equal">
      <formula>"LOSS"</formula>
    </cfRule>
    <cfRule type="cellIs" dxfId="207" priority="164" operator="equal">
      <formula>"INQUIRY ONLY"</formula>
    </cfRule>
  </conditionalFormatting>
  <conditionalFormatting sqref="A75">
    <cfRule type="expression" dxfId="206" priority="166">
      <formula>#REF!="COMPLETED"</formula>
    </cfRule>
  </conditionalFormatting>
  <conditionalFormatting sqref="A75">
    <cfRule type="expression" dxfId="205" priority="167">
      <formula>#REF!="LOST"</formula>
    </cfRule>
    <cfRule type="expression" dxfId="204" priority="168">
      <formula>#REF!="COMPLETED"</formula>
    </cfRule>
  </conditionalFormatting>
  <conditionalFormatting sqref="A72">
    <cfRule type="expression" dxfId="203" priority="158">
      <formula>ISNUMBER(G)</formula>
    </cfRule>
  </conditionalFormatting>
  <conditionalFormatting sqref="A72">
    <cfRule type="cellIs" dxfId="202" priority="156" operator="equal">
      <formula>"LOSS"</formula>
    </cfRule>
    <cfRule type="cellIs" dxfId="201" priority="157" operator="equal">
      <formula>"INQUIRY ONLY"</formula>
    </cfRule>
  </conditionalFormatting>
  <conditionalFormatting sqref="A72">
    <cfRule type="expression" dxfId="200" priority="159">
      <formula>#REF!="COMPLETED"</formula>
    </cfRule>
  </conditionalFormatting>
  <conditionalFormatting sqref="A72">
    <cfRule type="expression" dxfId="199" priority="160">
      <formula>#REF!="LOST"</formula>
    </cfRule>
    <cfRule type="expression" dxfId="198" priority="161">
      <formula>#REF!="COMPLETED"</formula>
    </cfRule>
  </conditionalFormatting>
  <conditionalFormatting sqref="A73">
    <cfRule type="expression" dxfId="197" priority="151">
      <formula>ISNUMBER(G)</formula>
    </cfRule>
  </conditionalFormatting>
  <conditionalFormatting sqref="A73">
    <cfRule type="cellIs" dxfId="196" priority="149" operator="equal">
      <formula>"LOSS"</formula>
    </cfRule>
    <cfRule type="cellIs" dxfId="195" priority="150" operator="equal">
      <formula>"INQUIRY ONLY"</formula>
    </cfRule>
  </conditionalFormatting>
  <conditionalFormatting sqref="A73">
    <cfRule type="expression" dxfId="194" priority="152">
      <formula>#REF!="COMPLETED"</formula>
    </cfRule>
  </conditionalFormatting>
  <conditionalFormatting sqref="A73">
    <cfRule type="expression" dxfId="193" priority="153">
      <formula>#REF!="LOST"</formula>
    </cfRule>
    <cfRule type="expression" dxfId="192" priority="154">
      <formula>#REF!="COMPLETED"</formula>
    </cfRule>
  </conditionalFormatting>
  <conditionalFormatting sqref="A78">
    <cfRule type="expression" dxfId="191" priority="144">
      <formula>ISNUMBER(G)</formula>
    </cfRule>
  </conditionalFormatting>
  <conditionalFormatting sqref="A78">
    <cfRule type="cellIs" dxfId="190" priority="142" operator="equal">
      <formula>"LOSS"</formula>
    </cfRule>
    <cfRule type="cellIs" dxfId="189" priority="143" operator="equal">
      <formula>"INQUIRY ONLY"</formula>
    </cfRule>
  </conditionalFormatting>
  <conditionalFormatting sqref="A78">
    <cfRule type="expression" dxfId="188" priority="145">
      <formula>#REF!="COMPLETED"</formula>
    </cfRule>
  </conditionalFormatting>
  <conditionalFormatting sqref="A78">
    <cfRule type="expression" dxfId="187" priority="146">
      <formula>#REF!="LOST"</formula>
    </cfRule>
    <cfRule type="expression" dxfId="186" priority="147">
      <formula>#REF!="COMPLETED"</formula>
    </cfRule>
  </conditionalFormatting>
  <conditionalFormatting sqref="A78">
    <cfRule type="expression" dxfId="185" priority="113">
      <formula>ISNUMBER(G)</formula>
    </cfRule>
  </conditionalFormatting>
  <conditionalFormatting sqref="A78">
    <cfRule type="cellIs" dxfId="184" priority="111" operator="equal">
      <formula>"LOSS"</formula>
    </cfRule>
    <cfRule type="cellIs" dxfId="183" priority="112" operator="equal">
      <formula>"INQUIRY ONLY"</formula>
    </cfRule>
  </conditionalFormatting>
  <conditionalFormatting sqref="A78">
    <cfRule type="expression" dxfId="182" priority="114">
      <formula>#REF!="COMPLETED"</formula>
    </cfRule>
  </conditionalFormatting>
  <conditionalFormatting sqref="A78">
    <cfRule type="expression" dxfId="181" priority="115">
      <formula>#REF!="LOST"</formula>
    </cfRule>
    <cfRule type="expression" dxfId="180" priority="116">
      <formula>#REF!="COMPLETED"</formula>
    </cfRule>
  </conditionalFormatting>
  <conditionalFormatting sqref="A79:A83">
    <cfRule type="expression" dxfId="179" priority="99">
      <formula>ISNUMBER(G)</formula>
    </cfRule>
  </conditionalFormatting>
  <conditionalFormatting sqref="A79:A83">
    <cfRule type="cellIs" dxfId="178" priority="97" operator="equal">
      <formula>"LOSS"</formula>
    </cfRule>
    <cfRule type="cellIs" dxfId="177" priority="98" operator="equal">
      <formula>"INQUIRY ONLY"</formula>
    </cfRule>
  </conditionalFormatting>
  <conditionalFormatting sqref="A79:A83">
    <cfRule type="expression" dxfId="176" priority="100">
      <formula>#REF!="COMPLETED"</formula>
    </cfRule>
  </conditionalFormatting>
  <conditionalFormatting sqref="A79:A83">
    <cfRule type="expression" dxfId="175" priority="101">
      <formula>#REF!="LOST"</formula>
    </cfRule>
    <cfRule type="expression" dxfId="174" priority="102">
      <formula>#REF!="COMPLETED"</formula>
    </cfRule>
  </conditionalFormatting>
  <conditionalFormatting sqref="A82">
    <cfRule type="expression" dxfId="173" priority="92">
      <formula>ISNUMBER(G)</formula>
    </cfRule>
  </conditionalFormatting>
  <conditionalFormatting sqref="A82">
    <cfRule type="expression" dxfId="172" priority="93">
      <formula>#REF!="COMPLETED"</formula>
    </cfRule>
  </conditionalFormatting>
  <conditionalFormatting sqref="A82">
    <cfRule type="expression" dxfId="171" priority="94">
      <formula>#REF!="LOST"</formula>
    </cfRule>
    <cfRule type="expression" dxfId="170" priority="95">
      <formula>#REF!="COMPLETED"</formula>
    </cfRule>
  </conditionalFormatting>
  <conditionalFormatting sqref="A81">
    <cfRule type="expression" dxfId="169" priority="87">
      <formula>ISNUMBER(G)</formula>
    </cfRule>
  </conditionalFormatting>
  <conditionalFormatting sqref="A81">
    <cfRule type="cellIs" dxfId="168" priority="85" operator="equal">
      <formula>"LOSS"</formula>
    </cfRule>
    <cfRule type="cellIs" dxfId="167" priority="86" operator="equal">
      <formula>"INQUIRY ONLY"</formula>
    </cfRule>
  </conditionalFormatting>
  <conditionalFormatting sqref="A81">
    <cfRule type="expression" dxfId="166" priority="88">
      <formula>#REF!="COMPLETED"</formula>
    </cfRule>
  </conditionalFormatting>
  <conditionalFormatting sqref="A81">
    <cfRule type="expression" dxfId="165" priority="89">
      <formula>#REF!="LOST"</formula>
    </cfRule>
    <cfRule type="expression" dxfId="164" priority="90">
      <formula>#REF!="COMPLETED"</formula>
    </cfRule>
  </conditionalFormatting>
  <conditionalFormatting sqref="A83">
    <cfRule type="expression" dxfId="163" priority="80">
      <formula>ISNUMBER(G)</formula>
    </cfRule>
  </conditionalFormatting>
  <conditionalFormatting sqref="A83">
    <cfRule type="expression" dxfId="162" priority="81">
      <formula>#REF!="COMPLETED"</formula>
    </cfRule>
  </conditionalFormatting>
  <conditionalFormatting sqref="A83">
    <cfRule type="expression" dxfId="161" priority="82">
      <formula>#REF!="LOST"</formula>
    </cfRule>
    <cfRule type="expression" dxfId="160" priority="83">
      <formula>#REF!="COMPLETED"</formula>
    </cfRule>
  </conditionalFormatting>
  <conditionalFormatting sqref="A83">
    <cfRule type="expression" dxfId="159" priority="75">
      <formula>ISNUMBER(G)</formula>
    </cfRule>
  </conditionalFormatting>
  <conditionalFormatting sqref="A83">
    <cfRule type="cellIs" dxfId="158" priority="73" operator="equal">
      <formula>"LOSS"</formula>
    </cfRule>
    <cfRule type="cellIs" dxfId="157" priority="74" operator="equal">
      <formula>"INQUIRY ONLY"</formula>
    </cfRule>
  </conditionalFormatting>
  <conditionalFormatting sqref="A83">
    <cfRule type="expression" dxfId="156" priority="76">
      <formula>#REF!="COMPLETED"</formula>
    </cfRule>
  </conditionalFormatting>
  <conditionalFormatting sqref="A83">
    <cfRule type="expression" dxfId="155" priority="77">
      <formula>#REF!="LOST"</formula>
    </cfRule>
    <cfRule type="expression" dxfId="154" priority="78">
      <formula>#REF!="COMPLETED"</formula>
    </cfRule>
  </conditionalFormatting>
  <conditionalFormatting sqref="A81">
    <cfRule type="expression" dxfId="153" priority="61">
      <formula>ISNUMBER(G)</formula>
    </cfRule>
  </conditionalFormatting>
  <conditionalFormatting sqref="A81">
    <cfRule type="cellIs" dxfId="152" priority="59" operator="equal">
      <formula>"LOSS"</formula>
    </cfRule>
    <cfRule type="cellIs" dxfId="151" priority="60" operator="equal">
      <formula>"INQUIRY ONLY"</formula>
    </cfRule>
  </conditionalFormatting>
  <conditionalFormatting sqref="A81">
    <cfRule type="expression" dxfId="150" priority="62">
      <formula>#REF!="COMPLETED"</formula>
    </cfRule>
  </conditionalFormatting>
  <conditionalFormatting sqref="A81">
    <cfRule type="expression" dxfId="149" priority="63">
      <formula>#REF!="LOST"</formula>
    </cfRule>
    <cfRule type="expression" dxfId="148" priority="64">
      <formula>#REF!="COMPLETED"</formula>
    </cfRule>
  </conditionalFormatting>
  <conditionalFormatting sqref="A80">
    <cfRule type="expression" dxfId="147" priority="54">
      <formula>ISNUMBER(G)</formula>
    </cfRule>
  </conditionalFormatting>
  <conditionalFormatting sqref="A80">
    <cfRule type="expression" dxfId="146" priority="55">
      <formula>#REF!="COMPLETED"</formula>
    </cfRule>
  </conditionalFormatting>
  <conditionalFormatting sqref="A80">
    <cfRule type="expression" dxfId="145" priority="56">
      <formula>#REF!="LOST"</formula>
    </cfRule>
    <cfRule type="expression" dxfId="144" priority="57">
      <formula>#REF!="COMPLETED"</formula>
    </cfRule>
  </conditionalFormatting>
  <conditionalFormatting sqref="A79">
    <cfRule type="expression" dxfId="143" priority="49">
      <formula>ISNUMBER(G)</formula>
    </cfRule>
  </conditionalFormatting>
  <conditionalFormatting sqref="A79">
    <cfRule type="cellIs" dxfId="142" priority="47" operator="equal">
      <formula>"LOSS"</formula>
    </cfRule>
    <cfRule type="cellIs" dxfId="141" priority="48" operator="equal">
      <formula>"INQUIRY ONLY"</formula>
    </cfRule>
  </conditionalFormatting>
  <conditionalFormatting sqref="A79">
    <cfRule type="expression" dxfId="140" priority="50">
      <formula>#REF!="COMPLETED"</formula>
    </cfRule>
  </conditionalFormatting>
  <conditionalFormatting sqref="A79">
    <cfRule type="expression" dxfId="139" priority="51">
      <formula>#REF!="LOST"</formula>
    </cfRule>
    <cfRule type="expression" dxfId="138" priority="52">
      <formula>#REF!="COMPLETED"</formula>
    </cfRule>
  </conditionalFormatting>
  <conditionalFormatting sqref="A79">
    <cfRule type="expression" dxfId="137" priority="42">
      <formula>ISNUMBER(G)</formula>
    </cfRule>
  </conditionalFormatting>
  <conditionalFormatting sqref="A79">
    <cfRule type="cellIs" dxfId="136" priority="40" operator="equal">
      <formula>"LOSS"</formula>
    </cfRule>
    <cfRule type="cellIs" dxfId="135" priority="41" operator="equal">
      <formula>"INQUIRY ONLY"</formula>
    </cfRule>
  </conditionalFormatting>
  <conditionalFormatting sqref="A79">
    <cfRule type="expression" dxfId="134" priority="43">
      <formula>#REF!="COMPLETED"</formula>
    </cfRule>
  </conditionalFormatting>
  <conditionalFormatting sqref="A79">
    <cfRule type="expression" dxfId="133" priority="44">
      <formula>#REF!="LOST"</formula>
    </cfRule>
    <cfRule type="expression" dxfId="132" priority="45">
      <formula>#REF!="COMPLETED"</formula>
    </cfRule>
  </conditionalFormatting>
  <conditionalFormatting sqref="A82">
    <cfRule type="expression" dxfId="131" priority="35">
      <formula>ISNUMBER(G)</formula>
    </cfRule>
  </conditionalFormatting>
  <conditionalFormatting sqref="A82">
    <cfRule type="expression" dxfId="130" priority="36">
      <formula>#REF!="COMPLETED"</formula>
    </cfRule>
  </conditionalFormatting>
  <conditionalFormatting sqref="A82">
    <cfRule type="expression" dxfId="129" priority="37">
      <formula>#REF!="LOST"</formula>
    </cfRule>
    <cfRule type="expression" dxfId="128" priority="38">
      <formula>#REF!="COMPLETED"</formula>
    </cfRule>
  </conditionalFormatting>
  <conditionalFormatting sqref="A81">
    <cfRule type="expression" dxfId="127" priority="30">
      <formula>ISNUMBER(G)</formula>
    </cfRule>
  </conditionalFormatting>
  <conditionalFormatting sqref="A81">
    <cfRule type="cellIs" dxfId="126" priority="28" operator="equal">
      <formula>"LOSS"</formula>
    </cfRule>
    <cfRule type="cellIs" dxfId="125" priority="29" operator="equal">
      <formula>"INQUIRY ONLY"</formula>
    </cfRule>
  </conditionalFormatting>
  <conditionalFormatting sqref="A81">
    <cfRule type="expression" dxfId="124" priority="31">
      <formula>#REF!="COMPLETED"</formula>
    </cfRule>
  </conditionalFormatting>
  <conditionalFormatting sqref="A81">
    <cfRule type="expression" dxfId="123" priority="32">
      <formula>#REF!="LOST"</formula>
    </cfRule>
    <cfRule type="expression" dxfId="122" priority="33">
      <formula>#REF!="COMPLETED"</formula>
    </cfRule>
  </conditionalFormatting>
  <conditionalFormatting sqref="A81">
    <cfRule type="expression" dxfId="121" priority="23">
      <formula>ISNUMBER(G)</formula>
    </cfRule>
  </conditionalFormatting>
  <conditionalFormatting sqref="A81">
    <cfRule type="cellIs" dxfId="120" priority="21" operator="equal">
      <formula>"LOSS"</formula>
    </cfRule>
    <cfRule type="cellIs" dxfId="119" priority="22" operator="equal">
      <formula>"INQUIRY ONLY"</formula>
    </cfRule>
  </conditionalFormatting>
  <conditionalFormatting sqref="A81">
    <cfRule type="expression" dxfId="118" priority="24">
      <formula>#REF!="COMPLETED"</formula>
    </cfRule>
  </conditionalFormatting>
  <conditionalFormatting sqref="A81">
    <cfRule type="expression" dxfId="117" priority="25">
      <formula>#REF!="LOST"</formula>
    </cfRule>
    <cfRule type="expression" dxfId="116" priority="26">
      <formula>#REF!="COMPLETED"</formula>
    </cfRule>
  </conditionalFormatting>
  <conditionalFormatting sqref="A83">
    <cfRule type="expression" dxfId="115" priority="16">
      <formula>ISNUMBER(G)</formula>
    </cfRule>
  </conditionalFormatting>
  <conditionalFormatting sqref="A83">
    <cfRule type="expression" dxfId="114" priority="17">
      <formula>#REF!="COMPLETED"</formula>
    </cfRule>
  </conditionalFormatting>
  <conditionalFormatting sqref="A83">
    <cfRule type="expression" dxfId="113" priority="18">
      <formula>#REF!="LOST"</formula>
    </cfRule>
    <cfRule type="expression" dxfId="112" priority="19">
      <formula>#REF!="COMPLETED"</formula>
    </cfRule>
  </conditionalFormatting>
  <conditionalFormatting sqref="A82">
    <cfRule type="expression" dxfId="111" priority="11">
      <formula>ISNUMBER(G)</formula>
    </cfRule>
  </conditionalFormatting>
  <conditionalFormatting sqref="A82">
    <cfRule type="cellIs" dxfId="110" priority="9" operator="equal">
      <formula>"LOSS"</formula>
    </cfRule>
    <cfRule type="cellIs" dxfId="109" priority="10" operator="equal">
      <formula>"INQUIRY ONLY"</formula>
    </cfRule>
  </conditionalFormatting>
  <conditionalFormatting sqref="A82">
    <cfRule type="expression" dxfId="108" priority="12">
      <formula>#REF!="COMPLETED"</formula>
    </cfRule>
  </conditionalFormatting>
  <conditionalFormatting sqref="A82">
    <cfRule type="expression" dxfId="107" priority="13">
      <formula>#REF!="LOST"</formula>
    </cfRule>
    <cfRule type="expression" dxfId="106" priority="14">
      <formula>#REF!="COMPLETED"</formula>
    </cfRule>
  </conditionalFormatting>
  <conditionalFormatting sqref="A82">
    <cfRule type="expression" dxfId="105" priority="4">
      <formula>ISNUMBER(G)</formula>
    </cfRule>
  </conditionalFormatting>
  <conditionalFormatting sqref="A82">
    <cfRule type="cellIs" dxfId="104" priority="2" operator="equal">
      <formula>"LOSS"</formula>
    </cfRule>
    <cfRule type="cellIs" dxfId="103" priority="3" operator="equal">
      <formula>"INQUIRY ONLY"</formula>
    </cfRule>
  </conditionalFormatting>
  <conditionalFormatting sqref="A82">
    <cfRule type="expression" dxfId="102" priority="5">
      <formula>#REF!="COMPLETED"</formula>
    </cfRule>
  </conditionalFormatting>
  <conditionalFormatting sqref="A82">
    <cfRule type="expression" dxfId="101" priority="6">
      <formula>#REF!="LOST"</formula>
    </cfRule>
    <cfRule type="expression" dxfId="100" priority="7">
      <formula>#REF!="COMPLETED"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35D184AC-514A-4798-A3D3-9C410C352C87}">
            <xm:f>NOT(ISERROR(SEARCH("COMPLETED",A3)))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C3:F3 S3:V3 F6:F12 C6:D24 A3:A10</xm:sqref>
        </x14:conditionalFormatting>
        <x14:conditionalFormatting xmlns:xm="http://schemas.microsoft.com/office/excel/2006/main">
          <x14:cfRule type="containsText" priority="862" operator="containsText" id="{52DCF6F0-9386-4754-A4EF-6989458D1404}">
            <xm:f>NOT(ISERROR(SEARCH("COMPLETED",B3)))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containsText" priority="733" operator="containsText" id="{23ABBA88-FD1D-428F-B5D4-62A27F3E3C9D}">
            <xm:f>NOT(ISERROR(SEARCH("COMPLETED",B4)))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C25:E25 C26:D26 D27:D37 E26:E38 F25:F37 B13:B37 D4:F5 B4:B5 B39:B49 D39:F49 D51:F55 B51:B55 B57:B61 D57:F61 D63:F67 B63:B67</xm:sqref>
        </x14:conditionalFormatting>
        <x14:conditionalFormatting xmlns:xm="http://schemas.microsoft.com/office/excel/2006/main">
          <x14:cfRule type="containsText" priority="726" operator="containsText" id="{B0BB1813-FF03-46C8-A7C9-E2D1F68A879C}">
            <xm:f>NOT(ISERROR(SEARCH("COMPLETED",D9)))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719" operator="containsText" id="{E66836AB-0612-4D4C-82E3-70A49AA6F41E}">
            <xm:f>NOT(ISERROR(SEARCH("COMPLETED",D10)))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containsText" priority="712" operator="containsText" id="{66502276-E967-4F1E-8513-260E97EAC87C}">
            <xm:f>NOT(ISERROR(SEARCH("COMPLETED",D17)))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containsText" priority="705" operator="containsText" id="{78A73538-AFA3-4D1A-B166-79BF78FBBB0A}">
            <xm:f>NOT(ISERROR(SEARCH("COMPLETED",D18)))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containsText" priority="698" operator="containsText" id="{C580484A-E544-447D-8A60-67592B395CE2}">
            <xm:f>NOT(ISERROR(SEARCH("COMPLETED",D23)))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D23</xm:sqref>
        </x14:conditionalFormatting>
        <x14:conditionalFormatting xmlns:xm="http://schemas.microsoft.com/office/excel/2006/main">
          <x14:cfRule type="containsText" priority="691" operator="containsText" id="{933DA8D9-74D5-4DFB-81F0-8AA1A3520DFD}">
            <xm:f>NOT(ISERROR(SEARCH("COMPLETED",D24)))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D24</xm:sqref>
        </x14:conditionalFormatting>
        <x14:conditionalFormatting xmlns:xm="http://schemas.microsoft.com/office/excel/2006/main">
          <x14:cfRule type="containsText" priority="686" operator="containsText" id="{4C9AC419-D161-4484-9A71-E9F9027232EE}">
            <xm:f>NOT(ISERROR(SEARCH("COMPLETED",D69)))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D69:F69</xm:sqref>
        </x14:conditionalFormatting>
        <x14:conditionalFormatting xmlns:xm="http://schemas.microsoft.com/office/excel/2006/main">
          <x14:cfRule type="containsText" priority="583" operator="containsText" id="{D3DEC759-6CCA-44FE-8781-2129B784259D}">
            <xm:f>NOT(ISERROR(SEARCH("COMPLETED",B17)))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containsText" priority="576" operator="containsText" id="{B79A45A6-C3F0-4790-BD33-AA2632709ABE}">
            <xm:f>NOT(ISERROR(SEARCH("COMPLETED",B18)))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B18</xm:sqref>
        </x14:conditionalFormatting>
        <x14:conditionalFormatting xmlns:xm="http://schemas.microsoft.com/office/excel/2006/main">
          <x14:cfRule type="containsText" priority="569" operator="containsText" id="{DEAD1DA1-F7E6-4715-A858-46001F4E1FDE}">
            <xm:f>NOT(ISERROR(SEARCH("COMPLETED",B23)))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B23</xm:sqref>
        </x14:conditionalFormatting>
        <x14:conditionalFormatting xmlns:xm="http://schemas.microsoft.com/office/excel/2006/main">
          <x14:cfRule type="containsText" priority="562" operator="containsText" id="{335A5704-8F76-431F-9523-CA7BB74BDAA7}">
            <xm:f>NOT(ISERROR(SEARCH("COMPLETED",B24)))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B24</xm:sqref>
        </x14:conditionalFormatting>
        <x14:conditionalFormatting xmlns:xm="http://schemas.microsoft.com/office/excel/2006/main">
          <x14:cfRule type="containsText" priority="557" operator="containsText" id="{C3BEF757-0003-4C22-B535-4D0A941F7569}">
            <xm:f>NOT(ISERROR(SEARCH("COMPLETED",B69)))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B69</xm:sqref>
        </x14:conditionalFormatting>
        <x14:conditionalFormatting xmlns:xm="http://schemas.microsoft.com/office/excel/2006/main">
          <x14:cfRule type="containsText" priority="550" operator="containsText" id="{48130EA9-C9BF-4AFC-B816-F1DFACD6B15A}">
            <xm:f>NOT(ISERROR(SEARCH("COMPLETED",A11)))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A11:A37 A39:A70</xm:sqref>
        </x14:conditionalFormatting>
        <x14:conditionalFormatting xmlns:xm="http://schemas.microsoft.com/office/excel/2006/main">
          <x14:cfRule type="containsText" priority="543" operator="containsText" id="{288A5307-D638-4698-8E8B-87BE820D4279}">
            <xm:f>NOT(ISERROR(SEARCH("COMPLETED",A17)))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A17</xm:sqref>
        </x14:conditionalFormatting>
        <x14:conditionalFormatting xmlns:xm="http://schemas.microsoft.com/office/excel/2006/main">
          <x14:cfRule type="containsText" priority="536" operator="containsText" id="{537B21E3-9B2C-460E-8E79-44AAE80E0169}">
            <xm:f>NOT(ISERROR(SEARCH("COMPLETED",A18)))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A18</xm:sqref>
        </x14:conditionalFormatting>
        <x14:conditionalFormatting xmlns:xm="http://schemas.microsoft.com/office/excel/2006/main">
          <x14:cfRule type="containsText" priority="529" operator="containsText" id="{F16B368B-5FC4-465E-A95E-CE5984A40590}">
            <xm:f>NOT(ISERROR(SEARCH("COMPLETED",A23)))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A23</xm:sqref>
        </x14:conditionalFormatting>
        <x14:conditionalFormatting xmlns:xm="http://schemas.microsoft.com/office/excel/2006/main">
          <x14:cfRule type="containsText" priority="522" operator="containsText" id="{C0FA22A9-9323-4E51-A1E3-13E61655397C}">
            <xm:f>NOT(ISERROR(SEARCH("COMPLETED",A24)))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A24</xm:sqref>
        </x14:conditionalFormatting>
        <x14:conditionalFormatting xmlns:xm="http://schemas.microsoft.com/office/excel/2006/main">
          <x14:cfRule type="containsText" priority="517" operator="containsText" id="{6443EF9F-2ACA-492D-862B-A23C5947CBAA}">
            <xm:f>NOT(ISERROR(SEARCH("COMPLETED",A69)))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A69</xm:sqref>
        </x14:conditionalFormatting>
        <x14:conditionalFormatting xmlns:xm="http://schemas.microsoft.com/office/excel/2006/main">
          <x14:cfRule type="containsText" priority="485" operator="containsText" id="{BF5461B0-FD29-4AA2-BE35-C335CAAAD7E8}">
            <xm:f>NOT(ISERROR(SEARCH("COMPLETED",C8)))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F8 C8</xm:sqref>
        </x14:conditionalFormatting>
        <x14:conditionalFormatting xmlns:xm="http://schemas.microsoft.com/office/excel/2006/main">
          <x14:cfRule type="containsText" priority="406" operator="containsText" id="{64DE298E-B77E-4CAD-B18F-3D6BBA0559EF}">
            <xm:f>NOT(ISERROR(SEARCH("COMPLETED",A11)))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A11</xm:sqref>
        </x14:conditionalFormatting>
        <x14:conditionalFormatting xmlns:xm="http://schemas.microsoft.com/office/excel/2006/main">
          <x14:cfRule type="containsText" priority="399" operator="containsText" id="{1C23278E-FDDF-46C9-B61A-048664192F30}">
            <xm:f>NOT(ISERROR(SEARCH("COMPLETED",A12)))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A12</xm:sqref>
        </x14:conditionalFormatting>
        <x14:conditionalFormatting xmlns:xm="http://schemas.microsoft.com/office/excel/2006/main">
          <x14:cfRule type="containsText" priority="397" operator="containsText" id="{01A51A6B-1EEE-48F7-A7BF-4CDFD1598651}">
            <xm:f>NOT(ISERROR(SEARCH("COMPLETED",C50)))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F50 C50:D50</xm:sqref>
        </x14:conditionalFormatting>
        <x14:conditionalFormatting xmlns:xm="http://schemas.microsoft.com/office/excel/2006/main">
          <x14:cfRule type="containsText" priority="385" operator="containsText" id="{655CC8D9-90A3-4C9D-B131-5F5DFD768DD5}">
            <xm:f>NOT(ISERROR(SEARCH("COMPLETED",A50)))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A50</xm:sqref>
        </x14:conditionalFormatting>
        <x14:conditionalFormatting xmlns:xm="http://schemas.microsoft.com/office/excel/2006/main">
          <x14:cfRule type="containsText" priority="383" operator="containsText" id="{CDD0BA4E-61D0-492D-8AFC-4D8C90AA204E}">
            <xm:f>NOT(ISERROR(SEARCH("COMPLETED",C56)))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F56 C56:D56</xm:sqref>
        </x14:conditionalFormatting>
        <x14:conditionalFormatting xmlns:xm="http://schemas.microsoft.com/office/excel/2006/main">
          <x14:cfRule type="containsText" priority="371" operator="containsText" id="{9B5F6C96-94DC-4A8E-A1FD-5CC67C64D18F}">
            <xm:f>NOT(ISERROR(SEARCH("COMPLETED",A56)))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A56</xm:sqref>
        </x14:conditionalFormatting>
        <x14:conditionalFormatting xmlns:xm="http://schemas.microsoft.com/office/excel/2006/main">
          <x14:cfRule type="containsText" priority="369" operator="containsText" id="{1986655C-1182-4716-B53C-D343CE951E72}">
            <xm:f>NOT(ISERROR(SEARCH("COMPLETED",C62)))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F62 C62:D62</xm:sqref>
        </x14:conditionalFormatting>
        <x14:conditionalFormatting xmlns:xm="http://schemas.microsoft.com/office/excel/2006/main">
          <x14:cfRule type="containsText" priority="357" operator="containsText" id="{3C16BC0D-9E15-4614-B1EE-8A5B4DF0F00E}">
            <xm:f>NOT(ISERROR(SEARCH("COMPLETED",A62)))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A62</xm:sqref>
        </x14:conditionalFormatting>
        <x14:conditionalFormatting xmlns:xm="http://schemas.microsoft.com/office/excel/2006/main">
          <x14:cfRule type="containsText" priority="355" operator="containsText" id="{EB77753E-5950-4C7E-8C8C-430201D44494}">
            <xm:f>NOT(ISERROR(SEARCH("COMPLETED",C68)))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F68 C68:D68</xm:sqref>
        </x14:conditionalFormatting>
        <x14:conditionalFormatting xmlns:xm="http://schemas.microsoft.com/office/excel/2006/main">
          <x14:cfRule type="containsText" priority="343" operator="containsText" id="{D84313B3-C69D-468D-B50B-421233DB5785}">
            <xm:f>NOT(ISERROR(SEARCH("COMPLETED",A68)))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A68</xm:sqref>
        </x14:conditionalFormatting>
        <x14:conditionalFormatting xmlns:xm="http://schemas.microsoft.com/office/excel/2006/main">
          <x14:cfRule type="containsText" priority="341" operator="containsText" id="{4EE1A6E6-9196-40BB-A873-0322C3684164}">
            <xm:f>NOT(ISERROR(SEARCH("COMPLETED",C70)))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F70 C70:D70</xm:sqref>
        </x14:conditionalFormatting>
        <x14:conditionalFormatting xmlns:xm="http://schemas.microsoft.com/office/excel/2006/main">
          <x14:cfRule type="containsText" priority="328" operator="containsText" id="{42EEE8EA-5561-45D7-9BB3-35CAF46CB868}">
            <xm:f>NOT(ISERROR(SEARCH("COMPLETED",A70)))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A70</xm:sqref>
        </x14:conditionalFormatting>
        <x14:conditionalFormatting xmlns:xm="http://schemas.microsoft.com/office/excel/2006/main">
          <x14:cfRule type="containsText" priority="321" operator="containsText" id="{F1DDAF41-0045-4931-9A21-69D85DA70CBB}">
            <xm:f>NOT(ISERROR(SEARCH("COMPLETED",A70)))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A70</xm:sqref>
        </x14:conditionalFormatting>
        <x14:conditionalFormatting xmlns:xm="http://schemas.microsoft.com/office/excel/2006/main">
          <x14:cfRule type="containsText" priority="319" operator="containsText" id="{AA0EECF1-0085-4C4A-B2DB-F2BF61B2B82D}">
            <xm:f>NOT(ISERROR(SEARCH("COMPLETED",C73)))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F73 C73:D73</xm:sqref>
        </x14:conditionalFormatting>
        <x14:conditionalFormatting xmlns:xm="http://schemas.microsoft.com/office/excel/2006/main">
          <x14:cfRule type="containsText" priority="295" operator="containsText" id="{2DFB1446-19F3-4376-A216-93AA508EF7EC}">
            <xm:f>NOT(ISERROR(SEARCH("COMPLETED",C79)))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F79 C79:D79</xm:sqref>
        </x14:conditionalFormatting>
        <x14:conditionalFormatting xmlns:xm="http://schemas.microsoft.com/office/excel/2006/main">
          <x14:cfRule type="containsText" priority="271" operator="containsText" id="{3CB26F41-C5C1-4EF3-BD87-942451324695}">
            <xm:f>NOT(ISERROR(SEARCH("COMPLETED",C82)))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F82 C82:D82</xm:sqref>
        </x14:conditionalFormatting>
        <x14:conditionalFormatting xmlns:xm="http://schemas.microsoft.com/office/excel/2006/main">
          <x14:cfRule type="containsText" priority="242" operator="containsText" id="{0489F287-5204-4AE4-AFA2-E5390A6B11B4}">
            <xm:f>NOT(ISERROR(SEARCH("COMPLETED",A49)))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A49</xm:sqref>
        </x14:conditionalFormatting>
        <x14:conditionalFormatting xmlns:xm="http://schemas.microsoft.com/office/excel/2006/main">
          <x14:cfRule type="containsText" priority="235" operator="containsText" id="{F46A0D8B-CF77-4D45-8B3D-D867C6D1D155}">
            <xm:f>NOT(ISERROR(SEARCH("COMPLETED",A50)))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A50</xm:sqref>
        </x14:conditionalFormatting>
        <x14:conditionalFormatting xmlns:xm="http://schemas.microsoft.com/office/excel/2006/main">
          <x14:cfRule type="containsText" priority="228" operator="containsText" id="{F481388B-FFA2-4F47-92C0-C633B3C2610F}">
            <xm:f>NOT(ISERROR(SEARCH("COMPLETED",A55)))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A55</xm:sqref>
        </x14:conditionalFormatting>
        <x14:conditionalFormatting xmlns:xm="http://schemas.microsoft.com/office/excel/2006/main">
          <x14:cfRule type="containsText" priority="221" operator="containsText" id="{2536BC86-9F64-4A6B-B364-D9ACC4A0C9B2}">
            <xm:f>NOT(ISERROR(SEARCH("COMPLETED",A56)))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A56</xm:sqref>
        </x14:conditionalFormatting>
        <x14:conditionalFormatting xmlns:xm="http://schemas.microsoft.com/office/excel/2006/main">
          <x14:cfRule type="containsText" priority="214" operator="containsText" id="{BFBF453A-7F39-4063-B6CF-16794DA181CB}">
            <xm:f>NOT(ISERROR(SEARCH("COMPLETED",A61)))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A61</xm:sqref>
        </x14:conditionalFormatting>
        <x14:conditionalFormatting xmlns:xm="http://schemas.microsoft.com/office/excel/2006/main">
          <x14:cfRule type="containsText" priority="207" operator="containsText" id="{B1AE2EAD-64BA-4E5D-BD0F-D2DE5078D39E}">
            <xm:f>NOT(ISERROR(SEARCH("COMPLETED",A62)))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A62</xm:sqref>
        </x14:conditionalFormatting>
        <x14:conditionalFormatting xmlns:xm="http://schemas.microsoft.com/office/excel/2006/main">
          <x14:cfRule type="containsText" priority="200" operator="containsText" id="{6F9E5683-81E8-4B3A-AFB7-8DB067737127}">
            <xm:f>NOT(ISERROR(SEARCH("COMPLETED",A67)))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A67</xm:sqref>
        </x14:conditionalFormatting>
        <x14:conditionalFormatting xmlns:xm="http://schemas.microsoft.com/office/excel/2006/main">
          <x14:cfRule type="containsText" priority="193" operator="containsText" id="{EFA9A647-D7C9-4EDA-A2A5-74BD0B668280}">
            <xm:f>NOT(ISERROR(SEARCH("COMPLETED",A68)))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A68</xm:sqref>
        </x14:conditionalFormatting>
        <x14:conditionalFormatting xmlns:xm="http://schemas.microsoft.com/office/excel/2006/main">
          <x14:cfRule type="containsText" priority="186" operator="containsText" id="{7CB8A82F-BD35-4D31-926B-44C5380F3745}">
            <xm:f>NOT(ISERROR(SEARCH("COMPLETED",A72)))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A72:A75</xm:sqref>
        </x14:conditionalFormatting>
        <x14:conditionalFormatting xmlns:xm="http://schemas.microsoft.com/office/excel/2006/main">
          <x14:cfRule type="containsText" priority="181" operator="containsText" id="{41D7E7F2-5DCF-43AC-AB53-60976FEC49A5}">
            <xm:f>NOT(ISERROR(SEARCH("COMPLETED",A74)))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A74</xm:sqref>
        </x14:conditionalFormatting>
        <x14:conditionalFormatting xmlns:xm="http://schemas.microsoft.com/office/excel/2006/main">
          <x14:cfRule type="containsText" priority="174" operator="containsText" id="{BEED91B2-E209-4427-B4AF-99A55A4F9F53}">
            <xm:f>NOT(ISERROR(SEARCH("COMPLETED",A73)))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A73</xm:sqref>
        </x14:conditionalFormatting>
        <x14:conditionalFormatting xmlns:xm="http://schemas.microsoft.com/office/excel/2006/main">
          <x14:cfRule type="containsText" priority="169" operator="containsText" id="{7EFAAC70-3AE4-486A-A487-D3348C940CFB}">
            <xm:f>NOT(ISERROR(SEARCH("COMPLETED",A75)))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A75</xm:sqref>
        </x14:conditionalFormatting>
        <x14:conditionalFormatting xmlns:xm="http://schemas.microsoft.com/office/excel/2006/main">
          <x14:cfRule type="containsText" priority="162" operator="containsText" id="{B4D9B96A-D2E9-45E6-BF38-483F2F04D28A}">
            <xm:f>NOT(ISERROR(SEARCH("COMPLETED",A75)))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A75</xm:sqref>
        </x14:conditionalFormatting>
        <x14:conditionalFormatting xmlns:xm="http://schemas.microsoft.com/office/excel/2006/main">
          <x14:cfRule type="containsText" priority="155" operator="containsText" id="{07B1EE3A-3150-4901-84B9-86BAC4200C5A}">
            <xm:f>NOT(ISERROR(SEARCH("COMPLETED",A72)))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A72</xm:sqref>
        </x14:conditionalFormatting>
        <x14:conditionalFormatting xmlns:xm="http://schemas.microsoft.com/office/excel/2006/main">
          <x14:cfRule type="containsText" priority="148" operator="containsText" id="{C3BA90C5-8C27-4253-9B3B-A487737CE3E6}">
            <xm:f>NOT(ISERROR(SEARCH("COMPLETED",A73)))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A73</xm:sqref>
        </x14:conditionalFormatting>
        <x14:conditionalFormatting xmlns:xm="http://schemas.microsoft.com/office/excel/2006/main">
          <x14:cfRule type="containsText" priority="141" operator="containsText" id="{63788AAA-FDFF-437D-B13E-1EA6428C6769}">
            <xm:f>NOT(ISERROR(SEARCH("COMPLETED",A78)))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A78</xm:sqref>
        </x14:conditionalFormatting>
        <x14:conditionalFormatting xmlns:xm="http://schemas.microsoft.com/office/excel/2006/main">
          <x14:cfRule type="containsText" priority="110" operator="containsText" id="{7573C8B2-480A-4F8A-99FA-5A3A1D84EF76}">
            <xm:f>NOT(ISERROR(SEARCH("COMPLETED",A78)))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A78</xm:sqref>
        </x14:conditionalFormatting>
        <x14:conditionalFormatting xmlns:xm="http://schemas.microsoft.com/office/excel/2006/main">
          <x14:cfRule type="containsText" priority="96" operator="containsText" id="{06C11943-0427-40BA-8FCF-B8792F635789}">
            <xm:f>NOT(ISERROR(SEARCH("COMPLETED",A79)))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A79:A83</xm:sqref>
        </x14:conditionalFormatting>
        <x14:conditionalFormatting xmlns:xm="http://schemas.microsoft.com/office/excel/2006/main">
          <x14:cfRule type="containsText" priority="91" operator="containsText" id="{008483FE-4BD0-4991-8E42-6C8BF78E9238}">
            <xm:f>NOT(ISERROR(SEARCH("COMPLETED",A82)))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A82</xm:sqref>
        </x14:conditionalFormatting>
        <x14:conditionalFormatting xmlns:xm="http://schemas.microsoft.com/office/excel/2006/main">
          <x14:cfRule type="containsText" priority="84" operator="containsText" id="{35C553DF-AABE-4C23-8D4A-FF570598510D}">
            <xm:f>NOT(ISERROR(SEARCH("COMPLETED",A81)))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A81</xm:sqref>
        </x14:conditionalFormatting>
        <x14:conditionalFormatting xmlns:xm="http://schemas.microsoft.com/office/excel/2006/main">
          <x14:cfRule type="containsText" priority="79" operator="containsText" id="{2D8D5B20-B590-4B52-A30A-784A1814A023}">
            <xm:f>NOT(ISERROR(SEARCH("COMPLETED",A83)))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A83</xm:sqref>
        </x14:conditionalFormatting>
        <x14:conditionalFormatting xmlns:xm="http://schemas.microsoft.com/office/excel/2006/main">
          <x14:cfRule type="containsText" priority="72" operator="containsText" id="{50B88779-838A-4773-91E2-C5116CC22E1C}">
            <xm:f>NOT(ISERROR(SEARCH("COMPLETED",A83)))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A83</xm:sqref>
        </x14:conditionalFormatting>
        <x14:conditionalFormatting xmlns:xm="http://schemas.microsoft.com/office/excel/2006/main">
          <x14:cfRule type="containsText" priority="58" operator="containsText" id="{2AE77B85-5DA0-4F4C-AB62-87E83D351ECE}">
            <xm:f>NOT(ISERROR(SEARCH("COMPLETED",A81)))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A81</xm:sqref>
        </x14:conditionalFormatting>
        <x14:conditionalFormatting xmlns:xm="http://schemas.microsoft.com/office/excel/2006/main">
          <x14:cfRule type="containsText" priority="53" operator="containsText" id="{123FAD02-1DB1-48A1-8B28-672F90BBE46F}">
            <xm:f>NOT(ISERROR(SEARCH("COMPLETED",A80)))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A80</xm:sqref>
        </x14:conditionalFormatting>
        <x14:conditionalFormatting xmlns:xm="http://schemas.microsoft.com/office/excel/2006/main">
          <x14:cfRule type="containsText" priority="46" operator="containsText" id="{7DA2B08C-8166-45B0-9BDF-4ABA9E462434}">
            <xm:f>NOT(ISERROR(SEARCH("COMPLETED",A79)))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A79</xm:sqref>
        </x14:conditionalFormatting>
        <x14:conditionalFormatting xmlns:xm="http://schemas.microsoft.com/office/excel/2006/main">
          <x14:cfRule type="containsText" priority="39" operator="containsText" id="{B6A96BF2-2C84-4EA4-8144-A5C550259696}">
            <xm:f>NOT(ISERROR(SEARCH("COMPLETED",A79)))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A79</xm:sqref>
        </x14:conditionalFormatting>
        <x14:conditionalFormatting xmlns:xm="http://schemas.microsoft.com/office/excel/2006/main">
          <x14:cfRule type="containsText" priority="34" operator="containsText" id="{87C4F690-B263-4D1A-AEF2-6F261C9331EC}">
            <xm:f>NOT(ISERROR(SEARCH("COMPLETED",A82)))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A82</xm:sqref>
        </x14:conditionalFormatting>
        <x14:conditionalFormatting xmlns:xm="http://schemas.microsoft.com/office/excel/2006/main">
          <x14:cfRule type="containsText" priority="27" operator="containsText" id="{B9BE07F2-6437-4BB6-A92D-A9FC4B673A22}">
            <xm:f>NOT(ISERROR(SEARCH("COMPLETED",A81)))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A81</xm:sqref>
        </x14:conditionalFormatting>
        <x14:conditionalFormatting xmlns:xm="http://schemas.microsoft.com/office/excel/2006/main">
          <x14:cfRule type="containsText" priority="20" operator="containsText" id="{AD14A8E8-0898-4C83-9BC5-15607F1F6E04}">
            <xm:f>NOT(ISERROR(SEARCH("COMPLETED",A81)))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A81</xm:sqref>
        </x14:conditionalFormatting>
        <x14:conditionalFormatting xmlns:xm="http://schemas.microsoft.com/office/excel/2006/main">
          <x14:cfRule type="containsText" priority="15" operator="containsText" id="{139E4AF8-6058-456A-8E23-E6A02FD6F6EB}">
            <xm:f>NOT(ISERROR(SEARCH("COMPLETED",A83)))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A83</xm:sqref>
        </x14:conditionalFormatting>
        <x14:conditionalFormatting xmlns:xm="http://schemas.microsoft.com/office/excel/2006/main">
          <x14:cfRule type="containsText" priority="8" operator="containsText" id="{CE436836-BB41-4F79-B0D4-307D7B60A6F8}">
            <xm:f>NOT(ISERROR(SEARCH("COMPLETED",A82)))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A82</xm:sqref>
        </x14:conditionalFormatting>
        <x14:conditionalFormatting xmlns:xm="http://schemas.microsoft.com/office/excel/2006/main">
          <x14:cfRule type="containsText" priority="1" operator="containsText" id="{89811EEB-D972-4C78-9803-A8CA3060715A}">
            <xm:f>NOT(ISERROR(SEARCH("COMPLETED",A82)))</xm:f>
            <xm:f>"COMPLETED"</xm:f>
            <x14:dxf>
              <font>
                <strike/>
                <u val="none"/>
                <color theme="0"/>
              </font>
              <fill>
                <patternFill>
                  <bgColor rgb="FF00B050"/>
                </patternFill>
              </fill>
            </x14:dxf>
          </x14:cfRule>
          <xm:sqref>A82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CDA06-1230-40C3-A406-393D55B7F0E5}">
  <sheetPr codeName="Sheet10">
    <pageSetUpPr fitToPage="1"/>
  </sheetPr>
  <dimension ref="A1:GI358"/>
  <sheetViews>
    <sheetView showGridLines="0" zoomScale="115" zoomScaleNormal="115" workbookViewId="0">
      <pane xSplit="2" ySplit="3" topLeftCell="CB4" activePane="bottomRight" state="frozen"/>
      <selection activeCell="CG10" sqref="CG10"/>
      <selection pane="topRight" activeCell="CG10" sqref="CG10"/>
      <selection pane="bottomLeft" activeCell="CG10" sqref="CG10"/>
      <selection pane="bottomRight" activeCell="CG10" sqref="CG10"/>
    </sheetView>
  </sheetViews>
  <sheetFormatPr defaultColWidth="0" defaultRowHeight="18" zeroHeight="1" x14ac:dyDescent="0.35"/>
  <cols>
    <col min="1" max="1" width="15.5546875" style="43" customWidth="1"/>
    <col min="2" max="2" width="3.6640625" customWidth="1"/>
    <col min="3" max="3" width="24.44140625" customWidth="1"/>
    <col min="4" max="4" width="4.6640625" customWidth="1"/>
    <col min="5" max="5" width="24.44140625" customWidth="1"/>
    <col min="6" max="6" width="4.6640625" customWidth="1"/>
    <col min="7" max="7" width="24.44140625" customWidth="1"/>
    <col min="8" max="8" width="4.6640625" customWidth="1"/>
    <col min="9" max="9" width="24.44140625" customWidth="1"/>
    <col min="10" max="10" width="4.6640625" customWidth="1"/>
    <col min="11" max="11" width="24.44140625" customWidth="1"/>
    <col min="12" max="12" width="4.6640625" customWidth="1"/>
    <col min="13" max="13" width="24.44140625" customWidth="1"/>
    <col min="14" max="14" width="4.6640625" customWidth="1"/>
    <col min="15" max="15" width="24.44140625" customWidth="1"/>
    <col min="16" max="16" width="4.6640625" customWidth="1"/>
    <col min="17" max="17" width="24.44140625" customWidth="1"/>
    <col min="18" max="18" width="4.6640625" customWidth="1"/>
    <col min="19" max="19" width="24.44140625" customWidth="1"/>
    <col min="20" max="20" width="4.6640625" customWidth="1"/>
    <col min="21" max="21" width="24.44140625" customWidth="1"/>
    <col min="22" max="22" width="4.6640625" customWidth="1"/>
    <col min="23" max="23" width="24.44140625" customWidth="1"/>
    <col min="24" max="24" width="4.6640625" customWidth="1"/>
    <col min="25" max="25" width="24.44140625" customWidth="1"/>
    <col min="26" max="26" width="4.6640625" customWidth="1"/>
    <col min="27" max="27" width="24.44140625" customWidth="1"/>
    <col min="28" max="28" width="4.6640625" customWidth="1"/>
    <col min="29" max="29" width="24.44140625" customWidth="1"/>
    <col min="30" max="30" width="4.6640625" customWidth="1"/>
    <col min="31" max="31" width="24.44140625" customWidth="1"/>
    <col min="32" max="32" width="4.6640625" customWidth="1"/>
    <col min="33" max="33" width="24.44140625" customWidth="1"/>
    <col min="34" max="34" width="4.6640625" customWidth="1"/>
    <col min="35" max="35" width="24.44140625" customWidth="1"/>
    <col min="36" max="36" width="4.6640625" customWidth="1"/>
    <col min="37" max="37" width="24.44140625" customWidth="1"/>
    <col min="38" max="38" width="4.6640625" customWidth="1"/>
    <col min="39" max="39" width="24.44140625" customWidth="1"/>
    <col min="40" max="40" width="4.6640625" customWidth="1"/>
    <col min="41" max="41" width="24.44140625" customWidth="1"/>
    <col min="42" max="42" width="4.6640625" customWidth="1"/>
    <col min="43" max="43" width="24.44140625" customWidth="1"/>
    <col min="44" max="44" width="4.6640625" customWidth="1"/>
    <col min="45" max="45" width="24.44140625" customWidth="1"/>
    <col min="46" max="46" width="4.6640625" customWidth="1"/>
    <col min="47" max="47" width="24.44140625" customWidth="1"/>
    <col min="48" max="48" width="4.6640625" customWidth="1"/>
    <col min="49" max="49" width="24.44140625" customWidth="1"/>
    <col min="50" max="50" width="4.6640625" customWidth="1"/>
    <col min="51" max="51" width="24.44140625" customWidth="1"/>
    <col min="52" max="52" width="4.6640625" customWidth="1"/>
    <col min="53" max="53" width="24.44140625" customWidth="1"/>
    <col min="54" max="54" width="4.6640625" customWidth="1"/>
    <col min="55" max="55" width="24.44140625" customWidth="1"/>
    <col min="56" max="56" width="4.6640625" customWidth="1"/>
    <col min="57" max="57" width="24.44140625" customWidth="1"/>
    <col min="58" max="58" width="4.6640625" customWidth="1"/>
    <col min="59" max="59" width="24.44140625" customWidth="1"/>
    <col min="60" max="60" width="4.6640625" customWidth="1"/>
    <col min="61" max="61" width="24.44140625" customWidth="1"/>
    <col min="62" max="62" width="4.6640625" customWidth="1"/>
    <col min="63" max="63" width="24.44140625" customWidth="1"/>
    <col min="64" max="64" width="4.6640625" customWidth="1"/>
    <col min="65" max="65" width="24.44140625" customWidth="1"/>
    <col min="66" max="66" width="4.6640625" customWidth="1"/>
    <col min="67" max="67" width="24.44140625" customWidth="1"/>
    <col min="68" max="68" width="4.6640625" customWidth="1"/>
    <col min="69" max="69" width="24.44140625" customWidth="1"/>
    <col min="70" max="70" width="4.6640625" customWidth="1"/>
    <col min="71" max="71" width="24.44140625" customWidth="1"/>
    <col min="72" max="72" width="4.6640625" customWidth="1"/>
    <col min="73" max="73" width="24.44140625" customWidth="1"/>
    <col min="74" max="74" width="4.6640625" customWidth="1"/>
    <col min="75" max="75" width="24.44140625" customWidth="1"/>
    <col min="76" max="76" width="4.6640625" customWidth="1"/>
    <col min="77" max="77" width="24.44140625" customWidth="1"/>
    <col min="78" max="78" width="4.6640625" customWidth="1"/>
    <col min="79" max="79" width="24.44140625" customWidth="1"/>
    <col min="80" max="80" width="4.6640625" customWidth="1"/>
    <col min="81" max="81" width="24.44140625" customWidth="1"/>
    <col min="82" max="82" width="4.6640625" customWidth="1"/>
    <col min="83" max="83" width="24.44140625" customWidth="1"/>
    <col min="84" max="84" width="4.6640625" customWidth="1"/>
    <col min="85" max="85" width="24.44140625" customWidth="1"/>
    <col min="86" max="86" width="4.6640625" customWidth="1"/>
    <col min="87" max="87" width="24.44140625" customWidth="1"/>
    <col min="88" max="88" width="4.6640625" customWidth="1"/>
    <col min="89" max="89" width="24.44140625" customWidth="1"/>
    <col min="90" max="90" width="4.6640625" customWidth="1"/>
    <col min="91" max="91" width="24.44140625" customWidth="1"/>
    <col min="92" max="92" width="4.6640625" customWidth="1"/>
    <col min="93" max="93" width="24.44140625" customWidth="1"/>
    <col min="94" max="94" width="4.6640625" customWidth="1"/>
    <col min="95" max="95" width="24.44140625" customWidth="1"/>
    <col min="96" max="96" width="4.6640625" customWidth="1"/>
    <col min="97" max="97" width="24.44140625" customWidth="1"/>
    <col min="98" max="98" width="4.6640625" customWidth="1"/>
    <col min="99" max="99" width="24.44140625" customWidth="1"/>
    <col min="100" max="100" width="4.6640625" customWidth="1"/>
    <col min="101" max="101" width="24.44140625" customWidth="1"/>
    <col min="102" max="102" width="4.6640625" customWidth="1"/>
    <col min="103" max="103" width="24.44140625" customWidth="1"/>
    <col min="104" max="104" width="4.6640625" customWidth="1"/>
    <col min="105" max="105" width="24.44140625" customWidth="1"/>
    <col min="106" max="106" width="4.6640625" customWidth="1"/>
    <col min="107" max="107" width="24.44140625" customWidth="1"/>
    <col min="108" max="108" width="4.6640625" customWidth="1"/>
    <col min="109" max="109" width="24.44140625" customWidth="1"/>
    <col min="110" max="110" width="4.6640625" customWidth="1"/>
    <col min="111" max="111" width="24.44140625" customWidth="1"/>
    <col min="112" max="112" width="4.6640625" customWidth="1"/>
    <col min="113" max="113" width="24.44140625" customWidth="1"/>
    <col min="114" max="114" width="4.6640625" customWidth="1"/>
    <col min="115" max="115" width="24.44140625" customWidth="1"/>
    <col min="116" max="116" width="4.6640625" customWidth="1"/>
    <col min="117" max="117" width="24.44140625" customWidth="1"/>
    <col min="118" max="118" width="4.6640625" customWidth="1"/>
    <col min="119" max="119" width="24.44140625" customWidth="1"/>
    <col min="120" max="120" width="4.6640625" customWidth="1"/>
    <col min="121" max="121" width="24.44140625" customWidth="1"/>
    <col min="122" max="122" width="4.6640625" customWidth="1"/>
    <col min="123" max="123" width="24.44140625" customWidth="1"/>
    <col min="124" max="124" width="4.6640625" customWidth="1"/>
    <col min="125" max="146" width="24.44140625" hidden="1" customWidth="1"/>
    <col min="147" max="147" width="2.6640625" hidden="1" customWidth="1"/>
    <col min="148" max="148" width="13.6640625" style="59" hidden="1" customWidth="1"/>
    <col min="149" max="149" width="2.44140625" style="60" hidden="1" customWidth="1"/>
    <col min="150" max="150" width="17.44140625" style="60" hidden="1" customWidth="1"/>
    <col min="151" max="151" width="4" style="60" hidden="1" customWidth="1"/>
    <col min="152" max="152" width="32.44140625" style="60" hidden="1" customWidth="1"/>
    <col min="153" max="153" width="4.33203125" hidden="1" customWidth="1"/>
    <col min="154" max="154" width="32.44140625" style="60" hidden="1" customWidth="1"/>
    <col min="155" max="155" width="4.33203125" style="43" hidden="1" customWidth="1"/>
    <col min="156" max="156" width="32.44140625" style="60" hidden="1" customWidth="1"/>
    <col min="157" max="157" width="4" style="60" hidden="1" customWidth="1"/>
    <col min="158" max="158" width="32.44140625" hidden="1" customWidth="1"/>
    <col min="159" max="159" width="4" style="63" hidden="1" customWidth="1"/>
    <col min="160" max="160" width="32.44140625" hidden="1" customWidth="1"/>
    <col min="161" max="161" width="4" style="63" hidden="1" customWidth="1"/>
    <col min="162" max="162" width="32.44140625" hidden="1" customWidth="1"/>
    <col min="163" max="163" width="15.33203125" hidden="1" customWidth="1"/>
    <col min="164" max="164" width="24.44140625" hidden="1" customWidth="1"/>
    <col min="165" max="165" width="15.109375" hidden="1" customWidth="1"/>
    <col min="166" max="166" width="24.44140625" hidden="1" customWidth="1"/>
    <col min="167" max="167" width="15.109375" hidden="1" customWidth="1"/>
    <col min="168" max="168" width="24.44140625" hidden="1" customWidth="1"/>
    <col min="169" max="169" width="15.109375" hidden="1" customWidth="1"/>
    <col min="170" max="170" width="24.44140625" hidden="1" customWidth="1"/>
    <col min="171" max="171" width="15.109375" hidden="1" customWidth="1"/>
    <col min="172" max="172" width="24.44140625" hidden="1" customWidth="1"/>
    <col min="173" max="173" width="15.109375" hidden="1" customWidth="1"/>
    <col min="174" max="174" width="24.44140625" hidden="1" customWidth="1"/>
    <col min="175" max="175" width="15.109375" hidden="1" customWidth="1"/>
    <col min="176" max="176" width="24.44140625" hidden="1" customWidth="1"/>
    <col min="177" max="177" width="15.109375" hidden="1" customWidth="1"/>
    <col min="178" max="178" width="24.44140625" hidden="1" customWidth="1"/>
    <col min="179" max="179" width="15.109375" hidden="1" customWidth="1"/>
    <col min="180" max="180" width="24.44140625" hidden="1" customWidth="1"/>
    <col min="181" max="181" width="15.109375" hidden="1" customWidth="1"/>
    <col min="182" max="182" width="24.44140625" hidden="1" customWidth="1"/>
    <col min="183" max="183" width="15.109375" hidden="1" customWidth="1"/>
    <col min="184" max="184" width="24.44140625" hidden="1" customWidth="1"/>
    <col min="185" max="185" width="15.109375" hidden="1" customWidth="1"/>
    <col min="186" max="186" width="24.44140625" hidden="1" customWidth="1"/>
    <col min="187" max="187" width="15.109375" hidden="1" customWidth="1"/>
    <col min="188" max="188" width="24.44140625" hidden="1" customWidth="1"/>
    <col min="189" max="189" width="15.109375" hidden="1" customWidth="1"/>
    <col min="190" max="190" width="24.44140625" hidden="1" customWidth="1"/>
    <col min="191" max="191" width="15.109375" hidden="1" customWidth="1"/>
    <col min="192" max="16384" width="24.44140625" hidden="1"/>
  </cols>
  <sheetData>
    <row r="1" spans="1:161" ht="18.600000000000001" customHeight="1" thickTop="1" thickBot="1" x14ac:dyDescent="0.4">
      <c r="A1" s="520" t="s">
        <v>973</v>
      </c>
      <c r="B1" s="520" t="s">
        <v>974</v>
      </c>
      <c r="C1" s="523" t="s">
        <v>975</v>
      </c>
      <c r="D1" s="524" t="s">
        <v>976</v>
      </c>
      <c r="E1" s="525" t="s">
        <v>977</v>
      </c>
      <c r="F1" s="524" t="s">
        <v>976</v>
      </c>
      <c r="G1" s="525" t="s">
        <v>978</v>
      </c>
      <c r="H1" s="524" t="s">
        <v>976</v>
      </c>
      <c r="I1" s="525" t="s">
        <v>979</v>
      </c>
      <c r="J1" s="524" t="s">
        <v>976</v>
      </c>
      <c r="K1" s="525" t="s">
        <v>980</v>
      </c>
      <c r="L1" s="524" t="s">
        <v>976</v>
      </c>
      <c r="M1" s="525" t="s">
        <v>979</v>
      </c>
      <c r="N1" s="524" t="s">
        <v>976</v>
      </c>
      <c r="O1" s="525" t="s">
        <v>981</v>
      </c>
      <c r="P1" s="524" t="s">
        <v>976</v>
      </c>
      <c r="Q1" s="525" t="s">
        <v>982</v>
      </c>
      <c r="R1" s="524" t="s">
        <v>976</v>
      </c>
      <c r="S1" s="525" t="s">
        <v>983</v>
      </c>
      <c r="T1" s="524" t="s">
        <v>976</v>
      </c>
      <c r="U1" s="525"/>
      <c r="V1" s="524" t="s">
        <v>976</v>
      </c>
      <c r="W1" s="525" t="s">
        <v>984</v>
      </c>
      <c r="X1" s="524" t="s">
        <v>976</v>
      </c>
      <c r="Y1" s="525" t="s">
        <v>985</v>
      </c>
      <c r="Z1" s="524" t="s">
        <v>976</v>
      </c>
      <c r="AA1" s="525" t="s">
        <v>986</v>
      </c>
      <c r="AB1" s="524" t="s">
        <v>976</v>
      </c>
      <c r="AC1" s="525" t="s">
        <v>987</v>
      </c>
      <c r="AD1" s="524" t="s">
        <v>976</v>
      </c>
      <c r="AE1" s="525" t="s">
        <v>988</v>
      </c>
      <c r="AF1" s="524" t="s">
        <v>976</v>
      </c>
      <c r="AG1" s="525" t="s">
        <v>989</v>
      </c>
      <c r="AH1" s="524" t="s">
        <v>976</v>
      </c>
      <c r="AI1" s="525" t="s">
        <v>990</v>
      </c>
      <c r="AJ1" s="524" t="s">
        <v>976</v>
      </c>
      <c r="AK1" s="525" t="s">
        <v>991</v>
      </c>
      <c r="AL1" s="524" t="s">
        <v>976</v>
      </c>
      <c r="AM1" s="525" t="s">
        <v>992</v>
      </c>
      <c r="AN1" s="524" t="s">
        <v>976</v>
      </c>
      <c r="AO1" s="525" t="s">
        <v>993</v>
      </c>
      <c r="AP1" s="524" t="s">
        <v>976</v>
      </c>
      <c r="AQ1" s="525" t="s">
        <v>994</v>
      </c>
      <c r="AR1" s="524" t="s">
        <v>976</v>
      </c>
      <c r="AS1" s="525" t="s">
        <v>995</v>
      </c>
      <c r="AT1" s="524" t="s">
        <v>976</v>
      </c>
      <c r="AU1" s="525" t="s">
        <v>996</v>
      </c>
      <c r="AV1" s="524" t="s">
        <v>976</v>
      </c>
      <c r="AW1" s="525" t="s">
        <v>997</v>
      </c>
      <c r="AX1" s="524" t="s">
        <v>976</v>
      </c>
      <c r="AY1" s="525" t="s">
        <v>998</v>
      </c>
      <c r="AZ1" s="524" t="s">
        <v>976</v>
      </c>
      <c r="BA1" s="525" t="s">
        <v>999</v>
      </c>
      <c r="BB1" s="524" t="s">
        <v>976</v>
      </c>
      <c r="BC1" s="525" t="s">
        <v>1000</v>
      </c>
      <c r="BD1" s="524" t="s">
        <v>976</v>
      </c>
      <c r="BE1" s="525" t="s">
        <v>1001</v>
      </c>
      <c r="BF1" s="524" t="s">
        <v>976</v>
      </c>
      <c r="BG1" s="525" t="s">
        <v>1002</v>
      </c>
      <c r="BH1" s="524" t="s">
        <v>976</v>
      </c>
      <c r="BI1" s="525" t="s">
        <v>1003</v>
      </c>
      <c r="BJ1" s="524" t="s">
        <v>976</v>
      </c>
      <c r="BK1" s="525" t="s">
        <v>1004</v>
      </c>
      <c r="BL1" s="524" t="s">
        <v>976</v>
      </c>
      <c r="BM1" s="525" t="s">
        <v>1005</v>
      </c>
      <c r="BN1" s="524" t="s">
        <v>976</v>
      </c>
      <c r="BO1" s="525" t="s">
        <v>1006</v>
      </c>
      <c r="BP1" s="524" t="s">
        <v>976</v>
      </c>
      <c r="BQ1" s="525" t="s">
        <v>1007</v>
      </c>
      <c r="BR1" s="524" t="s">
        <v>976</v>
      </c>
      <c r="BS1" s="525" t="s">
        <v>1008</v>
      </c>
      <c r="BT1" s="524" t="s">
        <v>976</v>
      </c>
      <c r="BU1" s="525" t="s">
        <v>1009</v>
      </c>
      <c r="BV1" s="524" t="s">
        <v>976</v>
      </c>
      <c r="BW1" s="525" t="s">
        <v>1010</v>
      </c>
      <c r="BX1" s="524" t="s">
        <v>976</v>
      </c>
      <c r="BY1" s="525" t="s">
        <v>1011</v>
      </c>
      <c r="BZ1" s="524" t="s">
        <v>976</v>
      </c>
      <c r="CA1" s="525" t="s">
        <v>1012</v>
      </c>
      <c r="CB1" s="524" t="s">
        <v>976</v>
      </c>
      <c r="CC1" s="525" t="s">
        <v>1013</v>
      </c>
      <c r="CD1" s="524" t="s">
        <v>976</v>
      </c>
      <c r="CE1" s="525" t="s">
        <v>1014</v>
      </c>
      <c r="CF1" s="524" t="s">
        <v>976</v>
      </c>
      <c r="CG1" s="525" t="s">
        <v>1015</v>
      </c>
      <c r="CH1" s="524" t="s">
        <v>976</v>
      </c>
      <c r="CI1" s="525" t="s">
        <v>1016</v>
      </c>
      <c r="CJ1" s="524" t="s">
        <v>976</v>
      </c>
      <c r="CK1" s="525" t="s">
        <v>1017</v>
      </c>
      <c r="CL1" s="524" t="s">
        <v>976</v>
      </c>
      <c r="CM1" s="525" t="s">
        <v>1018</v>
      </c>
      <c r="CN1" s="524" t="s">
        <v>976</v>
      </c>
      <c r="CO1" s="525" t="s">
        <v>1019</v>
      </c>
      <c r="CP1" s="524" t="s">
        <v>976</v>
      </c>
      <c r="CQ1" s="525" t="s">
        <v>1020</v>
      </c>
      <c r="CR1" s="524" t="s">
        <v>976</v>
      </c>
      <c r="CS1" s="525" t="s">
        <v>1021</v>
      </c>
      <c r="CT1" s="524" t="s">
        <v>976</v>
      </c>
      <c r="CU1" s="525" t="s">
        <v>1022</v>
      </c>
      <c r="CV1" s="524" t="s">
        <v>976</v>
      </c>
      <c r="CW1" s="525" t="s">
        <v>1023</v>
      </c>
      <c r="CX1" s="524" t="s">
        <v>976</v>
      </c>
      <c r="CY1" s="525" t="s">
        <v>1024</v>
      </c>
      <c r="CZ1" s="524" t="s">
        <v>976</v>
      </c>
      <c r="DA1" s="525" t="s">
        <v>1025</v>
      </c>
      <c r="DB1" s="524" t="s">
        <v>976</v>
      </c>
      <c r="DC1" s="525" t="s">
        <v>1026</v>
      </c>
      <c r="DD1" s="524" t="s">
        <v>976</v>
      </c>
      <c r="DE1" s="525" t="s">
        <v>1027</v>
      </c>
      <c r="DF1" s="524" t="s">
        <v>976</v>
      </c>
      <c r="DG1" s="525" t="s">
        <v>1028</v>
      </c>
      <c r="DH1" s="524" t="s">
        <v>976</v>
      </c>
      <c r="DI1" s="525" t="s">
        <v>1029</v>
      </c>
      <c r="DJ1" s="524" t="s">
        <v>976</v>
      </c>
      <c r="DK1" s="525" t="s">
        <v>1030</v>
      </c>
      <c r="DL1" s="524" t="s">
        <v>976</v>
      </c>
      <c r="DM1" s="525" t="s">
        <v>1031</v>
      </c>
      <c r="DN1" s="524" t="s">
        <v>976</v>
      </c>
      <c r="DO1" s="525" t="s">
        <v>1032</v>
      </c>
      <c r="DP1" s="524" t="s">
        <v>976</v>
      </c>
      <c r="DQ1" s="525" t="s">
        <v>1033</v>
      </c>
      <c r="DR1" s="524" t="s">
        <v>976</v>
      </c>
      <c r="DS1" s="525" t="s">
        <v>1034</v>
      </c>
      <c r="DT1" s="524" t="s">
        <v>976</v>
      </c>
      <c r="DW1" s="44" t="s">
        <v>904</v>
      </c>
      <c r="DX1" s="45"/>
      <c r="DY1" s="45"/>
      <c r="DZ1" s="45"/>
      <c r="EA1" s="46" t="s">
        <v>163</v>
      </c>
      <c r="EB1" s="45"/>
      <c r="EC1" s="47" t="s">
        <v>817</v>
      </c>
      <c r="ED1" s="48"/>
      <c r="EE1" s="49" t="s">
        <v>124</v>
      </c>
      <c r="EF1" s="45"/>
      <c r="EG1" s="50" t="s">
        <v>775</v>
      </c>
      <c r="EH1" s="45"/>
      <c r="EI1" s="51" t="s">
        <v>793</v>
      </c>
      <c r="EJ1" s="45"/>
      <c r="EK1" s="52" t="s">
        <v>1035</v>
      </c>
      <c r="EM1" s="53">
        <v>1</v>
      </c>
      <c r="EN1" s="53" t="s">
        <v>4</v>
      </c>
      <c r="ER1"/>
      <c r="ES1"/>
      <c r="ET1"/>
      <c r="EU1"/>
      <c r="EV1"/>
      <c r="EX1"/>
      <c r="EY1"/>
      <c r="EZ1"/>
      <c r="FA1"/>
      <c r="FC1"/>
      <c r="FE1"/>
    </row>
    <row r="2" spans="1:161" ht="18.600000000000001" thickBot="1" x14ac:dyDescent="0.4">
      <c r="A2" s="518" t="s">
        <v>1036</v>
      </c>
      <c r="B2" s="518"/>
      <c r="C2" s="522" t="s">
        <v>1037</v>
      </c>
      <c r="D2" s="521"/>
      <c r="E2" s="541" t="s">
        <v>1038</v>
      </c>
      <c r="F2" s="542"/>
      <c r="G2" s="541" t="s">
        <v>1039</v>
      </c>
      <c r="H2" s="542"/>
      <c r="I2" s="541" t="s">
        <v>1040</v>
      </c>
      <c r="J2" s="542"/>
      <c r="K2" s="541" t="s">
        <v>1041</v>
      </c>
      <c r="L2" s="542"/>
      <c r="M2" s="541" t="s">
        <v>1042</v>
      </c>
      <c r="N2" s="542"/>
      <c r="O2" s="561" t="s">
        <v>1043</v>
      </c>
      <c r="P2" s="562"/>
      <c r="Q2" s="561" t="s">
        <v>1044</v>
      </c>
      <c r="R2" s="562"/>
      <c r="S2" s="561" t="s">
        <v>1045</v>
      </c>
      <c r="T2" s="562"/>
      <c r="U2" s="561" t="s">
        <v>1046</v>
      </c>
      <c r="V2" s="562"/>
      <c r="W2" s="561" t="s">
        <v>1047</v>
      </c>
      <c r="X2" s="562"/>
      <c r="Y2" s="561" t="s">
        <v>1048</v>
      </c>
      <c r="Z2" s="562"/>
      <c r="AA2" s="561" t="s">
        <v>1049</v>
      </c>
      <c r="AB2" s="562"/>
      <c r="AC2" s="561" t="s">
        <v>1050</v>
      </c>
      <c r="AD2" s="562"/>
      <c r="AE2" s="563" t="s">
        <v>1051</v>
      </c>
      <c r="AF2" s="564"/>
      <c r="AG2" s="563" t="s">
        <v>1052</v>
      </c>
      <c r="AH2" s="564"/>
      <c r="AI2" s="563" t="s">
        <v>1053</v>
      </c>
      <c r="AJ2" s="564"/>
      <c r="AK2" s="563" t="s">
        <v>1054</v>
      </c>
      <c r="AL2" s="564"/>
      <c r="AM2" s="563" t="s">
        <v>1055</v>
      </c>
      <c r="AN2" s="564"/>
      <c r="AO2" s="563" t="s">
        <v>1056</v>
      </c>
      <c r="AP2" s="564"/>
      <c r="AQ2" s="563" t="s">
        <v>1057</v>
      </c>
      <c r="AR2" s="564"/>
      <c r="AS2" s="565" t="s">
        <v>1058</v>
      </c>
      <c r="AT2" s="566"/>
      <c r="AU2" s="565" t="s">
        <v>1058</v>
      </c>
      <c r="AV2" s="566"/>
      <c r="AW2" s="565" t="s">
        <v>1058</v>
      </c>
      <c r="AX2" s="566"/>
      <c r="AY2" s="565" t="s">
        <v>1059</v>
      </c>
      <c r="AZ2" s="566"/>
      <c r="BA2" s="565" t="s">
        <v>1060</v>
      </c>
      <c r="BB2" s="566"/>
      <c r="BC2" s="565" t="s">
        <v>1061</v>
      </c>
      <c r="BD2" s="566"/>
      <c r="BE2" s="541" t="s">
        <v>1062</v>
      </c>
      <c r="BF2" s="542"/>
      <c r="BG2" s="541" t="s">
        <v>1063</v>
      </c>
      <c r="BH2" s="542"/>
      <c r="BI2" s="541" t="s">
        <v>1064</v>
      </c>
      <c r="BJ2" s="542"/>
      <c r="BK2" s="541" t="s">
        <v>1062</v>
      </c>
      <c r="BL2" s="542"/>
      <c r="BM2" s="541" t="s">
        <v>1062</v>
      </c>
      <c r="BN2" s="542"/>
      <c r="BO2" s="541"/>
      <c r="BP2" s="542"/>
      <c r="BQ2" s="541"/>
      <c r="BR2" s="542"/>
      <c r="BS2" s="541"/>
      <c r="BT2" s="542"/>
      <c r="BU2" s="541"/>
      <c r="BV2" s="542"/>
      <c r="BW2" s="541"/>
      <c r="BX2" s="542"/>
      <c r="BY2" s="541"/>
      <c r="BZ2" s="542"/>
      <c r="CA2" s="541"/>
      <c r="CB2" s="542"/>
      <c r="CC2" s="541"/>
      <c r="CD2" s="542"/>
      <c r="CE2" s="541"/>
      <c r="CF2" s="542"/>
      <c r="CG2" s="541"/>
      <c r="CH2" s="542"/>
      <c r="CI2" s="541"/>
      <c r="CJ2" s="542"/>
      <c r="CK2" s="541"/>
      <c r="CL2" s="542"/>
      <c r="CM2" s="541"/>
      <c r="CN2" s="542"/>
      <c r="CO2" s="541"/>
      <c r="CP2" s="542"/>
      <c r="CQ2" s="541"/>
      <c r="CR2" s="542"/>
      <c r="CS2" s="541"/>
      <c r="CT2" s="542"/>
      <c r="CU2" s="541"/>
      <c r="CV2" s="542"/>
      <c r="CW2" s="541"/>
      <c r="CX2" s="542"/>
      <c r="CY2" s="541"/>
      <c r="CZ2" s="542"/>
      <c r="DA2" s="541"/>
      <c r="DB2" s="542"/>
      <c r="DC2" s="541"/>
      <c r="DD2" s="542"/>
      <c r="DE2" s="541"/>
      <c r="DF2" s="542"/>
      <c r="DG2" s="541"/>
      <c r="DH2" s="542"/>
      <c r="DI2" s="541"/>
      <c r="DJ2" s="542"/>
      <c r="DK2" s="541"/>
      <c r="DL2" s="542"/>
      <c r="DM2" s="541"/>
      <c r="DN2" s="542"/>
      <c r="DO2" s="541"/>
      <c r="DP2" s="542"/>
      <c r="DQ2" s="541"/>
      <c r="DR2" s="542"/>
      <c r="DS2" s="541"/>
      <c r="DT2" s="542"/>
      <c r="DW2" s="59"/>
      <c r="DX2" s="60"/>
      <c r="DY2" s="60"/>
      <c r="DZ2" s="60"/>
      <c r="EA2" s="60"/>
      <c r="EB2" s="60"/>
      <c r="EC2" s="60"/>
      <c r="ED2" s="43"/>
      <c r="EE2" s="60"/>
      <c r="EF2" s="60"/>
      <c r="EG2" s="60"/>
      <c r="EH2" s="60"/>
      <c r="EI2" s="60"/>
      <c r="EJ2" s="60"/>
      <c r="EK2" s="60"/>
      <c r="EM2" s="53">
        <v>3</v>
      </c>
      <c r="EN2" s="53" t="s">
        <v>9</v>
      </c>
      <c r="ER2"/>
      <c r="ES2"/>
      <c r="ET2"/>
      <c r="EU2"/>
      <c r="EV2"/>
      <c r="EX2"/>
      <c r="EY2"/>
      <c r="EZ2"/>
      <c r="FA2"/>
      <c r="FC2"/>
      <c r="FE2"/>
    </row>
    <row r="3" spans="1:161" ht="19.2" thickTop="1" thickBot="1" x14ac:dyDescent="0.4">
      <c r="A3" s="354" t="s">
        <v>74</v>
      </c>
      <c r="B3" s="354">
        <v>0</v>
      </c>
      <c r="C3" s="614">
        <v>1</v>
      </c>
      <c r="D3" s="615"/>
      <c r="E3" s="616">
        <v>2</v>
      </c>
      <c r="F3" s="617"/>
      <c r="G3" s="616">
        <v>3</v>
      </c>
      <c r="H3" s="617"/>
      <c r="I3" s="616">
        <v>4</v>
      </c>
      <c r="J3" s="617"/>
      <c r="K3" s="616">
        <v>5</v>
      </c>
      <c r="L3" s="617"/>
      <c r="M3" s="616">
        <v>6</v>
      </c>
      <c r="N3" s="617"/>
      <c r="O3" s="616">
        <v>7</v>
      </c>
      <c r="P3" s="617"/>
      <c r="Q3" s="616">
        <v>8</v>
      </c>
      <c r="R3" s="617"/>
      <c r="S3" s="616">
        <v>9</v>
      </c>
      <c r="T3" s="617"/>
      <c r="U3" s="616">
        <v>14</v>
      </c>
      <c r="V3" s="617"/>
      <c r="W3" s="616">
        <v>11</v>
      </c>
      <c r="X3" s="617"/>
      <c r="Y3" s="616">
        <v>12</v>
      </c>
      <c r="Z3" s="617"/>
      <c r="AA3" s="616">
        <v>13</v>
      </c>
      <c r="AB3" s="617"/>
      <c r="AC3" s="616">
        <v>10</v>
      </c>
      <c r="AD3" s="617"/>
      <c r="AE3" s="612">
        <v>16</v>
      </c>
      <c r="AF3" s="613"/>
      <c r="AG3" s="612">
        <v>17</v>
      </c>
      <c r="AH3" s="613"/>
      <c r="AI3" s="612">
        <v>18</v>
      </c>
      <c r="AJ3" s="613"/>
      <c r="AK3" s="612">
        <v>19</v>
      </c>
      <c r="AL3" s="613"/>
      <c r="AM3" s="612">
        <v>20</v>
      </c>
      <c r="AN3" s="613"/>
      <c r="AO3" s="612">
        <v>21</v>
      </c>
      <c r="AP3" s="613"/>
      <c r="AQ3" s="612">
        <v>33</v>
      </c>
      <c r="AR3" s="613"/>
      <c r="AS3" s="612">
        <v>27</v>
      </c>
      <c r="AT3" s="613"/>
      <c r="AU3" s="612">
        <v>29</v>
      </c>
      <c r="AV3" s="613"/>
      <c r="AW3" s="612">
        <v>32</v>
      </c>
      <c r="AX3" s="613"/>
      <c r="AY3" s="612">
        <v>22</v>
      </c>
      <c r="AZ3" s="613"/>
      <c r="BA3" s="612">
        <v>30</v>
      </c>
      <c r="BB3" s="613"/>
      <c r="BC3" s="612">
        <v>31</v>
      </c>
      <c r="BD3" s="613"/>
      <c r="BE3" s="612">
        <v>23</v>
      </c>
      <c r="BF3" s="613"/>
      <c r="BG3" s="612">
        <v>24</v>
      </c>
      <c r="BH3" s="613"/>
      <c r="BI3" s="612">
        <v>25</v>
      </c>
      <c r="BJ3" s="613"/>
      <c r="BK3" s="612">
        <v>34</v>
      </c>
      <c r="BL3" s="613"/>
      <c r="BM3" s="612">
        <v>35</v>
      </c>
      <c r="BN3" s="544"/>
      <c r="BO3" s="543">
        <v>26</v>
      </c>
      <c r="BP3" s="544"/>
      <c r="BQ3" s="543">
        <v>28</v>
      </c>
      <c r="BR3" s="544"/>
      <c r="BS3" s="543">
        <v>36</v>
      </c>
      <c r="BT3" s="544"/>
      <c r="BU3" s="543">
        <v>37</v>
      </c>
      <c r="BV3" s="544"/>
      <c r="BW3" s="543">
        <v>38</v>
      </c>
      <c r="BX3" s="544"/>
      <c r="BY3" s="543">
        <v>39</v>
      </c>
      <c r="BZ3" s="544"/>
      <c r="CA3" s="543">
        <v>40</v>
      </c>
      <c r="CB3" s="544"/>
      <c r="CC3" s="543">
        <v>41</v>
      </c>
      <c r="CD3" s="544"/>
      <c r="CE3" s="543">
        <v>42</v>
      </c>
      <c r="CF3" s="544"/>
      <c r="CG3" s="543">
        <v>43</v>
      </c>
      <c r="CH3" s="544"/>
      <c r="CI3" s="543">
        <v>44</v>
      </c>
      <c r="CJ3" s="544"/>
      <c r="CK3" s="543">
        <v>45</v>
      </c>
      <c r="CL3" s="544"/>
      <c r="CM3" s="543">
        <v>46</v>
      </c>
      <c r="CN3" s="544"/>
      <c r="CO3" s="543">
        <v>47</v>
      </c>
      <c r="CP3" s="544"/>
      <c r="CQ3" s="543">
        <v>48</v>
      </c>
      <c r="CR3" s="544"/>
      <c r="CS3" s="543">
        <v>49</v>
      </c>
      <c r="CT3" s="544"/>
      <c r="CU3" s="543">
        <v>50</v>
      </c>
      <c r="CV3" s="544"/>
      <c r="CW3" s="543">
        <v>51</v>
      </c>
      <c r="CX3" s="544"/>
      <c r="CY3" s="543">
        <v>52</v>
      </c>
      <c r="CZ3" s="544"/>
      <c r="DA3" s="543">
        <v>53</v>
      </c>
      <c r="DB3" s="544"/>
      <c r="DC3" s="543">
        <v>54</v>
      </c>
      <c r="DD3" s="544"/>
      <c r="DE3" s="543">
        <v>55</v>
      </c>
      <c r="DF3" s="544"/>
      <c r="DG3" s="543">
        <v>56</v>
      </c>
      <c r="DH3" s="544"/>
      <c r="DI3" s="543">
        <v>57</v>
      </c>
      <c r="DJ3" s="544"/>
      <c r="DK3" s="543">
        <v>58</v>
      </c>
      <c r="DL3" s="544"/>
      <c r="DM3" s="543">
        <v>59</v>
      </c>
      <c r="DN3" s="544"/>
      <c r="DO3" s="543">
        <v>60</v>
      </c>
      <c r="DP3" s="544"/>
      <c r="DQ3" s="543">
        <v>61</v>
      </c>
      <c r="DR3" s="544"/>
      <c r="DS3" s="543">
        <v>62</v>
      </c>
      <c r="DT3" s="544"/>
      <c r="DW3" s="59"/>
      <c r="DX3" s="60"/>
      <c r="DY3" s="60"/>
      <c r="DZ3" s="60"/>
      <c r="EA3" s="60"/>
      <c r="EB3" s="60"/>
      <c r="EC3" s="60"/>
      <c r="ED3" s="43"/>
      <c r="EE3" s="60"/>
      <c r="EF3" s="60"/>
      <c r="EG3" s="60"/>
      <c r="EH3" s="60"/>
      <c r="EI3" s="60"/>
      <c r="EJ3" s="60"/>
      <c r="EK3" s="60"/>
      <c r="EM3" s="53"/>
      <c r="EN3" s="53"/>
      <c r="ER3"/>
      <c r="ES3"/>
      <c r="ET3"/>
      <c r="EU3"/>
      <c r="EV3"/>
      <c r="EX3"/>
      <c r="EY3"/>
      <c r="EZ3"/>
      <c r="FA3"/>
      <c r="FC3"/>
      <c r="FE3"/>
    </row>
    <row r="4" spans="1:161" s="60" customFormat="1" ht="15.6" thickTop="1" thickBot="1" x14ac:dyDescent="0.35">
      <c r="A4" s="61" t="s">
        <v>52</v>
      </c>
      <c r="B4" s="62">
        <v>1</v>
      </c>
      <c r="C4" s="535" t="s">
        <v>53</v>
      </c>
      <c r="D4" s="536">
        <v>0</v>
      </c>
      <c r="E4" s="545" t="s">
        <v>124</v>
      </c>
      <c r="F4" s="546">
        <v>0</v>
      </c>
      <c r="G4" s="545" t="s">
        <v>124</v>
      </c>
      <c r="H4" s="546">
        <v>0</v>
      </c>
      <c r="I4" s="545" t="s">
        <v>53</v>
      </c>
      <c r="J4" s="546">
        <v>0</v>
      </c>
      <c r="K4" s="545" t="s">
        <v>775</v>
      </c>
      <c r="L4" s="546">
        <v>0</v>
      </c>
      <c r="M4" s="545" t="s">
        <v>53</v>
      </c>
      <c r="N4" s="546">
        <v>0</v>
      </c>
      <c r="O4" s="545" t="s">
        <v>124</v>
      </c>
      <c r="P4" s="546">
        <v>0</v>
      </c>
      <c r="Q4" s="545" t="s">
        <v>124</v>
      </c>
      <c r="R4" s="546">
        <v>0</v>
      </c>
      <c r="S4" s="545" t="s">
        <v>124</v>
      </c>
      <c r="T4" s="546">
        <v>0</v>
      </c>
      <c r="U4" s="545" t="s">
        <v>53</v>
      </c>
      <c r="V4" s="546">
        <v>0</v>
      </c>
      <c r="W4" s="545" t="s">
        <v>775</v>
      </c>
      <c r="X4" s="546">
        <v>0</v>
      </c>
      <c r="Y4" s="545" t="s">
        <v>53</v>
      </c>
      <c r="Z4" s="546">
        <v>0</v>
      </c>
      <c r="AA4" s="545" t="s">
        <v>53</v>
      </c>
      <c r="AB4" s="546">
        <v>0</v>
      </c>
      <c r="AC4" s="545" t="s">
        <v>53</v>
      </c>
      <c r="AD4" s="546">
        <v>0</v>
      </c>
      <c r="AE4" s="545" t="s">
        <v>775</v>
      </c>
      <c r="AF4" s="546">
        <v>0</v>
      </c>
      <c r="AG4" s="545" t="s">
        <v>124</v>
      </c>
      <c r="AH4" s="546">
        <v>0</v>
      </c>
      <c r="AI4" s="545" t="s">
        <v>53</v>
      </c>
      <c r="AJ4" s="546">
        <v>0</v>
      </c>
      <c r="AK4" s="545" t="s">
        <v>124</v>
      </c>
      <c r="AL4" s="546"/>
      <c r="AM4" s="545" t="s">
        <v>124</v>
      </c>
      <c r="AN4" s="546"/>
      <c r="AO4" s="545" t="s">
        <v>124</v>
      </c>
      <c r="AP4" s="546"/>
      <c r="AQ4" s="545" t="s">
        <v>124</v>
      </c>
      <c r="AR4" s="546"/>
      <c r="AS4" s="545" t="s">
        <v>53</v>
      </c>
      <c r="AT4" s="546"/>
      <c r="AU4" s="545" t="s">
        <v>53</v>
      </c>
      <c r="AV4" s="546"/>
      <c r="AW4" s="545" t="s">
        <v>53</v>
      </c>
      <c r="AX4" s="546"/>
      <c r="AY4" s="545" t="s">
        <v>124</v>
      </c>
      <c r="AZ4" s="546"/>
      <c r="BA4" s="545" t="s">
        <v>124</v>
      </c>
      <c r="BB4" s="546"/>
      <c r="BC4" s="545" t="s">
        <v>124</v>
      </c>
      <c r="BD4" s="546"/>
      <c r="BE4" s="545" t="s">
        <v>53</v>
      </c>
      <c r="BF4" s="546"/>
      <c r="BG4" s="545" t="s">
        <v>124</v>
      </c>
      <c r="BH4" s="546"/>
      <c r="BI4" s="545" t="s">
        <v>53</v>
      </c>
      <c r="BJ4" s="546"/>
      <c r="BK4" s="545" t="s">
        <v>53</v>
      </c>
      <c r="BL4" s="546"/>
      <c r="BM4" s="545" t="s">
        <v>53</v>
      </c>
      <c r="BN4" s="546"/>
      <c r="BO4" s="545" t="s">
        <v>232</v>
      </c>
      <c r="BP4" s="546"/>
      <c r="BQ4" s="545" t="s">
        <v>232</v>
      </c>
      <c r="BR4" s="546"/>
      <c r="BS4" s="545" t="s">
        <v>232</v>
      </c>
      <c r="BT4" s="546"/>
      <c r="BU4" s="545" t="s">
        <v>232</v>
      </c>
      <c r="BV4" s="546"/>
      <c r="BW4" s="545" t="s">
        <v>232</v>
      </c>
      <c r="BX4" s="546"/>
      <c r="BY4" s="545" t="s">
        <v>232</v>
      </c>
      <c r="BZ4" s="546"/>
      <c r="CA4" s="545" t="s">
        <v>232</v>
      </c>
      <c r="CB4" s="546"/>
      <c r="CC4" s="545" t="s">
        <v>232</v>
      </c>
      <c r="CD4" s="546"/>
      <c r="CE4" s="545" t="s">
        <v>232</v>
      </c>
      <c r="CF4" s="546"/>
      <c r="CG4" s="545" t="s">
        <v>232</v>
      </c>
      <c r="CH4" s="546"/>
      <c r="CI4" s="545" t="s">
        <v>232</v>
      </c>
      <c r="CJ4" s="546"/>
      <c r="CK4" s="545" t="s">
        <v>232</v>
      </c>
      <c r="CL4" s="546"/>
      <c r="CM4" s="545" t="s">
        <v>232</v>
      </c>
      <c r="CN4" s="546"/>
      <c r="CO4" s="545" t="s">
        <v>232</v>
      </c>
      <c r="CP4" s="546"/>
      <c r="CQ4" s="545" t="s">
        <v>232</v>
      </c>
      <c r="CR4" s="546"/>
      <c r="CS4" s="545" t="s">
        <v>232</v>
      </c>
      <c r="CT4" s="546"/>
      <c r="CU4" s="545" t="s">
        <v>232</v>
      </c>
      <c r="CV4" s="546"/>
      <c r="CW4" s="545" t="s">
        <v>232</v>
      </c>
      <c r="CX4" s="546"/>
      <c r="CY4" s="545" t="s">
        <v>232</v>
      </c>
      <c r="CZ4" s="546"/>
      <c r="DA4" s="545" t="s">
        <v>232</v>
      </c>
      <c r="DB4" s="546"/>
      <c r="DC4" s="545" t="s">
        <v>232</v>
      </c>
      <c r="DD4" s="546"/>
      <c r="DE4" s="545" t="s">
        <v>232</v>
      </c>
      <c r="DF4" s="546"/>
      <c r="DG4" s="545" t="s">
        <v>232</v>
      </c>
      <c r="DH4" s="546"/>
      <c r="DI4" s="545" t="s">
        <v>232</v>
      </c>
      <c r="DJ4" s="546"/>
      <c r="DK4" s="545" t="s">
        <v>232</v>
      </c>
      <c r="DL4" s="546"/>
      <c r="DM4" s="545" t="s">
        <v>232</v>
      </c>
      <c r="DN4" s="546"/>
      <c r="DO4" s="545" t="s">
        <v>232</v>
      </c>
      <c r="DP4" s="546"/>
      <c r="DQ4" s="545" t="s">
        <v>232</v>
      </c>
      <c r="DR4" s="546"/>
      <c r="DS4" s="545" t="s">
        <v>232</v>
      </c>
      <c r="DT4" s="546"/>
      <c r="DW4" s="931" t="s">
        <v>4</v>
      </c>
      <c r="DY4" s="53" t="s">
        <v>1065</v>
      </c>
      <c r="EA4" s="53"/>
      <c r="EB4" s="519"/>
      <c r="EC4" s="53" t="s">
        <v>1066</v>
      </c>
      <c r="EE4" s="53"/>
      <c r="EG4" s="53"/>
      <c r="EI4" s="53"/>
      <c r="EK4" s="53"/>
      <c r="EM4" s="53">
        <v>4</v>
      </c>
      <c r="EN4" s="53" t="s">
        <v>3</v>
      </c>
    </row>
    <row r="5" spans="1:161" s="60" customFormat="1" ht="15" thickBot="1" x14ac:dyDescent="0.35">
      <c r="A5" s="757"/>
      <c r="B5" s="754">
        <v>2</v>
      </c>
      <c r="C5" s="537" t="s">
        <v>124</v>
      </c>
      <c r="D5" s="538">
        <v>4</v>
      </c>
      <c r="E5" s="547" t="s">
        <v>53</v>
      </c>
      <c r="F5" s="548">
        <v>3</v>
      </c>
      <c r="G5" s="547" t="s">
        <v>823</v>
      </c>
      <c r="H5" s="548">
        <v>2</v>
      </c>
      <c r="I5" s="547" t="s">
        <v>124</v>
      </c>
      <c r="J5" s="548">
        <v>2</v>
      </c>
      <c r="K5" s="547" t="s">
        <v>53</v>
      </c>
      <c r="L5" s="548">
        <v>2</v>
      </c>
      <c r="M5" s="547" t="s">
        <v>124</v>
      </c>
      <c r="N5" s="548">
        <v>2</v>
      </c>
      <c r="O5" s="547" t="s">
        <v>53</v>
      </c>
      <c r="P5" s="548">
        <v>2</v>
      </c>
      <c r="Q5" s="547" t="s">
        <v>53</v>
      </c>
      <c r="R5" s="548">
        <v>4</v>
      </c>
      <c r="S5" s="547" t="s">
        <v>53</v>
      </c>
      <c r="T5" s="548">
        <v>2</v>
      </c>
      <c r="U5" s="547" t="s">
        <v>124</v>
      </c>
      <c r="V5" s="548">
        <v>3</v>
      </c>
      <c r="W5" s="547" t="s">
        <v>124</v>
      </c>
      <c r="X5" s="548">
        <v>3</v>
      </c>
      <c r="Y5" s="547" t="s">
        <v>124</v>
      </c>
      <c r="Z5" s="548">
        <v>2</v>
      </c>
      <c r="AA5" s="547" t="s">
        <v>775</v>
      </c>
      <c r="AB5" s="548">
        <v>2</v>
      </c>
      <c r="AC5" s="547" t="s">
        <v>124</v>
      </c>
      <c r="AD5" s="548">
        <v>2</v>
      </c>
      <c r="AE5" s="547" t="s">
        <v>53</v>
      </c>
      <c r="AF5" s="548"/>
      <c r="AG5" s="547" t="s">
        <v>53</v>
      </c>
      <c r="AH5" s="548"/>
      <c r="AI5" s="547" t="s">
        <v>775</v>
      </c>
      <c r="AJ5" s="548"/>
      <c r="AK5" s="547" t="s">
        <v>775</v>
      </c>
      <c r="AL5" s="548"/>
      <c r="AM5" s="547" t="s">
        <v>53</v>
      </c>
      <c r="AN5" s="548"/>
      <c r="AO5" s="547" t="s">
        <v>53</v>
      </c>
      <c r="AP5" s="548"/>
      <c r="AQ5" s="547" t="s">
        <v>53</v>
      </c>
      <c r="AR5" s="548"/>
      <c r="AS5" s="547" t="s">
        <v>124</v>
      </c>
      <c r="AT5" s="548"/>
      <c r="AU5" s="547" t="s">
        <v>124</v>
      </c>
      <c r="AV5" s="548"/>
      <c r="AW5" s="547" t="s">
        <v>124</v>
      </c>
      <c r="AX5" s="548"/>
      <c r="AY5" s="547" t="s">
        <v>775</v>
      </c>
      <c r="AZ5" s="548"/>
      <c r="BA5" s="547" t="s">
        <v>53</v>
      </c>
      <c r="BB5" s="548"/>
      <c r="BC5" s="547" t="s">
        <v>53</v>
      </c>
      <c r="BD5" s="548"/>
      <c r="BE5" s="547" t="s">
        <v>124</v>
      </c>
      <c r="BF5" s="548"/>
      <c r="BG5" s="547" t="s">
        <v>775</v>
      </c>
      <c r="BH5" s="548"/>
      <c r="BI5" s="547" t="s">
        <v>775</v>
      </c>
      <c r="BJ5" s="548"/>
      <c r="BK5" s="547" t="s">
        <v>124</v>
      </c>
      <c r="BL5" s="548"/>
      <c r="BM5" s="547" t="s">
        <v>124</v>
      </c>
      <c r="BN5" s="548"/>
      <c r="BO5" s="559" t="s">
        <v>232</v>
      </c>
      <c r="BP5" s="548"/>
      <c r="BQ5" s="559" t="s">
        <v>232</v>
      </c>
      <c r="BR5" s="548"/>
      <c r="BS5" s="559" t="s">
        <v>232</v>
      </c>
      <c r="BT5" s="548"/>
      <c r="BU5" s="559" t="s">
        <v>232</v>
      </c>
      <c r="BV5" s="548"/>
      <c r="BW5" s="559" t="s">
        <v>232</v>
      </c>
      <c r="BX5" s="548"/>
      <c r="BY5" s="559" t="s">
        <v>232</v>
      </c>
      <c r="BZ5" s="548"/>
      <c r="CA5" s="559" t="s">
        <v>232</v>
      </c>
      <c r="CB5" s="548"/>
      <c r="CC5" s="559" t="s">
        <v>232</v>
      </c>
      <c r="CD5" s="548"/>
      <c r="CE5" s="559" t="s">
        <v>232</v>
      </c>
      <c r="CF5" s="548"/>
      <c r="CG5" s="559" t="s">
        <v>232</v>
      </c>
      <c r="CH5" s="548"/>
      <c r="CI5" s="559" t="s">
        <v>232</v>
      </c>
      <c r="CJ5" s="548"/>
      <c r="CK5" s="559" t="s">
        <v>232</v>
      </c>
      <c r="CL5" s="548"/>
      <c r="CM5" s="559" t="s">
        <v>232</v>
      </c>
      <c r="CN5" s="548"/>
      <c r="CO5" s="559" t="s">
        <v>232</v>
      </c>
      <c r="CP5" s="548"/>
      <c r="CQ5" s="559" t="s">
        <v>232</v>
      </c>
      <c r="CR5" s="548"/>
      <c r="CS5" s="559" t="s">
        <v>232</v>
      </c>
      <c r="CT5" s="548"/>
      <c r="CU5" s="559" t="s">
        <v>232</v>
      </c>
      <c r="CV5" s="548"/>
      <c r="CW5" s="559" t="s">
        <v>232</v>
      </c>
      <c r="CX5" s="548"/>
      <c r="CY5" s="559" t="s">
        <v>232</v>
      </c>
      <c r="CZ5" s="548"/>
      <c r="DA5" s="559" t="s">
        <v>232</v>
      </c>
      <c r="DB5" s="548"/>
      <c r="DC5" s="559" t="s">
        <v>232</v>
      </c>
      <c r="DD5" s="548"/>
      <c r="DE5" s="559" t="s">
        <v>232</v>
      </c>
      <c r="DF5" s="548"/>
      <c r="DG5" s="559" t="s">
        <v>232</v>
      </c>
      <c r="DH5" s="548"/>
      <c r="DI5" s="559" t="s">
        <v>232</v>
      </c>
      <c r="DJ5" s="548"/>
      <c r="DK5" s="559" t="s">
        <v>232</v>
      </c>
      <c r="DL5" s="548"/>
      <c r="DM5" s="559" t="s">
        <v>232</v>
      </c>
      <c r="DN5" s="548"/>
      <c r="DO5" s="559" t="s">
        <v>232</v>
      </c>
      <c r="DP5" s="548"/>
      <c r="DQ5" s="559" t="s">
        <v>232</v>
      </c>
      <c r="DR5" s="548"/>
      <c r="DS5" s="559" t="s">
        <v>232</v>
      </c>
      <c r="DT5" s="548"/>
      <c r="DW5" s="932"/>
      <c r="EM5" s="53">
        <v>5</v>
      </c>
      <c r="EN5" s="53" t="s">
        <v>803</v>
      </c>
    </row>
    <row r="6" spans="1:161" s="60" customFormat="1" ht="15.6" thickTop="1" thickBot="1" x14ac:dyDescent="0.35">
      <c r="A6" s="757"/>
      <c r="B6" s="755">
        <v>3</v>
      </c>
      <c r="C6" s="539" t="s">
        <v>232</v>
      </c>
      <c r="D6" s="540" t="s">
        <v>232</v>
      </c>
      <c r="E6" s="549" t="s">
        <v>232</v>
      </c>
      <c r="F6" s="550" t="s">
        <v>232</v>
      </c>
      <c r="G6" s="549" t="s">
        <v>53</v>
      </c>
      <c r="H6" s="550">
        <v>4</v>
      </c>
      <c r="I6" s="549" t="s">
        <v>232</v>
      </c>
      <c r="J6" s="550"/>
      <c r="K6" s="549" t="s">
        <v>124</v>
      </c>
      <c r="L6" s="550">
        <v>4</v>
      </c>
      <c r="M6" s="549" t="s">
        <v>232</v>
      </c>
      <c r="N6" s="550"/>
      <c r="O6" s="549"/>
      <c r="P6" s="550"/>
      <c r="Q6" s="549" t="s">
        <v>232</v>
      </c>
      <c r="R6" s="550"/>
      <c r="S6" s="549" t="s">
        <v>232</v>
      </c>
      <c r="T6" s="550"/>
      <c r="U6" s="549" t="s">
        <v>232</v>
      </c>
      <c r="V6" s="550"/>
      <c r="W6" s="549" t="s">
        <v>53</v>
      </c>
      <c r="X6" s="550">
        <v>6</v>
      </c>
      <c r="Y6" s="549" t="s">
        <v>232</v>
      </c>
      <c r="Z6" s="550"/>
      <c r="AA6" s="549" t="s">
        <v>124</v>
      </c>
      <c r="AB6" s="550">
        <v>4</v>
      </c>
      <c r="AC6" s="557" t="s">
        <v>1067</v>
      </c>
      <c r="AD6" s="550">
        <v>6</v>
      </c>
      <c r="AE6" s="549" t="s">
        <v>124</v>
      </c>
      <c r="AF6" s="550"/>
      <c r="AG6" s="549" t="s">
        <v>775</v>
      </c>
      <c r="AH6" s="550"/>
      <c r="AI6" s="549" t="s">
        <v>124</v>
      </c>
      <c r="AJ6" s="550"/>
      <c r="AK6" s="549" t="s">
        <v>53</v>
      </c>
      <c r="AL6" s="550"/>
      <c r="AM6" s="549" t="s">
        <v>232</v>
      </c>
      <c r="AN6" s="550"/>
      <c r="AO6" s="549" t="s">
        <v>232</v>
      </c>
      <c r="AP6" s="550"/>
      <c r="AQ6" s="549" t="s">
        <v>232</v>
      </c>
      <c r="AR6" s="550"/>
      <c r="AS6" s="549" t="s">
        <v>232</v>
      </c>
      <c r="AT6" s="550"/>
      <c r="AU6" s="549" t="s">
        <v>232</v>
      </c>
      <c r="AV6" s="550"/>
      <c r="AW6" s="549" t="s">
        <v>232</v>
      </c>
      <c r="AX6" s="550"/>
      <c r="AY6" s="549" t="s">
        <v>53</v>
      </c>
      <c r="AZ6" s="550"/>
      <c r="BA6" s="549" t="s">
        <v>232</v>
      </c>
      <c r="BB6" s="550"/>
      <c r="BC6" s="549" t="s">
        <v>232</v>
      </c>
      <c r="BD6" s="550"/>
      <c r="BE6" s="549" t="s">
        <v>775</v>
      </c>
      <c r="BF6" s="550"/>
      <c r="BG6" s="549" t="s">
        <v>232</v>
      </c>
      <c r="BH6" s="550"/>
      <c r="BI6" s="549" t="s">
        <v>124</v>
      </c>
      <c r="BJ6" s="550"/>
      <c r="BK6" s="549" t="s">
        <v>232</v>
      </c>
      <c r="BL6" s="550"/>
      <c r="BM6" s="549" t="s">
        <v>232</v>
      </c>
      <c r="BN6" s="550"/>
      <c r="BO6" s="560" t="s">
        <v>232</v>
      </c>
      <c r="BP6" s="550"/>
      <c r="BQ6" s="560" t="s">
        <v>232</v>
      </c>
      <c r="BR6" s="550"/>
      <c r="BS6" s="560" t="s">
        <v>232</v>
      </c>
      <c r="BT6" s="550"/>
      <c r="BU6" s="560" t="s">
        <v>232</v>
      </c>
      <c r="BV6" s="550"/>
      <c r="BW6" s="560" t="s">
        <v>232</v>
      </c>
      <c r="BX6" s="550"/>
      <c r="BY6" s="560" t="s">
        <v>232</v>
      </c>
      <c r="BZ6" s="550"/>
      <c r="CA6" s="560" t="s">
        <v>232</v>
      </c>
      <c r="CB6" s="550"/>
      <c r="CC6" s="560" t="s">
        <v>232</v>
      </c>
      <c r="CD6" s="550"/>
      <c r="CE6" s="560" t="s">
        <v>232</v>
      </c>
      <c r="CF6" s="550"/>
      <c r="CG6" s="560" t="s">
        <v>232</v>
      </c>
      <c r="CH6" s="550"/>
      <c r="CI6" s="560" t="s">
        <v>232</v>
      </c>
      <c r="CJ6" s="550"/>
      <c r="CK6" s="560" t="s">
        <v>232</v>
      </c>
      <c r="CL6" s="550"/>
      <c r="CM6" s="560" t="s">
        <v>232</v>
      </c>
      <c r="CN6" s="550"/>
      <c r="CO6" s="560" t="s">
        <v>232</v>
      </c>
      <c r="CP6" s="550"/>
      <c r="CQ6" s="560" t="s">
        <v>232</v>
      </c>
      <c r="CR6" s="550"/>
      <c r="CS6" s="560" t="s">
        <v>232</v>
      </c>
      <c r="CT6" s="550"/>
      <c r="CU6" s="560" t="s">
        <v>232</v>
      </c>
      <c r="CV6" s="550"/>
      <c r="CW6" s="560" t="s">
        <v>232</v>
      </c>
      <c r="CX6" s="550"/>
      <c r="CY6" s="560" t="s">
        <v>232</v>
      </c>
      <c r="CZ6" s="550"/>
      <c r="DA6" s="560" t="s">
        <v>232</v>
      </c>
      <c r="DB6" s="550"/>
      <c r="DC6" s="560" t="s">
        <v>232</v>
      </c>
      <c r="DD6" s="550"/>
      <c r="DE6" s="560" t="s">
        <v>232</v>
      </c>
      <c r="DF6" s="550"/>
      <c r="DG6" s="560" t="s">
        <v>232</v>
      </c>
      <c r="DH6" s="550"/>
      <c r="DI6" s="560" t="s">
        <v>232</v>
      </c>
      <c r="DJ6" s="550"/>
      <c r="DK6" s="560" t="s">
        <v>232</v>
      </c>
      <c r="DL6" s="550"/>
      <c r="DM6" s="560" t="s">
        <v>232</v>
      </c>
      <c r="DN6" s="550"/>
      <c r="DO6" s="560" t="s">
        <v>232</v>
      </c>
      <c r="DP6" s="550"/>
      <c r="DQ6" s="560" t="s">
        <v>232</v>
      </c>
      <c r="DR6" s="550"/>
      <c r="DS6" s="560" t="s">
        <v>232</v>
      </c>
      <c r="DT6" s="550"/>
      <c r="DW6" s="932"/>
      <c r="DY6" s="53" t="s">
        <v>1068</v>
      </c>
      <c r="EA6" s="53"/>
      <c r="EC6" s="53"/>
      <c r="EE6" s="53"/>
      <c r="EG6" s="53"/>
      <c r="EI6" s="53"/>
      <c r="EK6" s="53"/>
      <c r="EM6" s="53">
        <v>6</v>
      </c>
      <c r="EN6" s="53" t="s">
        <v>809</v>
      </c>
    </row>
    <row r="7" spans="1:161" ht="15.6" thickTop="1" thickBot="1" x14ac:dyDescent="0.35">
      <c r="A7" s="756" t="s">
        <v>1069</v>
      </c>
      <c r="B7" s="354">
        <v>1</v>
      </c>
      <c r="C7" s="354" t="s">
        <v>516</v>
      </c>
      <c r="D7" s="354">
        <v>36</v>
      </c>
      <c r="E7" s="354" t="s">
        <v>468</v>
      </c>
      <c r="F7" s="354">
        <v>7</v>
      </c>
      <c r="G7" s="354" t="s">
        <v>1070</v>
      </c>
      <c r="H7" s="354">
        <v>8</v>
      </c>
      <c r="I7" s="354" t="s">
        <v>468</v>
      </c>
      <c r="J7" s="354"/>
      <c r="K7" s="354" t="s">
        <v>1071</v>
      </c>
      <c r="L7" s="354"/>
      <c r="M7" s="354" t="s">
        <v>888</v>
      </c>
      <c r="N7" s="354">
        <v>31</v>
      </c>
      <c r="O7" s="354" t="s">
        <v>1070</v>
      </c>
      <c r="P7" s="354">
        <v>7</v>
      </c>
      <c r="Q7" s="354" t="s">
        <v>679</v>
      </c>
      <c r="R7" s="354">
        <v>8</v>
      </c>
      <c r="S7" s="354" t="s">
        <v>468</v>
      </c>
      <c r="T7" s="354">
        <v>6</v>
      </c>
      <c r="U7" s="354" t="s">
        <v>711</v>
      </c>
      <c r="V7" s="354">
        <v>7</v>
      </c>
      <c r="W7" s="354" t="s">
        <v>554</v>
      </c>
      <c r="X7" s="354">
        <v>8</v>
      </c>
      <c r="Y7" s="354" t="s">
        <v>554</v>
      </c>
      <c r="Z7" s="354">
        <v>3</v>
      </c>
      <c r="AA7" s="354" t="s">
        <v>488</v>
      </c>
      <c r="AB7" s="354">
        <v>39</v>
      </c>
      <c r="AC7" s="354" t="s">
        <v>708</v>
      </c>
      <c r="AD7" s="354">
        <v>31</v>
      </c>
      <c r="AE7" s="354" t="s">
        <v>545</v>
      </c>
      <c r="AF7" s="354"/>
      <c r="AG7" s="354" t="s">
        <v>403</v>
      </c>
      <c r="AH7" s="354"/>
      <c r="AI7" s="354" t="s">
        <v>403</v>
      </c>
      <c r="AJ7" s="354"/>
      <c r="AK7" s="354" t="s">
        <v>545</v>
      </c>
      <c r="AL7" s="354"/>
      <c r="AM7" s="354" t="s">
        <v>554</v>
      </c>
      <c r="AN7" s="354"/>
      <c r="AO7" s="354" t="s">
        <v>545</v>
      </c>
      <c r="AP7" s="354"/>
      <c r="AQ7" s="354" t="s">
        <v>545</v>
      </c>
      <c r="AR7" s="354"/>
      <c r="AS7" s="354" t="s">
        <v>372</v>
      </c>
      <c r="AT7" s="354"/>
      <c r="AU7" s="354" t="s">
        <v>545</v>
      </c>
      <c r="AV7" s="354"/>
      <c r="AW7" s="354" t="s">
        <v>1072</v>
      </c>
      <c r="AX7" s="354"/>
      <c r="AY7" s="354" t="s">
        <v>545</v>
      </c>
      <c r="AZ7" s="354"/>
      <c r="BA7" s="354" t="s">
        <v>484</v>
      </c>
      <c r="BB7" s="354"/>
      <c r="BC7" s="354" t="s">
        <v>1073</v>
      </c>
      <c r="BD7" s="354"/>
      <c r="BE7" s="354" t="s">
        <v>666</v>
      </c>
      <c r="BF7" s="354"/>
      <c r="BG7" s="354" t="s">
        <v>1074</v>
      </c>
      <c r="BH7" s="354"/>
      <c r="BI7" s="354" t="s">
        <v>468</v>
      </c>
      <c r="BJ7" s="354"/>
      <c r="BK7" s="354" t="s">
        <v>554</v>
      </c>
      <c r="BL7" s="354"/>
      <c r="BM7" s="354" t="s">
        <v>554</v>
      </c>
      <c r="BN7" s="354"/>
      <c r="BO7" s="354"/>
      <c r="BP7" s="354"/>
      <c r="BQ7" s="354"/>
      <c r="BR7" s="354"/>
      <c r="BS7" s="354"/>
      <c r="BT7" s="354"/>
      <c r="BU7" s="354"/>
      <c r="BV7" s="354"/>
      <c r="BW7" s="354"/>
      <c r="BX7" s="354"/>
      <c r="BY7" s="354"/>
      <c r="BZ7" s="354"/>
      <c r="CA7" s="354"/>
      <c r="CB7" s="354"/>
      <c r="CC7" s="354"/>
      <c r="CD7" s="354"/>
      <c r="CE7" s="354"/>
      <c r="CF7" s="354"/>
      <c r="CG7" s="354"/>
      <c r="CH7" s="354"/>
      <c r="CI7" s="354"/>
      <c r="CJ7" s="354"/>
      <c r="CK7" s="354"/>
      <c r="CL7" s="354"/>
      <c r="CM7" s="354"/>
      <c r="CN7" s="354"/>
      <c r="CO7" s="354"/>
      <c r="CP7" s="354"/>
      <c r="CQ7" s="354"/>
      <c r="CR7" s="354"/>
      <c r="CS7" s="354"/>
      <c r="CT7" s="354"/>
      <c r="CU7" s="354"/>
      <c r="CV7" s="354"/>
      <c r="CW7" s="354"/>
      <c r="CX7" s="354"/>
      <c r="CY7" s="354"/>
      <c r="CZ7" s="354"/>
      <c r="DA7" s="354"/>
      <c r="DB7" s="354"/>
      <c r="DC7" s="354"/>
      <c r="DD7" s="354"/>
      <c r="DE7" s="354"/>
      <c r="DF7" s="354"/>
      <c r="DG7" s="354"/>
      <c r="DH7" s="354"/>
      <c r="DI7" s="354"/>
      <c r="DJ7" s="354"/>
      <c r="DK7" s="354"/>
      <c r="DL7" s="354"/>
      <c r="DM7" s="354"/>
      <c r="DN7" s="354"/>
      <c r="DO7" s="354"/>
      <c r="DP7" s="354"/>
      <c r="DQ7" s="354"/>
      <c r="DR7" s="354"/>
      <c r="DS7" s="354"/>
      <c r="DT7" s="354"/>
      <c r="DW7" s="932"/>
      <c r="DX7" s="60"/>
      <c r="DY7" s="53" t="s">
        <v>1075</v>
      </c>
      <c r="DZ7" s="60"/>
      <c r="EA7" s="53"/>
      <c r="EB7" s="64"/>
      <c r="EC7" s="53"/>
      <c r="ED7" s="43"/>
      <c r="EE7" s="53"/>
      <c r="EF7" s="60"/>
      <c r="EG7" s="53"/>
      <c r="EH7" s="63"/>
      <c r="EI7" s="53"/>
      <c r="EJ7" s="63"/>
      <c r="EK7" s="53"/>
      <c r="EM7" s="53">
        <v>7</v>
      </c>
      <c r="EN7" s="53" t="s">
        <v>815</v>
      </c>
      <c r="ER7"/>
      <c r="ES7"/>
      <c r="ET7"/>
      <c r="EU7"/>
      <c r="EV7"/>
      <c r="EX7"/>
      <c r="EY7"/>
      <c r="EZ7"/>
      <c r="FA7"/>
      <c r="FC7"/>
      <c r="FE7"/>
    </row>
    <row r="8" spans="1:161" ht="15" customHeight="1" thickTop="1" thickBot="1" x14ac:dyDescent="0.35">
      <c r="A8" s="757"/>
      <c r="B8" s="360">
        <v>2</v>
      </c>
      <c r="C8" s="527" t="s">
        <v>1076</v>
      </c>
      <c r="D8" s="533">
        <v>32</v>
      </c>
      <c r="E8" s="551" t="s">
        <v>625</v>
      </c>
      <c r="F8" s="552">
        <v>31</v>
      </c>
      <c r="G8" s="551" t="s">
        <v>1077</v>
      </c>
      <c r="H8" s="552">
        <v>36</v>
      </c>
      <c r="I8" s="551" t="s">
        <v>625</v>
      </c>
      <c r="J8" s="552">
        <v>33</v>
      </c>
      <c r="K8" s="551" t="s">
        <v>888</v>
      </c>
      <c r="L8" s="552">
        <v>38</v>
      </c>
      <c r="M8" s="551" t="s">
        <v>628</v>
      </c>
      <c r="N8" s="552">
        <v>35</v>
      </c>
      <c r="O8" s="551" t="s">
        <v>1078</v>
      </c>
      <c r="P8" s="552">
        <v>32</v>
      </c>
      <c r="Q8" s="551" t="s">
        <v>1079</v>
      </c>
      <c r="R8" s="552">
        <v>32</v>
      </c>
      <c r="S8" s="551" t="s">
        <v>546</v>
      </c>
      <c r="T8" s="552">
        <v>17</v>
      </c>
      <c r="U8" s="551" t="s">
        <v>1080</v>
      </c>
      <c r="V8" s="552">
        <v>31</v>
      </c>
      <c r="W8" s="551" t="s">
        <v>468</v>
      </c>
      <c r="X8" s="552">
        <v>13</v>
      </c>
      <c r="Y8" s="551" t="s">
        <v>413</v>
      </c>
      <c r="Z8" s="552">
        <v>32</v>
      </c>
      <c r="AA8" s="551" t="s">
        <v>678</v>
      </c>
      <c r="AB8" s="552">
        <v>41</v>
      </c>
      <c r="AC8" s="551" t="s">
        <v>740</v>
      </c>
      <c r="AD8" s="552">
        <v>35</v>
      </c>
      <c r="AE8" s="551" t="s">
        <v>403</v>
      </c>
      <c r="AF8" s="552"/>
      <c r="AG8" s="551" t="s">
        <v>1081</v>
      </c>
      <c r="AH8" s="552"/>
      <c r="AI8" s="551" t="s">
        <v>545</v>
      </c>
      <c r="AJ8" s="552"/>
      <c r="AK8" s="551" t="s">
        <v>1082</v>
      </c>
      <c r="AL8" s="552"/>
      <c r="AM8" s="551" t="s">
        <v>1083</v>
      </c>
      <c r="AN8" s="552"/>
      <c r="AO8" s="551" t="s">
        <v>403</v>
      </c>
      <c r="AP8" s="552"/>
      <c r="AQ8" s="551" t="s">
        <v>403</v>
      </c>
      <c r="AR8" s="552"/>
      <c r="AS8" s="551" t="s">
        <v>610</v>
      </c>
      <c r="AT8" s="552"/>
      <c r="AU8" s="551" t="s">
        <v>610</v>
      </c>
      <c r="AV8" s="552"/>
      <c r="AW8" s="551" t="s">
        <v>679</v>
      </c>
      <c r="AX8" s="552"/>
      <c r="AY8" s="551" t="s">
        <v>468</v>
      </c>
      <c r="AZ8" s="552"/>
      <c r="BA8" s="551" t="s">
        <v>545</v>
      </c>
      <c r="BB8" s="552"/>
      <c r="BC8" s="551" t="s">
        <v>1084</v>
      </c>
      <c r="BD8" s="552"/>
      <c r="BE8" s="551" t="s">
        <v>695</v>
      </c>
      <c r="BF8" s="552"/>
      <c r="BG8" s="551" t="s">
        <v>1085</v>
      </c>
      <c r="BH8" s="552"/>
      <c r="BI8" s="551" t="s">
        <v>232</v>
      </c>
      <c r="BJ8" s="552"/>
      <c r="BK8" s="551" t="s">
        <v>709</v>
      </c>
      <c r="BL8" s="552"/>
      <c r="BM8" s="551" t="s">
        <v>468</v>
      </c>
      <c r="BN8" s="552"/>
      <c r="BO8" s="551" t="s">
        <v>1086</v>
      </c>
      <c r="BP8" s="552"/>
      <c r="BQ8" s="551" t="s">
        <v>1087</v>
      </c>
      <c r="BR8" s="552"/>
      <c r="BS8" s="551"/>
      <c r="BT8" s="552"/>
      <c r="BU8" s="551"/>
      <c r="BV8" s="552"/>
      <c r="BW8" s="551"/>
      <c r="BX8" s="552"/>
      <c r="BY8" s="551"/>
      <c r="BZ8" s="552"/>
      <c r="CA8" s="551"/>
      <c r="CB8" s="552"/>
      <c r="CC8" s="551"/>
      <c r="CD8" s="552"/>
      <c r="CE8" s="551"/>
      <c r="CF8" s="552"/>
      <c r="CG8" s="551"/>
      <c r="CH8" s="552"/>
      <c r="CI8" s="551"/>
      <c r="CJ8" s="552"/>
      <c r="CK8" s="551"/>
      <c r="CL8" s="552"/>
      <c r="CM8" s="551"/>
      <c r="CN8" s="552"/>
      <c r="CO8" s="551"/>
      <c r="CP8" s="552"/>
      <c r="CQ8" s="551"/>
      <c r="CR8" s="552"/>
      <c r="CS8" s="551"/>
      <c r="CT8" s="552"/>
      <c r="CU8" s="551"/>
      <c r="CV8" s="552"/>
      <c r="CW8" s="551"/>
      <c r="CX8" s="552"/>
      <c r="CY8" s="551"/>
      <c r="CZ8" s="552"/>
      <c r="DA8" s="551"/>
      <c r="DB8" s="552"/>
      <c r="DC8" s="551"/>
      <c r="DD8" s="552"/>
      <c r="DE8" s="551"/>
      <c r="DF8" s="552"/>
      <c r="DG8" s="551"/>
      <c r="DH8" s="552"/>
      <c r="DI8" s="551"/>
      <c r="DJ8" s="552"/>
      <c r="DK8" s="551"/>
      <c r="DL8" s="552"/>
      <c r="DM8" s="551"/>
      <c r="DN8" s="552"/>
      <c r="DO8" s="551"/>
      <c r="DP8" s="552"/>
      <c r="DQ8" s="551"/>
      <c r="DR8" s="552"/>
      <c r="DS8" s="551"/>
      <c r="DT8" s="552"/>
      <c r="DW8" s="932"/>
      <c r="DX8" s="60"/>
      <c r="DY8" s="60"/>
      <c r="DZ8" s="60"/>
      <c r="EA8" s="60"/>
      <c r="EB8" s="60"/>
      <c r="EC8" s="60"/>
      <c r="ED8" s="43"/>
      <c r="EE8" s="60"/>
      <c r="EF8" s="60"/>
      <c r="EG8" s="60"/>
      <c r="EH8" s="60"/>
      <c r="EI8" s="60"/>
      <c r="EJ8" s="60"/>
      <c r="EK8" s="60"/>
      <c r="EM8" s="53">
        <v>8</v>
      </c>
      <c r="EN8" s="53" t="s">
        <v>819</v>
      </c>
      <c r="ER8"/>
      <c r="ES8"/>
      <c r="ET8"/>
      <c r="EU8"/>
      <c r="EV8"/>
      <c r="EX8"/>
      <c r="EY8"/>
      <c r="EZ8"/>
      <c r="FA8"/>
      <c r="FC8"/>
      <c r="FE8"/>
    </row>
    <row r="9" spans="1:161" ht="15" customHeight="1" thickTop="1" thickBot="1" x14ac:dyDescent="0.35">
      <c r="A9" s="757"/>
      <c r="B9" s="361">
        <v>3</v>
      </c>
      <c r="C9" s="529" t="s">
        <v>625</v>
      </c>
      <c r="D9" s="534">
        <v>37</v>
      </c>
      <c r="E9" s="553" t="s">
        <v>462</v>
      </c>
      <c r="F9" s="554">
        <v>34</v>
      </c>
      <c r="G9" s="553" t="s">
        <v>462</v>
      </c>
      <c r="H9" s="554">
        <v>39</v>
      </c>
      <c r="I9" s="553" t="s">
        <v>1088</v>
      </c>
      <c r="J9" s="554">
        <v>37</v>
      </c>
      <c r="K9" s="553" t="s">
        <v>897</v>
      </c>
      <c r="L9" s="554">
        <v>41</v>
      </c>
      <c r="M9" s="553" t="s">
        <v>897</v>
      </c>
      <c r="N9" s="554">
        <v>39</v>
      </c>
      <c r="O9" s="553" t="s">
        <v>678</v>
      </c>
      <c r="P9" s="554">
        <v>38</v>
      </c>
      <c r="Q9" s="553" t="s">
        <v>740</v>
      </c>
      <c r="R9" s="554">
        <v>36</v>
      </c>
      <c r="S9" s="553" t="s">
        <v>412</v>
      </c>
      <c r="T9" s="554">
        <v>22</v>
      </c>
      <c r="U9" s="553" t="s">
        <v>1089</v>
      </c>
      <c r="V9" s="554">
        <v>35</v>
      </c>
      <c r="W9" s="553" t="s">
        <v>1089</v>
      </c>
      <c r="X9" s="554">
        <v>41</v>
      </c>
      <c r="Y9" s="553" t="s">
        <v>740</v>
      </c>
      <c r="Z9" s="554">
        <v>35</v>
      </c>
      <c r="AA9" s="553" t="s">
        <v>519</v>
      </c>
      <c r="AB9" s="554">
        <v>43</v>
      </c>
      <c r="AC9" s="553" t="s">
        <v>1090</v>
      </c>
      <c r="AD9" s="554">
        <v>41</v>
      </c>
      <c r="AE9" s="553" t="s">
        <v>679</v>
      </c>
      <c r="AF9" s="554"/>
      <c r="AG9" s="553" t="s">
        <v>517</v>
      </c>
      <c r="AH9" s="554"/>
      <c r="AI9" s="553" t="s">
        <v>697</v>
      </c>
      <c r="AJ9" s="554"/>
      <c r="AK9" s="553" t="s">
        <v>232</v>
      </c>
      <c r="AL9" s="554"/>
      <c r="AM9" s="553" t="s">
        <v>545</v>
      </c>
      <c r="AN9" s="554"/>
      <c r="AO9" s="553" t="s">
        <v>476</v>
      </c>
      <c r="AP9" s="554"/>
      <c r="AQ9" s="553" t="s">
        <v>476</v>
      </c>
      <c r="AR9" s="554"/>
      <c r="AS9" s="553" t="s">
        <v>479</v>
      </c>
      <c r="AT9" s="554"/>
      <c r="AU9" s="553" t="s">
        <v>479</v>
      </c>
      <c r="AV9" s="554"/>
      <c r="AW9" s="553" t="s">
        <v>610</v>
      </c>
      <c r="AX9" s="554"/>
      <c r="AY9" s="553" t="s">
        <v>484</v>
      </c>
      <c r="AZ9" s="554"/>
      <c r="BA9" s="553"/>
      <c r="BB9" s="554"/>
      <c r="BC9" s="553" t="s">
        <v>1091</v>
      </c>
      <c r="BD9" s="554"/>
      <c r="BE9" s="553" t="s">
        <v>627</v>
      </c>
      <c r="BF9" s="554"/>
      <c r="BG9" s="553" t="s">
        <v>1092</v>
      </c>
      <c r="BH9" s="554"/>
      <c r="BI9" s="553" t="s">
        <v>232</v>
      </c>
      <c r="BJ9" s="554"/>
      <c r="BK9" s="553" t="s">
        <v>666</v>
      </c>
      <c r="BL9" s="554"/>
      <c r="BM9" s="553" t="s">
        <v>1093</v>
      </c>
      <c r="BN9" s="554"/>
      <c r="BO9" s="553"/>
      <c r="BP9" s="554"/>
      <c r="BQ9" s="553"/>
      <c r="BR9" s="554"/>
      <c r="BS9" s="553"/>
      <c r="BT9" s="554"/>
      <c r="BU9" s="553"/>
      <c r="BV9" s="554"/>
      <c r="BW9" s="553"/>
      <c r="BX9" s="554"/>
      <c r="BY9" s="553"/>
      <c r="BZ9" s="554"/>
      <c r="CA9" s="553"/>
      <c r="CB9" s="554"/>
      <c r="CC9" s="553"/>
      <c r="CD9" s="554"/>
      <c r="CE9" s="553"/>
      <c r="CF9" s="554"/>
      <c r="CG9" s="553"/>
      <c r="CH9" s="554"/>
      <c r="CI9" s="553"/>
      <c r="CJ9" s="554"/>
      <c r="CK9" s="553"/>
      <c r="CL9" s="554"/>
      <c r="CM9" s="553"/>
      <c r="CN9" s="554"/>
      <c r="CO9" s="553"/>
      <c r="CP9" s="554"/>
      <c r="CQ9" s="553"/>
      <c r="CR9" s="554"/>
      <c r="CS9" s="553"/>
      <c r="CT9" s="554"/>
      <c r="CU9" s="553"/>
      <c r="CV9" s="554"/>
      <c r="CW9" s="553"/>
      <c r="CX9" s="554"/>
      <c r="CY9" s="553"/>
      <c r="CZ9" s="554"/>
      <c r="DA9" s="553"/>
      <c r="DB9" s="554"/>
      <c r="DC9" s="553"/>
      <c r="DD9" s="554"/>
      <c r="DE9" s="553"/>
      <c r="DF9" s="554"/>
      <c r="DG9" s="553"/>
      <c r="DH9" s="554"/>
      <c r="DI9" s="553"/>
      <c r="DJ9" s="554"/>
      <c r="DK9" s="553"/>
      <c r="DL9" s="554"/>
      <c r="DM9" s="553"/>
      <c r="DN9" s="554"/>
      <c r="DO9" s="553"/>
      <c r="DP9" s="554"/>
      <c r="DQ9" s="553"/>
      <c r="DR9" s="554"/>
      <c r="DS9" s="553"/>
      <c r="DT9" s="554"/>
      <c r="DW9" s="933"/>
      <c r="DX9" s="60"/>
      <c r="DY9" s="53" t="s">
        <v>1094</v>
      </c>
      <c r="DZ9" s="60"/>
      <c r="EA9" s="53"/>
      <c r="EB9" s="60"/>
      <c r="EC9" s="65" t="s">
        <v>1095</v>
      </c>
      <c r="ED9" s="43"/>
      <c r="EE9" s="53"/>
      <c r="EF9" s="60"/>
      <c r="EG9" s="53"/>
      <c r="EH9" s="60"/>
      <c r="EI9" s="53"/>
      <c r="EJ9" s="60"/>
      <c r="EK9" s="53"/>
      <c r="EM9" s="53">
        <v>9</v>
      </c>
      <c r="EN9" s="53" t="s">
        <v>825</v>
      </c>
      <c r="ER9"/>
      <c r="ES9"/>
      <c r="ET9"/>
      <c r="EU9"/>
      <c r="EV9"/>
      <c r="EX9"/>
      <c r="EY9"/>
      <c r="EZ9"/>
      <c r="FA9"/>
      <c r="FC9"/>
      <c r="FE9"/>
    </row>
    <row r="10" spans="1:161" ht="14.4" customHeight="1" thickTop="1" thickBot="1" x14ac:dyDescent="0.4">
      <c r="A10" s="757"/>
      <c r="B10" s="361">
        <v>4</v>
      </c>
      <c r="C10" s="529" t="s">
        <v>690</v>
      </c>
      <c r="D10" s="534">
        <v>41</v>
      </c>
      <c r="E10" s="553" t="s">
        <v>690</v>
      </c>
      <c r="F10" s="554">
        <v>36</v>
      </c>
      <c r="G10" s="553" t="s">
        <v>1096</v>
      </c>
      <c r="H10" s="554">
        <v>41</v>
      </c>
      <c r="I10" s="553" t="s">
        <v>690</v>
      </c>
      <c r="J10" s="554">
        <v>41</v>
      </c>
      <c r="K10" s="553" t="s">
        <v>1097</v>
      </c>
      <c r="L10" s="554">
        <v>45</v>
      </c>
      <c r="M10" s="553" t="s">
        <v>232</v>
      </c>
      <c r="N10" s="554"/>
      <c r="O10" s="553" t="s">
        <v>519</v>
      </c>
      <c r="P10" s="554">
        <v>41</v>
      </c>
      <c r="Q10" s="553" t="s">
        <v>654</v>
      </c>
      <c r="R10" s="554">
        <v>41</v>
      </c>
      <c r="S10" s="553" t="s">
        <v>644</v>
      </c>
      <c r="T10" s="554">
        <v>26</v>
      </c>
      <c r="U10" s="553" t="s">
        <v>678</v>
      </c>
      <c r="V10" s="554">
        <v>38</v>
      </c>
      <c r="W10" s="553" t="s">
        <v>678</v>
      </c>
      <c r="X10" s="554">
        <v>43</v>
      </c>
      <c r="Y10" s="553" t="s">
        <v>431</v>
      </c>
      <c r="Z10" s="554">
        <v>37</v>
      </c>
      <c r="AA10" s="553" t="s">
        <v>445</v>
      </c>
      <c r="AB10" s="554">
        <v>45</v>
      </c>
      <c r="AC10" s="553" t="s">
        <v>506</v>
      </c>
      <c r="AD10" s="554">
        <v>45</v>
      </c>
      <c r="AE10" s="553" t="s">
        <v>481</v>
      </c>
      <c r="AF10" s="554"/>
      <c r="AG10" s="553" t="s">
        <v>468</v>
      </c>
      <c r="AH10" s="554"/>
      <c r="AI10" s="553" t="s">
        <v>425</v>
      </c>
      <c r="AJ10" s="554"/>
      <c r="AK10" s="553" t="s">
        <v>232</v>
      </c>
      <c r="AL10" s="554"/>
      <c r="AM10" s="553" t="s">
        <v>702</v>
      </c>
      <c r="AN10" s="554"/>
      <c r="AO10" s="553" t="s">
        <v>1098</v>
      </c>
      <c r="AP10" s="554"/>
      <c r="AQ10" s="553" t="s">
        <v>1098</v>
      </c>
      <c r="AR10" s="554"/>
      <c r="AS10" s="553"/>
      <c r="AT10" s="554"/>
      <c r="AU10" s="553"/>
      <c r="AV10" s="554"/>
      <c r="AW10" s="553"/>
      <c r="AX10" s="554"/>
      <c r="AY10" s="553" t="s">
        <v>1084</v>
      </c>
      <c r="AZ10" s="554"/>
      <c r="BA10" s="553"/>
      <c r="BB10" s="554"/>
      <c r="BC10" s="553" t="s">
        <v>454</v>
      </c>
      <c r="BD10" s="554"/>
      <c r="BE10" s="553" t="s">
        <v>1099</v>
      </c>
      <c r="BF10" s="554"/>
      <c r="BG10" s="553" t="s">
        <v>232</v>
      </c>
      <c r="BH10" s="554"/>
      <c r="BI10" s="553" t="s">
        <v>232</v>
      </c>
      <c r="BJ10" s="554"/>
      <c r="BK10" s="553" t="s">
        <v>695</v>
      </c>
      <c r="BL10" s="554"/>
      <c r="BM10" s="553" t="s">
        <v>1100</v>
      </c>
      <c r="BN10" s="554"/>
      <c r="BO10" s="553"/>
      <c r="BP10" s="554"/>
      <c r="BQ10" s="553"/>
      <c r="BR10" s="554"/>
      <c r="BS10" s="553"/>
      <c r="BT10" s="554"/>
      <c r="BU10" s="553"/>
      <c r="BV10" s="554"/>
      <c r="BW10" s="553"/>
      <c r="BX10" s="554"/>
      <c r="BY10" s="553"/>
      <c r="BZ10" s="554"/>
      <c r="CA10" s="553"/>
      <c r="CB10" s="554"/>
      <c r="CC10" s="553"/>
      <c r="CD10" s="554"/>
      <c r="CE10" s="553"/>
      <c r="CF10" s="554"/>
      <c r="CG10" s="553"/>
      <c r="CH10" s="554"/>
      <c r="CI10" s="553"/>
      <c r="CJ10" s="554"/>
      <c r="CK10" s="553"/>
      <c r="CL10" s="554"/>
      <c r="CM10" s="553"/>
      <c r="CN10" s="554"/>
      <c r="CO10" s="553"/>
      <c r="CP10" s="554"/>
      <c r="CQ10" s="553"/>
      <c r="CR10" s="554"/>
      <c r="CS10" s="553"/>
      <c r="CT10" s="554"/>
      <c r="CU10" s="553"/>
      <c r="CV10" s="554"/>
      <c r="CW10" s="553"/>
      <c r="CX10" s="554"/>
      <c r="CY10" s="553"/>
      <c r="CZ10" s="554"/>
      <c r="DA10" s="553"/>
      <c r="DB10" s="554"/>
      <c r="DC10" s="553"/>
      <c r="DD10" s="554"/>
      <c r="DE10" s="553"/>
      <c r="DF10" s="554"/>
      <c r="DG10" s="553"/>
      <c r="DH10" s="554"/>
      <c r="DI10" s="553"/>
      <c r="DJ10" s="554"/>
      <c r="DK10" s="553"/>
      <c r="DL10" s="554"/>
      <c r="DM10" s="553"/>
      <c r="DN10" s="554"/>
      <c r="DO10" s="553"/>
      <c r="DP10" s="554"/>
      <c r="DQ10" s="553"/>
      <c r="DR10" s="554"/>
      <c r="DS10" s="553"/>
      <c r="DT10" s="554"/>
      <c r="DW10" s="59"/>
      <c r="DX10" s="60"/>
      <c r="DY10" s="60"/>
      <c r="DZ10" s="60"/>
      <c r="EA10" s="60"/>
      <c r="EB10" s="60"/>
      <c r="EC10" s="60"/>
      <c r="ED10" s="43"/>
      <c r="EE10" s="60"/>
      <c r="EF10" s="60"/>
      <c r="EG10" s="60"/>
      <c r="EH10" s="60"/>
      <c r="EJ10" s="60"/>
      <c r="EM10" s="53">
        <v>10</v>
      </c>
      <c r="EN10" s="53" t="s">
        <v>830</v>
      </c>
      <c r="ER10"/>
      <c r="ES10"/>
      <c r="ET10"/>
      <c r="EU10"/>
      <c r="EV10"/>
      <c r="EX10"/>
      <c r="EY10"/>
      <c r="EZ10"/>
      <c r="FA10"/>
      <c r="FC10"/>
      <c r="FE10"/>
    </row>
    <row r="11" spans="1:161" ht="15" customHeight="1" thickTop="1" thickBot="1" x14ac:dyDescent="0.4">
      <c r="A11" s="757"/>
      <c r="B11" s="361">
        <v>5</v>
      </c>
      <c r="C11" s="529" t="s">
        <v>462</v>
      </c>
      <c r="D11" s="534">
        <v>44</v>
      </c>
      <c r="E11" s="553" t="s">
        <v>529</v>
      </c>
      <c r="F11" s="554">
        <v>41</v>
      </c>
      <c r="G11" s="553" t="s">
        <v>529</v>
      </c>
      <c r="H11" s="554">
        <v>47</v>
      </c>
      <c r="I11" s="553" t="s">
        <v>462</v>
      </c>
      <c r="J11" s="554">
        <v>44</v>
      </c>
      <c r="K11" s="553" t="s">
        <v>880</v>
      </c>
      <c r="L11" s="554">
        <v>47</v>
      </c>
      <c r="M11" s="553" t="s">
        <v>232</v>
      </c>
      <c r="N11" s="554"/>
      <c r="O11" s="553" t="s">
        <v>580</v>
      </c>
      <c r="P11" s="554">
        <v>44</v>
      </c>
      <c r="Q11" s="553"/>
      <c r="R11" s="554"/>
      <c r="S11" s="553" t="s">
        <v>1101</v>
      </c>
      <c r="T11" s="554">
        <v>29</v>
      </c>
      <c r="U11" s="553" t="s">
        <v>519</v>
      </c>
      <c r="V11" s="554">
        <v>41</v>
      </c>
      <c r="W11" s="553" t="s">
        <v>519</v>
      </c>
      <c r="X11" s="554">
        <v>47</v>
      </c>
      <c r="Y11" s="553" t="s">
        <v>505</v>
      </c>
      <c r="Z11" s="554">
        <v>41</v>
      </c>
      <c r="AA11" s="553" t="s">
        <v>418</v>
      </c>
      <c r="AB11" s="554">
        <v>47</v>
      </c>
      <c r="AC11" s="553" t="s">
        <v>1102</v>
      </c>
      <c r="AD11" s="554">
        <v>49</v>
      </c>
      <c r="AE11" s="553" t="s">
        <v>1103</v>
      </c>
      <c r="AF11" s="554"/>
      <c r="AG11" s="553" t="s">
        <v>652</v>
      </c>
      <c r="AH11" s="554"/>
      <c r="AI11" s="553" t="s">
        <v>711</v>
      </c>
      <c r="AJ11" s="554"/>
      <c r="AK11" s="553" t="s">
        <v>232</v>
      </c>
      <c r="AL11" s="554"/>
      <c r="AM11" s="553" t="s">
        <v>739</v>
      </c>
      <c r="AN11" s="554"/>
      <c r="AO11" s="553"/>
      <c r="AP11" s="554"/>
      <c r="AQ11" s="553"/>
      <c r="AR11" s="554"/>
      <c r="AS11" s="553"/>
      <c r="AT11" s="554"/>
      <c r="AU11" s="553"/>
      <c r="AV11" s="554"/>
      <c r="AW11" s="553"/>
      <c r="AX11" s="554"/>
      <c r="AY11" s="553" t="s">
        <v>1104</v>
      </c>
      <c r="AZ11" s="554"/>
      <c r="BA11" s="553"/>
      <c r="BB11" s="554"/>
      <c r="BC11" s="553" t="s">
        <v>1105</v>
      </c>
      <c r="BD11" s="554"/>
      <c r="BE11" s="553" t="s">
        <v>651</v>
      </c>
      <c r="BF11" s="554"/>
      <c r="BG11" s="553" t="s">
        <v>232</v>
      </c>
      <c r="BH11" s="554"/>
      <c r="BI11" s="553" t="s">
        <v>232</v>
      </c>
      <c r="BJ11" s="554"/>
      <c r="BK11" s="553" t="s">
        <v>627</v>
      </c>
      <c r="BL11" s="554"/>
      <c r="BM11" s="553" t="s">
        <v>759</v>
      </c>
      <c r="BN11" s="554"/>
      <c r="BO11" s="553"/>
      <c r="BP11" s="554"/>
      <c r="BQ11" s="553"/>
      <c r="BR11" s="554"/>
      <c r="BS11" s="553"/>
      <c r="BT11" s="554"/>
      <c r="BU11" s="553"/>
      <c r="BV11" s="554"/>
      <c r="BW11" s="553"/>
      <c r="BX11" s="554"/>
      <c r="BY11" s="553"/>
      <c r="BZ11" s="554"/>
      <c r="CA11" s="553"/>
      <c r="CB11" s="554"/>
      <c r="CC11" s="553"/>
      <c r="CD11" s="554"/>
      <c r="CE11" s="553"/>
      <c r="CF11" s="554"/>
      <c r="CG11" s="553"/>
      <c r="CH11" s="554"/>
      <c r="CI11" s="553"/>
      <c r="CJ11" s="554"/>
      <c r="CK11" s="553"/>
      <c r="CL11" s="554"/>
      <c r="CM11" s="553"/>
      <c r="CN11" s="554"/>
      <c r="CO11" s="553"/>
      <c r="CP11" s="554"/>
      <c r="CQ11" s="553"/>
      <c r="CR11" s="554"/>
      <c r="CS11" s="553"/>
      <c r="CT11" s="554"/>
      <c r="CU11" s="553"/>
      <c r="CV11" s="554"/>
      <c r="CW11" s="553"/>
      <c r="CX11" s="554"/>
      <c r="CY11" s="553"/>
      <c r="CZ11" s="554"/>
      <c r="DA11" s="553"/>
      <c r="DB11" s="554"/>
      <c r="DC11" s="553"/>
      <c r="DD11" s="554"/>
      <c r="DE11" s="553"/>
      <c r="DF11" s="554"/>
      <c r="DG11" s="553"/>
      <c r="DH11" s="554"/>
      <c r="DI11" s="553"/>
      <c r="DJ11" s="554"/>
      <c r="DK11" s="553"/>
      <c r="DL11" s="554"/>
      <c r="DM11" s="553"/>
      <c r="DN11" s="554"/>
      <c r="DO11" s="553"/>
      <c r="DP11" s="554"/>
      <c r="DQ11" s="553"/>
      <c r="DR11" s="554"/>
      <c r="DS11" s="553"/>
      <c r="DT11" s="554"/>
      <c r="DU11" s="53"/>
      <c r="DV11" s="53">
        <v>2</v>
      </c>
      <c r="DW11" s="54"/>
      <c r="DX11" s="55"/>
      <c r="DY11" s="55"/>
      <c r="DZ11" s="55"/>
      <c r="EA11" s="55"/>
      <c r="EB11" s="55"/>
      <c r="EC11" s="55"/>
      <c r="ED11" s="56"/>
      <c r="EE11" s="55"/>
      <c r="EF11" s="55"/>
      <c r="EG11" s="55"/>
      <c r="EH11" s="55"/>
      <c r="EI11" s="57"/>
      <c r="EJ11" s="55"/>
      <c r="EK11" s="58"/>
      <c r="EM11" s="53">
        <v>11</v>
      </c>
      <c r="EN11" s="53" t="s">
        <v>834</v>
      </c>
      <c r="ER11"/>
      <c r="ES11"/>
      <c r="ET11"/>
      <c r="EU11"/>
      <c r="EV11"/>
      <c r="EX11"/>
      <c r="EY11"/>
      <c r="EZ11"/>
      <c r="FA11"/>
      <c r="FC11"/>
      <c r="FE11"/>
    </row>
    <row r="12" spans="1:161" ht="15" customHeight="1" thickTop="1" thickBot="1" x14ac:dyDescent="0.4">
      <c r="A12" s="757"/>
      <c r="B12" s="361">
        <v>6</v>
      </c>
      <c r="C12" s="529" t="s">
        <v>1088</v>
      </c>
      <c r="D12" s="534">
        <v>48</v>
      </c>
      <c r="E12" s="553" t="s">
        <v>1106</v>
      </c>
      <c r="F12" s="554">
        <v>44</v>
      </c>
      <c r="G12" s="553" t="s">
        <v>1088</v>
      </c>
      <c r="H12" s="554">
        <v>53</v>
      </c>
      <c r="I12" s="553" t="s">
        <v>232</v>
      </c>
      <c r="J12" s="554"/>
      <c r="K12" s="553" t="s">
        <v>628</v>
      </c>
      <c r="L12" s="554">
        <v>49</v>
      </c>
      <c r="M12" s="553" t="s">
        <v>232</v>
      </c>
      <c r="N12" s="554"/>
      <c r="O12" s="553" t="s">
        <v>232</v>
      </c>
      <c r="P12" s="554"/>
      <c r="Q12" s="553"/>
      <c r="R12" s="554"/>
      <c r="S12" s="553" t="s">
        <v>740</v>
      </c>
      <c r="T12" s="554">
        <v>33</v>
      </c>
      <c r="U12" s="553" t="s">
        <v>418</v>
      </c>
      <c r="V12" s="554">
        <v>45</v>
      </c>
      <c r="W12" s="553" t="s">
        <v>418</v>
      </c>
      <c r="X12" s="554">
        <v>49</v>
      </c>
      <c r="Y12" s="553" t="s">
        <v>644</v>
      </c>
      <c r="Z12" s="554">
        <v>45</v>
      </c>
      <c r="AA12" s="553" t="s">
        <v>572</v>
      </c>
      <c r="AB12" s="554">
        <v>49</v>
      </c>
      <c r="AC12" s="553" t="s">
        <v>431</v>
      </c>
      <c r="AD12" s="554">
        <v>52</v>
      </c>
      <c r="AE12" s="553" t="s">
        <v>546</v>
      </c>
      <c r="AF12" s="554"/>
      <c r="AG12" s="553" t="s">
        <v>484</v>
      </c>
      <c r="AH12" s="554"/>
      <c r="AI12" s="553" t="s">
        <v>232</v>
      </c>
      <c r="AJ12" s="554"/>
      <c r="AK12" s="553" t="s">
        <v>232</v>
      </c>
      <c r="AL12" s="554"/>
      <c r="AM12" s="553" t="s">
        <v>702</v>
      </c>
      <c r="AN12" s="554"/>
      <c r="AO12" s="553"/>
      <c r="AP12" s="554"/>
      <c r="AQ12" s="553"/>
      <c r="AR12" s="554"/>
      <c r="AS12" s="553"/>
      <c r="AT12" s="554"/>
      <c r="AU12" s="553"/>
      <c r="AV12" s="554"/>
      <c r="AW12" s="553"/>
      <c r="AX12" s="554"/>
      <c r="AY12" s="553" t="s">
        <v>1107</v>
      </c>
      <c r="AZ12" s="554"/>
      <c r="BA12" s="553"/>
      <c r="BB12" s="554"/>
      <c r="BC12" s="553" t="s">
        <v>545</v>
      </c>
      <c r="BD12" s="554"/>
      <c r="BE12" s="553" t="s">
        <v>468</v>
      </c>
      <c r="BF12" s="554"/>
      <c r="BG12" s="553" t="s">
        <v>232</v>
      </c>
      <c r="BH12" s="554"/>
      <c r="BI12" s="553" t="s">
        <v>232</v>
      </c>
      <c r="BJ12" s="554"/>
      <c r="BK12" s="553" t="s">
        <v>1108</v>
      </c>
      <c r="BL12" s="554"/>
      <c r="BM12" s="553" t="s">
        <v>666</v>
      </c>
      <c r="BN12" s="554"/>
      <c r="BO12" s="553"/>
      <c r="BP12" s="554"/>
      <c r="BQ12" s="553"/>
      <c r="BR12" s="554"/>
      <c r="BS12" s="553"/>
      <c r="BT12" s="554"/>
      <c r="BU12" s="553"/>
      <c r="BV12" s="554"/>
      <c r="BW12" s="553"/>
      <c r="BX12" s="554"/>
      <c r="BY12" s="553"/>
      <c r="BZ12" s="554"/>
      <c r="CA12" s="553"/>
      <c r="CB12" s="554"/>
      <c r="CC12" s="553"/>
      <c r="CD12" s="554"/>
      <c r="CE12" s="553"/>
      <c r="CF12" s="554"/>
      <c r="CG12" s="553"/>
      <c r="CH12" s="554"/>
      <c r="CI12" s="553"/>
      <c r="CJ12" s="554"/>
      <c r="CK12" s="553"/>
      <c r="CL12" s="554"/>
      <c r="CM12" s="553"/>
      <c r="CN12" s="554"/>
      <c r="CO12" s="553"/>
      <c r="CP12" s="554"/>
      <c r="CQ12" s="553"/>
      <c r="CR12" s="554"/>
      <c r="CS12" s="553"/>
      <c r="CT12" s="554"/>
      <c r="CU12" s="553"/>
      <c r="CV12" s="554"/>
      <c r="CW12" s="553"/>
      <c r="CX12" s="554"/>
      <c r="CY12" s="553"/>
      <c r="CZ12" s="554"/>
      <c r="DA12" s="553"/>
      <c r="DB12" s="554"/>
      <c r="DC12" s="553"/>
      <c r="DD12" s="554"/>
      <c r="DE12" s="553"/>
      <c r="DF12" s="554"/>
      <c r="DG12" s="553"/>
      <c r="DH12" s="554"/>
      <c r="DI12" s="553"/>
      <c r="DJ12" s="554"/>
      <c r="DK12" s="553"/>
      <c r="DL12" s="554"/>
      <c r="DM12" s="553"/>
      <c r="DN12" s="554"/>
      <c r="DO12" s="553"/>
      <c r="DP12" s="554"/>
      <c r="DQ12" s="553"/>
      <c r="DR12" s="554"/>
      <c r="DS12" s="553"/>
      <c r="DT12" s="554"/>
      <c r="DW12" s="59"/>
      <c r="DX12" s="60"/>
      <c r="DY12" s="60"/>
      <c r="DZ12" s="60"/>
      <c r="EA12" s="60"/>
      <c r="EB12" s="60"/>
      <c r="EC12" s="60"/>
      <c r="ED12" s="43"/>
      <c r="EE12" s="60"/>
      <c r="EF12" s="60"/>
      <c r="EG12" s="60"/>
      <c r="EH12" s="60"/>
      <c r="EI12" s="60"/>
      <c r="EJ12" s="60"/>
      <c r="EK12" s="60"/>
      <c r="EM12" s="53">
        <v>12</v>
      </c>
      <c r="EN12" s="53" t="s">
        <v>838</v>
      </c>
      <c r="ER12"/>
      <c r="ES12"/>
      <c r="ET12"/>
      <c r="EU12"/>
      <c r="EV12"/>
      <c r="EX12"/>
      <c r="EY12"/>
      <c r="EZ12"/>
      <c r="FA12"/>
      <c r="FC12"/>
      <c r="FE12"/>
    </row>
    <row r="13" spans="1:161" ht="15" customHeight="1" thickTop="1" thickBot="1" x14ac:dyDescent="0.35">
      <c r="A13" s="757"/>
      <c r="B13" s="361">
        <v>7</v>
      </c>
      <c r="C13" s="529" t="s">
        <v>427</v>
      </c>
      <c r="D13" s="534">
        <v>51</v>
      </c>
      <c r="E13" s="553" t="s">
        <v>743</v>
      </c>
      <c r="F13" s="554">
        <v>50</v>
      </c>
      <c r="G13" s="553" t="s">
        <v>232</v>
      </c>
      <c r="H13" s="554"/>
      <c r="I13" s="553" t="s">
        <v>232</v>
      </c>
      <c r="J13" s="554"/>
      <c r="K13" s="553" t="s">
        <v>232</v>
      </c>
      <c r="L13" s="554"/>
      <c r="M13" s="553" t="s">
        <v>232</v>
      </c>
      <c r="N13" s="554"/>
      <c r="O13" s="553" t="s">
        <v>232</v>
      </c>
      <c r="P13" s="554"/>
      <c r="Q13" s="553"/>
      <c r="R13" s="554"/>
      <c r="S13" s="553" t="s">
        <v>431</v>
      </c>
      <c r="T13" s="554">
        <v>35</v>
      </c>
      <c r="U13" s="553" t="s">
        <v>1109</v>
      </c>
      <c r="V13" s="554">
        <v>47</v>
      </c>
      <c r="W13" s="553" t="s">
        <v>232</v>
      </c>
      <c r="X13" s="554"/>
      <c r="Y13" s="553" t="s">
        <v>232</v>
      </c>
      <c r="Z13" s="554"/>
      <c r="AA13" s="553" t="s">
        <v>580</v>
      </c>
      <c r="AB13" s="554">
        <v>52</v>
      </c>
      <c r="AC13" s="553" t="s">
        <v>740</v>
      </c>
      <c r="AD13" s="554">
        <v>54</v>
      </c>
      <c r="AE13" s="553" t="s">
        <v>679</v>
      </c>
      <c r="AF13" s="554"/>
      <c r="AG13" s="553" t="s">
        <v>545</v>
      </c>
      <c r="AH13" s="554"/>
      <c r="AI13" s="553" t="s">
        <v>232</v>
      </c>
      <c r="AJ13" s="554"/>
      <c r="AK13" s="553" t="s">
        <v>232</v>
      </c>
      <c r="AL13" s="554"/>
      <c r="AM13" s="553" t="s">
        <v>1110</v>
      </c>
      <c r="AN13" s="554"/>
      <c r="AO13" s="553"/>
      <c r="AP13" s="554"/>
      <c r="AQ13" s="553"/>
      <c r="AR13" s="554"/>
      <c r="AS13" s="553"/>
      <c r="AT13" s="554"/>
      <c r="AU13" s="553"/>
      <c r="AV13" s="554"/>
      <c r="AW13" s="553"/>
      <c r="AX13" s="554"/>
      <c r="AY13" s="553" t="s">
        <v>232</v>
      </c>
      <c r="AZ13" s="554"/>
      <c r="BA13" s="553"/>
      <c r="BB13" s="554"/>
      <c r="BC13" s="553"/>
      <c r="BD13" s="554"/>
      <c r="BE13" s="553" t="s">
        <v>709</v>
      </c>
      <c r="BF13" s="554"/>
      <c r="BG13" s="553" t="s">
        <v>232</v>
      </c>
      <c r="BH13" s="554"/>
      <c r="BI13" s="553" t="s">
        <v>232</v>
      </c>
      <c r="BJ13" s="554"/>
      <c r="BK13" s="553"/>
      <c r="BL13" s="554"/>
      <c r="BM13" s="553" t="s">
        <v>1111</v>
      </c>
      <c r="BN13" s="554"/>
      <c r="BO13" s="553"/>
      <c r="BP13" s="554"/>
      <c r="BQ13" s="553"/>
      <c r="BR13" s="554"/>
      <c r="BS13" s="553"/>
      <c r="BT13" s="554"/>
      <c r="BU13" s="553"/>
      <c r="BV13" s="554"/>
      <c r="BW13" s="553"/>
      <c r="BX13" s="554"/>
      <c r="BY13" s="553"/>
      <c r="BZ13" s="554"/>
      <c r="CA13" s="553"/>
      <c r="CB13" s="554"/>
      <c r="CC13" s="553"/>
      <c r="CD13" s="554"/>
      <c r="CE13" s="553"/>
      <c r="CF13" s="554"/>
      <c r="CG13" s="553"/>
      <c r="CH13" s="554"/>
      <c r="CI13" s="553"/>
      <c r="CJ13" s="554"/>
      <c r="CK13" s="553"/>
      <c r="CL13" s="554"/>
      <c r="CM13" s="553"/>
      <c r="CN13" s="554"/>
      <c r="CO13" s="553"/>
      <c r="CP13" s="554"/>
      <c r="CQ13" s="553"/>
      <c r="CR13" s="554"/>
      <c r="CS13" s="553"/>
      <c r="CT13" s="554"/>
      <c r="CU13" s="553"/>
      <c r="CV13" s="554"/>
      <c r="CW13" s="553"/>
      <c r="CX13" s="554"/>
      <c r="CY13" s="553"/>
      <c r="CZ13" s="554"/>
      <c r="DA13" s="553"/>
      <c r="DB13" s="554"/>
      <c r="DC13" s="553"/>
      <c r="DD13" s="554"/>
      <c r="DE13" s="553"/>
      <c r="DF13" s="554"/>
      <c r="DG13" s="553"/>
      <c r="DH13" s="554"/>
      <c r="DI13" s="553"/>
      <c r="DJ13" s="554"/>
      <c r="DK13" s="553"/>
      <c r="DL13" s="554"/>
      <c r="DM13" s="553"/>
      <c r="DN13" s="554"/>
      <c r="DO13" s="553"/>
      <c r="DP13" s="554"/>
      <c r="DQ13" s="553"/>
      <c r="DR13" s="554"/>
      <c r="DS13" s="553"/>
      <c r="DT13" s="554"/>
      <c r="DW13" s="934" t="s">
        <v>349</v>
      </c>
      <c r="DX13" s="60"/>
      <c r="DY13" s="53" t="s">
        <v>1065</v>
      </c>
      <c r="DZ13" s="60"/>
      <c r="EA13" s="53"/>
      <c r="EC13" s="53"/>
      <c r="ED13" s="43"/>
      <c r="EE13" s="53"/>
      <c r="EF13" s="60"/>
      <c r="EG13" s="53"/>
      <c r="EH13" s="63"/>
      <c r="EI13" s="53"/>
      <c r="EJ13" s="63"/>
      <c r="EK13" s="53"/>
      <c r="EM13" s="53">
        <v>13</v>
      </c>
      <c r="EN13" s="53" t="s">
        <v>840</v>
      </c>
      <c r="ER13"/>
      <c r="ES13"/>
      <c r="ET13"/>
      <c r="EU13"/>
      <c r="EV13"/>
      <c r="EX13"/>
      <c r="EY13"/>
      <c r="EZ13"/>
      <c r="FA13"/>
      <c r="FC13"/>
      <c r="FE13"/>
    </row>
    <row r="14" spans="1:161" ht="14.4" customHeight="1" thickTop="1" thickBot="1" x14ac:dyDescent="0.35">
      <c r="A14" s="757"/>
      <c r="B14" s="361">
        <v>8</v>
      </c>
      <c r="C14" s="529" t="s">
        <v>232</v>
      </c>
      <c r="D14" s="534"/>
      <c r="E14" s="553" t="s">
        <v>232</v>
      </c>
      <c r="F14" s="554"/>
      <c r="G14" s="553" t="s">
        <v>232</v>
      </c>
      <c r="H14" s="554"/>
      <c r="I14" s="553" t="s">
        <v>232</v>
      </c>
      <c r="J14" s="554"/>
      <c r="K14" s="553" t="s">
        <v>232</v>
      </c>
      <c r="L14" s="554"/>
      <c r="M14" s="553" t="s">
        <v>232</v>
      </c>
      <c r="N14" s="554"/>
      <c r="O14" s="553" t="s">
        <v>232</v>
      </c>
      <c r="P14" s="554"/>
      <c r="Q14" s="553"/>
      <c r="R14" s="554"/>
      <c r="S14" s="553" t="s">
        <v>491</v>
      </c>
      <c r="T14" s="554">
        <v>37</v>
      </c>
      <c r="U14" s="553" t="s">
        <v>572</v>
      </c>
      <c r="V14" s="554">
        <v>49</v>
      </c>
      <c r="W14" s="553" t="s">
        <v>232</v>
      </c>
      <c r="X14" s="554"/>
      <c r="Y14" s="553" t="s">
        <v>232</v>
      </c>
      <c r="Z14" s="554"/>
      <c r="AA14" s="553" t="s">
        <v>232</v>
      </c>
      <c r="AB14" s="554"/>
      <c r="AC14" s="553" t="s">
        <v>1112</v>
      </c>
      <c r="AD14" s="554">
        <v>56</v>
      </c>
      <c r="AE14" s="553" t="s">
        <v>232</v>
      </c>
      <c r="AF14" s="554"/>
      <c r="AG14" s="553" t="s">
        <v>232</v>
      </c>
      <c r="AH14" s="554"/>
      <c r="AI14" s="553" t="s">
        <v>232</v>
      </c>
      <c r="AJ14" s="554"/>
      <c r="AK14" s="553" t="s">
        <v>232</v>
      </c>
      <c r="AL14" s="554"/>
      <c r="AM14" s="553"/>
      <c r="AN14" s="554"/>
      <c r="AO14" s="553"/>
      <c r="AP14" s="554"/>
      <c r="AQ14" s="553"/>
      <c r="AR14" s="554"/>
      <c r="AS14" s="553"/>
      <c r="AT14" s="554"/>
      <c r="AU14" s="553"/>
      <c r="AV14" s="554"/>
      <c r="AW14" s="553"/>
      <c r="AX14" s="554"/>
      <c r="AY14" s="553" t="s">
        <v>232</v>
      </c>
      <c r="AZ14" s="554"/>
      <c r="BA14" s="553"/>
      <c r="BB14" s="554"/>
      <c r="BC14" s="553"/>
      <c r="BD14" s="554"/>
      <c r="BE14" s="553" t="s">
        <v>232</v>
      </c>
      <c r="BF14" s="554"/>
      <c r="BG14" s="553" t="s">
        <v>232</v>
      </c>
      <c r="BH14" s="554"/>
      <c r="BI14" s="553" t="s">
        <v>232</v>
      </c>
      <c r="BJ14" s="554"/>
      <c r="BK14" s="553"/>
      <c r="BL14" s="554"/>
      <c r="BM14" s="553"/>
      <c r="BN14" s="554"/>
      <c r="BO14" s="553"/>
      <c r="BP14" s="554"/>
      <c r="BQ14" s="553"/>
      <c r="BR14" s="554"/>
      <c r="BS14" s="553"/>
      <c r="BT14" s="554"/>
      <c r="BU14" s="553"/>
      <c r="BV14" s="554"/>
      <c r="BW14" s="553"/>
      <c r="BX14" s="554"/>
      <c r="BY14" s="553"/>
      <c r="BZ14" s="554"/>
      <c r="CA14" s="553"/>
      <c r="CB14" s="554"/>
      <c r="CC14" s="553"/>
      <c r="CD14" s="554"/>
      <c r="CE14" s="553"/>
      <c r="CF14" s="554"/>
      <c r="CG14" s="553"/>
      <c r="CH14" s="554"/>
      <c r="CI14" s="553"/>
      <c r="CJ14" s="554"/>
      <c r="CK14" s="553"/>
      <c r="CL14" s="554"/>
      <c r="CM14" s="553"/>
      <c r="CN14" s="554"/>
      <c r="CO14" s="553"/>
      <c r="CP14" s="554"/>
      <c r="CQ14" s="553"/>
      <c r="CR14" s="554"/>
      <c r="CS14" s="553"/>
      <c r="CT14" s="554"/>
      <c r="CU14" s="553"/>
      <c r="CV14" s="554"/>
      <c r="CW14" s="553"/>
      <c r="CX14" s="554"/>
      <c r="CY14" s="553"/>
      <c r="CZ14" s="554"/>
      <c r="DA14" s="553"/>
      <c r="DB14" s="554"/>
      <c r="DC14" s="553"/>
      <c r="DD14" s="554"/>
      <c r="DE14" s="553"/>
      <c r="DF14" s="554"/>
      <c r="DG14" s="553"/>
      <c r="DH14" s="554"/>
      <c r="DI14" s="553"/>
      <c r="DJ14" s="554"/>
      <c r="DK14" s="553"/>
      <c r="DL14" s="554"/>
      <c r="DM14" s="553"/>
      <c r="DN14" s="554"/>
      <c r="DO14" s="553"/>
      <c r="DP14" s="554"/>
      <c r="DQ14" s="553"/>
      <c r="DR14" s="554"/>
      <c r="DS14" s="553"/>
      <c r="DT14" s="554"/>
      <c r="DW14" s="935"/>
      <c r="DX14" s="60"/>
      <c r="DY14" s="60"/>
      <c r="DZ14" s="60"/>
      <c r="EA14" s="60"/>
      <c r="EC14" s="60"/>
      <c r="ED14" s="43"/>
      <c r="EE14" s="60"/>
      <c r="EF14" s="60"/>
      <c r="EG14" s="60"/>
      <c r="EH14" s="63"/>
      <c r="EI14" s="60"/>
      <c r="EJ14" s="63"/>
      <c r="EK14" s="60"/>
      <c r="EM14" s="53">
        <v>14</v>
      </c>
      <c r="EN14" s="53" t="s">
        <v>844</v>
      </c>
      <c r="ER14"/>
      <c r="ES14"/>
      <c r="ET14"/>
      <c r="EU14"/>
      <c r="EV14"/>
      <c r="EX14"/>
      <c r="EY14"/>
      <c r="EZ14"/>
      <c r="FA14"/>
      <c r="FC14"/>
      <c r="FE14"/>
    </row>
    <row r="15" spans="1:161" ht="14.4" customHeight="1" thickTop="1" thickBot="1" x14ac:dyDescent="0.35">
      <c r="A15" s="757"/>
      <c r="B15" s="361">
        <v>9</v>
      </c>
      <c r="C15" s="529" t="s">
        <v>232</v>
      </c>
      <c r="D15" s="534"/>
      <c r="E15" s="553" t="s">
        <v>232</v>
      </c>
      <c r="F15" s="554"/>
      <c r="G15" s="553" t="s">
        <v>232</v>
      </c>
      <c r="H15" s="554"/>
      <c r="I15" s="553" t="s">
        <v>232</v>
      </c>
      <c r="J15" s="554"/>
      <c r="K15" s="553" t="s">
        <v>232</v>
      </c>
      <c r="L15" s="554"/>
      <c r="M15" s="553" t="s">
        <v>232</v>
      </c>
      <c r="N15" s="554"/>
      <c r="O15" s="553" t="s">
        <v>232</v>
      </c>
      <c r="P15" s="554"/>
      <c r="Q15" s="553"/>
      <c r="R15" s="554"/>
      <c r="S15" s="553" t="s">
        <v>504</v>
      </c>
      <c r="T15" s="554">
        <v>40</v>
      </c>
      <c r="U15" s="553" t="s">
        <v>232</v>
      </c>
      <c r="V15" s="554"/>
      <c r="W15" s="553" t="s">
        <v>232</v>
      </c>
      <c r="X15" s="554"/>
      <c r="Y15" s="553" t="s">
        <v>232</v>
      </c>
      <c r="Z15" s="554"/>
      <c r="AA15" s="553" t="s">
        <v>232</v>
      </c>
      <c r="AB15" s="554"/>
      <c r="AC15" s="553"/>
      <c r="AD15" s="554"/>
      <c r="AE15" s="553" t="s">
        <v>232</v>
      </c>
      <c r="AF15" s="554"/>
      <c r="AG15" s="553" t="s">
        <v>232</v>
      </c>
      <c r="AH15" s="554"/>
      <c r="AI15" s="553" t="s">
        <v>232</v>
      </c>
      <c r="AJ15" s="554"/>
      <c r="AK15" s="553" t="s">
        <v>232</v>
      </c>
      <c r="AL15" s="554"/>
      <c r="AM15" s="553"/>
      <c r="AN15" s="554"/>
      <c r="AO15" s="553"/>
      <c r="AP15" s="554"/>
      <c r="AQ15" s="553"/>
      <c r="AR15" s="554"/>
      <c r="AS15" s="553"/>
      <c r="AT15" s="554"/>
      <c r="AU15" s="553"/>
      <c r="AV15" s="554"/>
      <c r="AW15" s="553"/>
      <c r="AX15" s="554"/>
      <c r="AY15" s="553" t="s">
        <v>232</v>
      </c>
      <c r="AZ15" s="554"/>
      <c r="BA15" s="553"/>
      <c r="BB15" s="554"/>
      <c r="BC15" s="553"/>
      <c r="BD15" s="554"/>
      <c r="BE15" s="553" t="s">
        <v>232</v>
      </c>
      <c r="BF15" s="554"/>
      <c r="BG15" s="553" t="s">
        <v>232</v>
      </c>
      <c r="BH15" s="554"/>
      <c r="BI15" s="553" t="s">
        <v>232</v>
      </c>
      <c r="BJ15" s="554"/>
      <c r="BK15" s="553"/>
      <c r="BL15" s="554"/>
      <c r="BM15" s="553"/>
      <c r="BN15" s="554"/>
      <c r="BO15" s="553"/>
      <c r="BP15" s="554"/>
      <c r="BQ15" s="553"/>
      <c r="BR15" s="554"/>
      <c r="BS15" s="553"/>
      <c r="BT15" s="554"/>
      <c r="BU15" s="553"/>
      <c r="BV15" s="554"/>
      <c r="BW15" s="553"/>
      <c r="BX15" s="554"/>
      <c r="BY15" s="553"/>
      <c r="BZ15" s="554"/>
      <c r="CA15" s="553"/>
      <c r="CB15" s="554"/>
      <c r="CC15" s="553"/>
      <c r="CD15" s="554"/>
      <c r="CE15" s="553"/>
      <c r="CF15" s="554"/>
      <c r="CG15" s="553"/>
      <c r="CH15" s="554"/>
      <c r="CI15" s="553"/>
      <c r="CJ15" s="554"/>
      <c r="CK15" s="553"/>
      <c r="CL15" s="554"/>
      <c r="CM15" s="553"/>
      <c r="CN15" s="554"/>
      <c r="CO15" s="553"/>
      <c r="CP15" s="554"/>
      <c r="CQ15" s="553"/>
      <c r="CR15" s="554"/>
      <c r="CS15" s="553"/>
      <c r="CT15" s="554"/>
      <c r="CU15" s="553"/>
      <c r="CV15" s="554"/>
      <c r="CW15" s="553"/>
      <c r="CX15" s="554"/>
      <c r="CY15" s="553"/>
      <c r="CZ15" s="554"/>
      <c r="DA15" s="553"/>
      <c r="DB15" s="554"/>
      <c r="DC15" s="553"/>
      <c r="DD15" s="554"/>
      <c r="DE15" s="553"/>
      <c r="DF15" s="554"/>
      <c r="DG15" s="553"/>
      <c r="DH15" s="554"/>
      <c r="DI15" s="553"/>
      <c r="DJ15" s="554"/>
      <c r="DK15" s="553"/>
      <c r="DL15" s="554"/>
      <c r="DM15" s="553"/>
      <c r="DN15" s="554"/>
      <c r="DO15" s="553"/>
      <c r="DP15" s="554"/>
      <c r="DQ15" s="553"/>
      <c r="DR15" s="554"/>
      <c r="DS15" s="553"/>
      <c r="DT15" s="554"/>
      <c r="DW15" s="935"/>
      <c r="DX15" s="60"/>
      <c r="DY15" s="53" t="s">
        <v>1068</v>
      </c>
      <c r="DZ15" s="60"/>
      <c r="EA15" s="53"/>
      <c r="EC15" s="53"/>
      <c r="ED15" s="43"/>
      <c r="EE15" s="53"/>
      <c r="EF15" s="60"/>
      <c r="EG15" s="53"/>
      <c r="EH15" s="63"/>
      <c r="EI15" s="53"/>
      <c r="EJ15" s="63"/>
      <c r="EK15" s="53"/>
      <c r="EM15" s="53">
        <v>15</v>
      </c>
      <c r="EN15" s="53" t="s">
        <v>847</v>
      </c>
      <c r="ER15"/>
      <c r="ES15"/>
      <c r="ET15"/>
      <c r="EU15"/>
      <c r="EV15"/>
      <c r="EX15"/>
      <c r="EY15"/>
      <c r="EZ15"/>
      <c r="FA15"/>
      <c r="FC15"/>
      <c r="FE15"/>
    </row>
    <row r="16" spans="1:161" ht="14.4" customHeight="1" thickTop="1" thickBot="1" x14ac:dyDescent="0.35">
      <c r="A16" s="757"/>
      <c r="B16" s="361">
        <v>0</v>
      </c>
      <c r="C16" s="529" t="s">
        <v>232</v>
      </c>
      <c r="D16" s="534"/>
      <c r="E16" s="553" t="s">
        <v>232</v>
      </c>
      <c r="F16" s="554"/>
      <c r="G16" s="553" t="s">
        <v>232</v>
      </c>
      <c r="H16" s="554"/>
      <c r="I16" s="553" t="s">
        <v>232</v>
      </c>
      <c r="J16" s="554"/>
      <c r="K16" s="553" t="s">
        <v>232</v>
      </c>
      <c r="L16" s="554"/>
      <c r="M16" s="553" t="s">
        <v>232</v>
      </c>
      <c r="N16" s="554"/>
      <c r="O16" s="553" t="s">
        <v>232</v>
      </c>
      <c r="P16" s="554"/>
      <c r="Q16" s="553" t="s">
        <v>232</v>
      </c>
      <c r="R16" s="554"/>
      <c r="S16" s="553" t="s">
        <v>232</v>
      </c>
      <c r="T16" s="554"/>
      <c r="U16" s="553" t="s">
        <v>232</v>
      </c>
      <c r="V16" s="554"/>
      <c r="W16" s="553" t="s">
        <v>232</v>
      </c>
      <c r="X16" s="554"/>
      <c r="Y16" s="553" t="s">
        <v>232</v>
      </c>
      <c r="Z16" s="554"/>
      <c r="AA16" s="553" t="s">
        <v>232</v>
      </c>
      <c r="AB16" s="554"/>
      <c r="AC16" s="553"/>
      <c r="AD16" s="554"/>
      <c r="AE16" s="553" t="s">
        <v>232</v>
      </c>
      <c r="AF16" s="554"/>
      <c r="AG16" s="553" t="s">
        <v>232</v>
      </c>
      <c r="AH16" s="554"/>
      <c r="AI16" s="553" t="s">
        <v>232</v>
      </c>
      <c r="AJ16" s="554"/>
      <c r="AK16" s="553" t="s">
        <v>232</v>
      </c>
      <c r="AL16" s="554"/>
      <c r="AM16" s="553"/>
      <c r="AN16" s="554"/>
      <c r="AO16" s="553"/>
      <c r="AP16" s="554"/>
      <c r="AQ16" s="553"/>
      <c r="AR16" s="554"/>
      <c r="AS16" s="553"/>
      <c r="AT16" s="554"/>
      <c r="AU16" s="553"/>
      <c r="AV16" s="554"/>
      <c r="AW16" s="553"/>
      <c r="AX16" s="554"/>
      <c r="AY16" s="553" t="s">
        <v>232</v>
      </c>
      <c r="AZ16" s="554"/>
      <c r="BA16" s="553"/>
      <c r="BB16" s="554"/>
      <c r="BC16" s="553"/>
      <c r="BD16" s="554"/>
      <c r="BE16" s="553" t="s">
        <v>232</v>
      </c>
      <c r="BF16" s="554"/>
      <c r="BG16" s="553" t="s">
        <v>232</v>
      </c>
      <c r="BH16" s="554"/>
      <c r="BI16" s="553" t="s">
        <v>232</v>
      </c>
      <c r="BJ16" s="554"/>
      <c r="BK16" s="553"/>
      <c r="BL16" s="554"/>
      <c r="BM16" s="553"/>
      <c r="BN16" s="554"/>
      <c r="BO16" s="553"/>
      <c r="BP16" s="554"/>
      <c r="BQ16" s="553"/>
      <c r="BR16" s="554"/>
      <c r="BS16" s="553"/>
      <c r="BT16" s="554"/>
      <c r="BU16" s="553"/>
      <c r="BV16" s="554"/>
      <c r="BW16" s="553"/>
      <c r="BX16" s="554"/>
      <c r="BY16" s="553"/>
      <c r="BZ16" s="554"/>
      <c r="CA16" s="553"/>
      <c r="CB16" s="554"/>
      <c r="CC16" s="553"/>
      <c r="CD16" s="554"/>
      <c r="CE16" s="553"/>
      <c r="CF16" s="554"/>
      <c r="CG16" s="553"/>
      <c r="CH16" s="554"/>
      <c r="CI16" s="553"/>
      <c r="CJ16" s="554"/>
      <c r="CK16" s="553"/>
      <c r="CL16" s="554"/>
      <c r="CM16" s="553"/>
      <c r="CN16" s="554"/>
      <c r="CO16" s="553"/>
      <c r="CP16" s="554"/>
      <c r="CQ16" s="553"/>
      <c r="CR16" s="554"/>
      <c r="CS16" s="553"/>
      <c r="CT16" s="554"/>
      <c r="CU16" s="553"/>
      <c r="CV16" s="554"/>
      <c r="CW16" s="553"/>
      <c r="CX16" s="554"/>
      <c r="CY16" s="553"/>
      <c r="CZ16" s="554"/>
      <c r="DA16" s="553"/>
      <c r="DB16" s="554"/>
      <c r="DC16" s="553"/>
      <c r="DD16" s="554"/>
      <c r="DE16" s="553"/>
      <c r="DF16" s="554"/>
      <c r="DG16" s="553"/>
      <c r="DH16" s="554"/>
      <c r="DI16" s="553"/>
      <c r="DJ16" s="554"/>
      <c r="DK16" s="553"/>
      <c r="DL16" s="554"/>
      <c r="DM16" s="553"/>
      <c r="DN16" s="554"/>
      <c r="DO16" s="553"/>
      <c r="DP16" s="554"/>
      <c r="DQ16" s="553"/>
      <c r="DR16" s="554"/>
      <c r="DS16" s="553"/>
      <c r="DT16" s="554"/>
      <c r="DW16" s="935"/>
      <c r="DX16" s="60"/>
      <c r="DY16" s="53" t="s">
        <v>1075</v>
      </c>
      <c r="DZ16" s="60"/>
      <c r="EA16" s="53"/>
      <c r="EC16" s="53"/>
      <c r="ED16" s="43"/>
      <c r="EE16" s="53"/>
      <c r="EF16" s="60"/>
      <c r="EG16" s="53"/>
      <c r="EH16" s="63"/>
      <c r="EI16" s="53"/>
      <c r="EJ16" s="63"/>
      <c r="EK16" s="53"/>
      <c r="EM16" s="53">
        <v>16</v>
      </c>
      <c r="EN16" s="53" t="s">
        <v>14</v>
      </c>
      <c r="ER16"/>
      <c r="ES16"/>
      <c r="ET16"/>
      <c r="EU16"/>
      <c r="EV16"/>
      <c r="EX16"/>
      <c r="EY16"/>
      <c r="EZ16"/>
      <c r="FA16"/>
      <c r="FC16"/>
      <c r="FE16"/>
    </row>
    <row r="17" spans="1:165" ht="15.6" thickTop="1" thickBot="1" x14ac:dyDescent="0.35">
      <c r="A17" s="757"/>
      <c r="B17" s="361">
        <v>11</v>
      </c>
      <c r="C17" s="529" t="s">
        <v>232</v>
      </c>
      <c r="D17" s="534"/>
      <c r="E17" s="553" t="s">
        <v>232</v>
      </c>
      <c r="F17" s="554"/>
      <c r="G17" s="553" t="s">
        <v>232</v>
      </c>
      <c r="H17" s="554"/>
      <c r="I17" s="553" t="s">
        <v>232</v>
      </c>
      <c r="J17" s="554"/>
      <c r="K17" s="553" t="s">
        <v>232</v>
      </c>
      <c r="L17" s="554"/>
      <c r="M17" s="553" t="s">
        <v>232</v>
      </c>
      <c r="N17" s="554"/>
      <c r="O17" s="553" t="s">
        <v>232</v>
      </c>
      <c r="P17" s="554"/>
      <c r="Q17" s="553" t="s">
        <v>232</v>
      </c>
      <c r="R17" s="554"/>
      <c r="S17" s="553" t="s">
        <v>232</v>
      </c>
      <c r="T17" s="554"/>
      <c r="U17" s="553" t="s">
        <v>232</v>
      </c>
      <c r="V17" s="554"/>
      <c r="W17" s="553" t="s">
        <v>232</v>
      </c>
      <c r="X17" s="554"/>
      <c r="Y17" s="553" t="s">
        <v>232</v>
      </c>
      <c r="Z17" s="554"/>
      <c r="AA17" s="553" t="s">
        <v>232</v>
      </c>
      <c r="AB17" s="554"/>
      <c r="AC17" s="553"/>
      <c r="AD17" s="554"/>
      <c r="AE17" s="553" t="s">
        <v>232</v>
      </c>
      <c r="AF17" s="554"/>
      <c r="AG17" s="553" t="s">
        <v>232</v>
      </c>
      <c r="AH17" s="554"/>
      <c r="AI17" s="553" t="s">
        <v>232</v>
      </c>
      <c r="AJ17" s="554"/>
      <c r="AK17" s="553" t="s">
        <v>232</v>
      </c>
      <c r="AL17" s="554"/>
      <c r="AM17" s="553"/>
      <c r="AN17" s="554"/>
      <c r="AO17" s="553"/>
      <c r="AP17" s="554"/>
      <c r="AQ17" s="553"/>
      <c r="AR17" s="554"/>
      <c r="AS17" s="553"/>
      <c r="AT17" s="554"/>
      <c r="AU17" s="553"/>
      <c r="AV17" s="554"/>
      <c r="AW17" s="553"/>
      <c r="AX17" s="554"/>
      <c r="AY17" s="553" t="s">
        <v>232</v>
      </c>
      <c r="AZ17" s="554"/>
      <c r="BA17" s="553"/>
      <c r="BB17" s="554"/>
      <c r="BC17" s="553"/>
      <c r="BD17" s="554"/>
      <c r="BE17" s="553" t="s">
        <v>232</v>
      </c>
      <c r="BF17" s="554"/>
      <c r="BG17" s="553" t="s">
        <v>232</v>
      </c>
      <c r="BH17" s="554"/>
      <c r="BI17" s="553" t="s">
        <v>232</v>
      </c>
      <c r="BJ17" s="554"/>
      <c r="BK17" s="553"/>
      <c r="BL17" s="554"/>
      <c r="BM17" s="553"/>
      <c r="BN17" s="554"/>
      <c r="BO17" s="553"/>
      <c r="BP17" s="554"/>
      <c r="BQ17" s="553"/>
      <c r="BR17" s="554"/>
      <c r="BS17" s="553"/>
      <c r="BT17" s="554"/>
      <c r="BU17" s="553"/>
      <c r="BV17" s="554"/>
      <c r="BW17" s="553"/>
      <c r="BX17" s="554"/>
      <c r="BY17" s="553"/>
      <c r="BZ17" s="554"/>
      <c r="CA17" s="553"/>
      <c r="CB17" s="554"/>
      <c r="CC17" s="553"/>
      <c r="CD17" s="554"/>
      <c r="CE17" s="553"/>
      <c r="CF17" s="554"/>
      <c r="CG17" s="553"/>
      <c r="CH17" s="554"/>
      <c r="CI17" s="553"/>
      <c r="CJ17" s="554"/>
      <c r="CK17" s="553"/>
      <c r="CL17" s="554"/>
      <c r="CM17" s="553"/>
      <c r="CN17" s="554"/>
      <c r="CO17" s="553"/>
      <c r="CP17" s="554"/>
      <c r="CQ17" s="553"/>
      <c r="CR17" s="554"/>
      <c r="CS17" s="553"/>
      <c r="CT17" s="554"/>
      <c r="CU17" s="553"/>
      <c r="CV17" s="554"/>
      <c r="CW17" s="553"/>
      <c r="CX17" s="554"/>
      <c r="CY17" s="553"/>
      <c r="CZ17" s="554"/>
      <c r="DA17" s="553"/>
      <c r="DB17" s="554"/>
      <c r="DC17" s="553"/>
      <c r="DD17" s="554"/>
      <c r="DE17" s="553"/>
      <c r="DF17" s="554"/>
      <c r="DG17" s="553"/>
      <c r="DH17" s="554"/>
      <c r="DI17" s="553"/>
      <c r="DJ17" s="554"/>
      <c r="DK17" s="553"/>
      <c r="DL17" s="554"/>
      <c r="DM17" s="553"/>
      <c r="DN17" s="554"/>
      <c r="DO17" s="553"/>
      <c r="DP17" s="554"/>
      <c r="DQ17" s="553"/>
      <c r="DR17" s="554"/>
      <c r="DS17" s="553"/>
      <c r="DT17" s="554"/>
      <c r="DW17" s="935"/>
      <c r="DX17" s="60"/>
      <c r="DY17" s="60"/>
      <c r="DZ17" s="60"/>
      <c r="EA17" s="60"/>
      <c r="EC17" s="60"/>
      <c r="ED17" s="43"/>
      <c r="EE17" s="60"/>
      <c r="EF17" s="60"/>
      <c r="EG17" s="60"/>
      <c r="EH17" s="63"/>
      <c r="EI17" s="60"/>
      <c r="EJ17" s="63"/>
      <c r="EK17" s="60"/>
      <c r="EM17" s="53">
        <v>17</v>
      </c>
      <c r="EN17" s="53" t="s">
        <v>850</v>
      </c>
      <c r="ER17"/>
      <c r="ES17"/>
      <c r="ET17"/>
      <c r="EU17"/>
      <c r="EV17"/>
      <c r="EX17"/>
      <c r="EY17"/>
      <c r="EZ17"/>
      <c r="FA17"/>
      <c r="FC17"/>
      <c r="FE17"/>
    </row>
    <row r="18" spans="1:165" ht="16.95" customHeight="1" thickTop="1" thickBot="1" x14ac:dyDescent="0.35">
      <c r="A18" s="354" t="s">
        <v>1113</v>
      </c>
      <c r="B18" s="354">
        <v>1</v>
      </c>
      <c r="C18" s="354" t="s">
        <v>4</v>
      </c>
      <c r="D18" s="354"/>
      <c r="E18" s="354" t="s">
        <v>4</v>
      </c>
      <c r="F18" s="354"/>
      <c r="G18" s="354" t="s">
        <v>13</v>
      </c>
      <c r="H18" s="354"/>
      <c r="I18" s="354" t="s">
        <v>3</v>
      </c>
      <c r="J18" s="354"/>
      <c r="K18" s="354" t="s">
        <v>18</v>
      </c>
      <c r="L18" s="354"/>
      <c r="M18" s="354" t="s">
        <v>9</v>
      </c>
      <c r="N18" s="354"/>
      <c r="O18" s="354" t="s">
        <v>3</v>
      </c>
      <c r="P18" s="354"/>
      <c r="Q18" s="354" t="s">
        <v>13</v>
      </c>
      <c r="R18" s="354"/>
      <c r="S18" s="354" t="s">
        <v>9</v>
      </c>
      <c r="T18" s="354"/>
      <c r="U18" s="354" t="s">
        <v>9</v>
      </c>
      <c r="V18" s="354"/>
      <c r="W18" s="354" t="s">
        <v>18</v>
      </c>
      <c r="X18" s="354"/>
      <c r="Y18" s="354" t="s">
        <v>18</v>
      </c>
      <c r="Z18" s="354"/>
      <c r="AA18" s="354" t="s">
        <v>4</v>
      </c>
      <c r="AB18" s="354"/>
      <c r="AC18" s="354" t="s">
        <v>4</v>
      </c>
      <c r="AD18" s="354"/>
      <c r="AE18" s="354" t="s">
        <v>13</v>
      </c>
      <c r="AF18" s="354"/>
      <c r="AG18" s="354" t="s">
        <v>4</v>
      </c>
      <c r="AH18" s="354"/>
      <c r="AI18" s="354" t="s">
        <v>349</v>
      </c>
      <c r="AJ18" s="354"/>
      <c r="AK18" s="354" t="s">
        <v>10</v>
      </c>
      <c r="AL18" s="354"/>
      <c r="AM18" s="354" t="s">
        <v>9</v>
      </c>
      <c r="AN18" s="354"/>
      <c r="AO18" s="354" t="s">
        <v>4</v>
      </c>
      <c r="AP18" s="354"/>
      <c r="AQ18" s="354" t="s">
        <v>4</v>
      </c>
      <c r="AR18" s="354"/>
      <c r="AS18" s="354" t="s">
        <v>852</v>
      </c>
      <c r="AT18" s="354"/>
      <c r="AU18" s="354" t="s">
        <v>9</v>
      </c>
      <c r="AV18" s="354"/>
      <c r="AW18" s="354" t="s">
        <v>13</v>
      </c>
      <c r="AX18" s="354"/>
      <c r="AY18" s="354" t="s">
        <v>3</v>
      </c>
      <c r="AZ18" s="354"/>
      <c r="BA18" s="354" t="s">
        <v>9</v>
      </c>
      <c r="BB18" s="354"/>
      <c r="BC18" s="354" t="s">
        <v>9</v>
      </c>
      <c r="BD18" s="354"/>
      <c r="BE18" s="354" t="s">
        <v>868</v>
      </c>
      <c r="BF18" s="354"/>
      <c r="BG18" s="354" t="s">
        <v>9</v>
      </c>
      <c r="BH18" s="354"/>
      <c r="BI18" s="354" t="s">
        <v>4</v>
      </c>
      <c r="BJ18" s="354"/>
      <c r="BK18" s="354" t="s">
        <v>9</v>
      </c>
      <c r="BL18" s="354"/>
      <c r="BM18" s="354" t="s">
        <v>10</v>
      </c>
      <c r="BN18" s="354"/>
      <c r="BO18" s="354"/>
      <c r="BP18" s="354"/>
      <c r="BQ18" s="354"/>
      <c r="BR18" s="354"/>
      <c r="BS18" s="354"/>
      <c r="BT18" s="354"/>
      <c r="BU18" s="354"/>
      <c r="BV18" s="354"/>
      <c r="BW18" s="354"/>
      <c r="BX18" s="354"/>
      <c r="BY18" s="354"/>
      <c r="BZ18" s="354"/>
      <c r="CA18" s="354"/>
      <c r="CB18" s="354"/>
      <c r="CC18" s="354"/>
      <c r="CD18" s="354"/>
      <c r="CE18" s="354"/>
      <c r="CF18" s="354"/>
      <c r="CG18" s="354"/>
      <c r="CH18" s="354"/>
      <c r="CI18" s="354"/>
      <c r="CJ18" s="354"/>
      <c r="CK18" s="354"/>
      <c r="CL18" s="354"/>
      <c r="CM18" s="354"/>
      <c r="CN18" s="354"/>
      <c r="CO18" s="354"/>
      <c r="CP18" s="354"/>
      <c r="CQ18" s="354"/>
      <c r="CR18" s="354"/>
      <c r="CS18" s="354"/>
      <c r="CT18" s="354"/>
      <c r="CU18" s="354"/>
      <c r="CV18" s="354"/>
      <c r="CW18" s="354"/>
      <c r="CX18" s="354"/>
      <c r="CY18" s="354"/>
      <c r="CZ18" s="354"/>
      <c r="DA18" s="354"/>
      <c r="DB18" s="354"/>
      <c r="DC18" s="354"/>
      <c r="DD18" s="354"/>
      <c r="DE18" s="354"/>
      <c r="DF18" s="354"/>
      <c r="DG18" s="354"/>
      <c r="DH18" s="354"/>
      <c r="DI18" s="354"/>
      <c r="DJ18" s="354"/>
      <c r="DK18" s="354"/>
      <c r="DL18" s="354"/>
      <c r="DM18" s="354"/>
      <c r="DN18" s="354"/>
      <c r="DO18" s="354"/>
      <c r="DP18" s="354"/>
      <c r="DQ18" s="354"/>
      <c r="DR18" s="354"/>
      <c r="DS18" s="354"/>
      <c r="DT18" s="354"/>
      <c r="DW18" s="936"/>
      <c r="DX18" s="60"/>
      <c r="DY18" s="53" t="s">
        <v>1094</v>
      </c>
      <c r="DZ18" s="60"/>
      <c r="EA18" s="53"/>
      <c r="EC18" s="53"/>
      <c r="ED18" s="43"/>
      <c r="EE18" s="53"/>
      <c r="EF18" s="60"/>
      <c r="EG18" s="53"/>
      <c r="EH18" s="63"/>
      <c r="EI18" s="53"/>
      <c r="EJ18" s="63"/>
      <c r="EK18" s="53"/>
      <c r="EM18" s="53">
        <v>18</v>
      </c>
      <c r="EN18" s="53" t="s">
        <v>852</v>
      </c>
      <c r="ER18"/>
      <c r="ES18"/>
      <c r="ET18"/>
      <c r="EU18"/>
      <c r="EV18"/>
      <c r="EX18"/>
      <c r="EY18"/>
      <c r="EZ18"/>
      <c r="FA18"/>
      <c r="FC18"/>
      <c r="FE18"/>
    </row>
    <row r="19" spans="1:165" ht="16.95" customHeight="1" thickTop="1" thickBot="1" x14ac:dyDescent="0.4">
      <c r="A19" s="757"/>
      <c r="B19" s="362">
        <v>2</v>
      </c>
      <c r="C19" s="527" t="s">
        <v>232</v>
      </c>
      <c r="D19" s="528"/>
      <c r="E19" s="551" t="s">
        <v>232</v>
      </c>
      <c r="F19" s="555"/>
      <c r="G19" s="551" t="s">
        <v>232</v>
      </c>
      <c r="H19" s="555"/>
      <c r="I19" s="551"/>
      <c r="J19" s="555"/>
      <c r="K19" s="551" t="s">
        <v>19</v>
      </c>
      <c r="L19" s="555"/>
      <c r="M19" s="551" t="s">
        <v>349</v>
      </c>
      <c r="N19" s="555"/>
      <c r="O19" s="551" t="s">
        <v>13</v>
      </c>
      <c r="P19" s="555"/>
      <c r="Q19" s="551" t="s">
        <v>3</v>
      </c>
      <c r="R19" s="555"/>
      <c r="S19" s="551" t="s">
        <v>349</v>
      </c>
      <c r="T19" s="555"/>
      <c r="U19" s="551" t="s">
        <v>349</v>
      </c>
      <c r="V19" s="555"/>
      <c r="W19" s="551" t="s">
        <v>19</v>
      </c>
      <c r="X19" s="555"/>
      <c r="Y19" s="551" t="s">
        <v>19</v>
      </c>
      <c r="Z19" s="555"/>
      <c r="AA19" s="551" t="s">
        <v>834</v>
      </c>
      <c r="AB19" s="555"/>
      <c r="AC19" s="551" t="s">
        <v>232</v>
      </c>
      <c r="AD19" s="555"/>
      <c r="AE19" s="551" t="s">
        <v>847</v>
      </c>
      <c r="AF19" s="555"/>
      <c r="AG19" s="551" t="s">
        <v>232</v>
      </c>
      <c r="AH19" s="555"/>
      <c r="AI19" s="551" t="s">
        <v>852</v>
      </c>
      <c r="AJ19" s="555"/>
      <c r="AK19" s="551" t="s">
        <v>1114</v>
      </c>
      <c r="AL19" s="555"/>
      <c r="AM19" s="551" t="s">
        <v>852</v>
      </c>
      <c r="AN19" s="555"/>
      <c r="AO19" s="551" t="s">
        <v>1115</v>
      </c>
      <c r="AP19" s="555"/>
      <c r="AQ19" s="551" t="s">
        <v>1115</v>
      </c>
      <c r="AR19" s="555"/>
      <c r="AS19" s="551" t="s">
        <v>1116</v>
      </c>
      <c r="AT19" s="555"/>
      <c r="AU19" s="551" t="s">
        <v>825</v>
      </c>
      <c r="AV19" s="555"/>
      <c r="AW19" s="551" t="s">
        <v>9</v>
      </c>
      <c r="AX19" s="555" t="s">
        <v>1117</v>
      </c>
      <c r="AY19" s="551" t="s">
        <v>18</v>
      </c>
      <c r="AZ19" s="555"/>
      <c r="BA19" s="551" t="s">
        <v>13</v>
      </c>
      <c r="BB19" s="555"/>
      <c r="BC19" s="551" t="s">
        <v>13</v>
      </c>
      <c r="BD19" s="555"/>
      <c r="BE19" s="551" t="s">
        <v>14</v>
      </c>
      <c r="BF19" s="555"/>
      <c r="BG19" s="551" t="s">
        <v>3</v>
      </c>
      <c r="BH19" s="555"/>
      <c r="BI19" s="551" t="s">
        <v>232</v>
      </c>
      <c r="BJ19" s="555"/>
      <c r="BK19" s="551" t="s">
        <v>349</v>
      </c>
      <c r="BL19" s="555"/>
      <c r="BM19" s="551" t="s">
        <v>1118</v>
      </c>
      <c r="BN19" s="555"/>
      <c r="BO19" s="551"/>
      <c r="BP19" s="555"/>
      <c r="BQ19" s="551"/>
      <c r="BR19" s="555"/>
      <c r="BS19" s="551"/>
      <c r="BT19" s="555"/>
      <c r="BU19" s="551"/>
      <c r="BV19" s="555"/>
      <c r="BW19" s="551"/>
      <c r="BX19" s="555"/>
      <c r="BY19" s="551"/>
      <c r="BZ19" s="555"/>
      <c r="CA19" s="551"/>
      <c r="CB19" s="555"/>
      <c r="CC19" s="551"/>
      <c r="CD19" s="555"/>
      <c r="CE19" s="551"/>
      <c r="CF19" s="555"/>
      <c r="CG19" s="551"/>
      <c r="CH19" s="555"/>
      <c r="CI19" s="551"/>
      <c r="CJ19" s="555"/>
      <c r="CK19" s="551"/>
      <c r="CL19" s="555"/>
      <c r="CM19" s="551"/>
      <c r="CN19" s="555"/>
      <c r="CO19" s="551"/>
      <c r="CP19" s="555"/>
      <c r="CQ19" s="551"/>
      <c r="CR19" s="555"/>
      <c r="CS19" s="551"/>
      <c r="CT19" s="555"/>
      <c r="CU19" s="551"/>
      <c r="CV19" s="555"/>
      <c r="CW19" s="551"/>
      <c r="CX19" s="555"/>
      <c r="CY19" s="551"/>
      <c r="CZ19" s="555"/>
      <c r="DA19" s="551"/>
      <c r="DB19" s="555"/>
      <c r="DC19" s="551"/>
      <c r="DD19" s="555"/>
      <c r="DE19" s="551"/>
      <c r="DF19" s="555"/>
      <c r="DG19" s="551"/>
      <c r="DH19" s="555"/>
      <c r="DI19" s="551"/>
      <c r="DJ19" s="555"/>
      <c r="DK19" s="551"/>
      <c r="DL19" s="555"/>
      <c r="DM19" s="551"/>
      <c r="DN19" s="555"/>
      <c r="DO19" s="551"/>
      <c r="DP19" s="555"/>
      <c r="DQ19" s="551"/>
      <c r="DR19" s="555"/>
      <c r="DS19" s="551"/>
      <c r="DT19" s="555"/>
      <c r="DW19" s="59"/>
      <c r="DX19" s="60"/>
      <c r="DY19" s="60"/>
      <c r="DZ19" s="60"/>
      <c r="EA19" s="60"/>
      <c r="EC19" s="60"/>
      <c r="ED19" s="43"/>
      <c r="EE19" s="60"/>
      <c r="EF19" s="60"/>
      <c r="EH19" s="63"/>
      <c r="EJ19" s="63"/>
      <c r="EM19" s="53">
        <v>19</v>
      </c>
      <c r="EN19" s="53" t="s">
        <v>854</v>
      </c>
      <c r="ER19"/>
      <c r="ES19"/>
      <c r="ET19"/>
      <c r="EU19"/>
      <c r="EV19"/>
      <c r="EX19"/>
      <c r="EY19"/>
      <c r="EZ19"/>
      <c r="FA19"/>
      <c r="FC19"/>
      <c r="FE19"/>
    </row>
    <row r="20" spans="1:165" ht="16.95" customHeight="1" thickTop="1" thickBot="1" x14ac:dyDescent="0.4">
      <c r="A20" s="757"/>
      <c r="B20" s="362">
        <v>3</v>
      </c>
      <c r="C20" s="529" t="s">
        <v>232</v>
      </c>
      <c r="D20" s="530"/>
      <c r="E20" s="553" t="s">
        <v>232</v>
      </c>
      <c r="F20" s="556"/>
      <c r="G20" s="553" t="s">
        <v>232</v>
      </c>
      <c r="H20" s="556"/>
      <c r="I20" s="553"/>
      <c r="J20" s="556"/>
      <c r="K20" s="553" t="s">
        <v>349</v>
      </c>
      <c r="L20" s="556"/>
      <c r="M20" s="553" t="s">
        <v>18</v>
      </c>
      <c r="N20" s="556"/>
      <c r="O20" s="553" t="s">
        <v>232</v>
      </c>
      <c r="P20" s="556"/>
      <c r="Q20" s="553"/>
      <c r="R20" s="556"/>
      <c r="S20" s="553" t="s">
        <v>852</v>
      </c>
      <c r="T20" s="556"/>
      <c r="U20" s="553" t="s">
        <v>852</v>
      </c>
      <c r="V20" s="556"/>
      <c r="W20" s="553" t="s">
        <v>865</v>
      </c>
      <c r="X20" s="556"/>
      <c r="Y20" s="553" t="s">
        <v>865</v>
      </c>
      <c r="Z20" s="556"/>
      <c r="AA20" s="553"/>
      <c r="AB20" s="556"/>
      <c r="AC20" s="553" t="s">
        <v>232</v>
      </c>
      <c r="AD20" s="556"/>
      <c r="AE20" s="553" t="s">
        <v>1119</v>
      </c>
      <c r="AF20" s="556"/>
      <c r="AG20" s="553" t="s">
        <v>232</v>
      </c>
      <c r="AH20" s="556"/>
      <c r="AI20" s="553" t="s">
        <v>232</v>
      </c>
      <c r="AJ20" s="556"/>
      <c r="AK20" s="553" t="s">
        <v>232</v>
      </c>
      <c r="AL20" s="556"/>
      <c r="AM20" s="553" t="s">
        <v>1120</v>
      </c>
      <c r="AN20" s="556"/>
      <c r="AO20" s="553"/>
      <c r="AP20" s="556"/>
      <c r="AQ20" s="553"/>
      <c r="AR20" s="556"/>
      <c r="AS20" s="553" t="s">
        <v>1121</v>
      </c>
      <c r="AT20" s="556"/>
      <c r="AU20" s="553" t="s">
        <v>3</v>
      </c>
      <c r="AV20" s="556"/>
      <c r="AW20" s="553"/>
      <c r="AX20" s="556"/>
      <c r="AY20" s="553" t="s">
        <v>232</v>
      </c>
      <c r="AZ20" s="556"/>
      <c r="BA20" s="553" t="s">
        <v>1120</v>
      </c>
      <c r="BB20" s="556"/>
      <c r="BC20" s="553"/>
      <c r="BD20" s="556"/>
      <c r="BE20" s="553" t="s">
        <v>1118</v>
      </c>
      <c r="BF20" s="556"/>
      <c r="BG20" s="553" t="s">
        <v>10</v>
      </c>
      <c r="BH20" s="556"/>
      <c r="BI20" s="553" t="s">
        <v>232</v>
      </c>
      <c r="BJ20" s="556"/>
      <c r="BK20" s="553" t="s">
        <v>1122</v>
      </c>
      <c r="BL20" s="556"/>
      <c r="BM20" s="553" t="s">
        <v>19</v>
      </c>
      <c r="BN20" s="556"/>
      <c r="BO20" s="553"/>
      <c r="BP20" s="556"/>
      <c r="BQ20" s="553"/>
      <c r="BR20" s="556"/>
      <c r="BS20" s="553"/>
      <c r="BT20" s="556"/>
      <c r="BU20" s="553"/>
      <c r="BV20" s="556"/>
      <c r="BW20" s="553"/>
      <c r="BX20" s="556"/>
      <c r="BY20" s="553"/>
      <c r="BZ20" s="556"/>
      <c r="CA20" s="553"/>
      <c r="CB20" s="556"/>
      <c r="CC20" s="553"/>
      <c r="CD20" s="556"/>
      <c r="CE20" s="553"/>
      <c r="CF20" s="556"/>
      <c r="CG20" s="553"/>
      <c r="CH20" s="556"/>
      <c r="CI20" s="553"/>
      <c r="CJ20" s="556"/>
      <c r="CK20" s="553"/>
      <c r="CL20" s="556"/>
      <c r="CM20" s="553"/>
      <c r="CN20" s="556"/>
      <c r="CO20" s="553"/>
      <c r="CP20" s="556"/>
      <c r="CQ20" s="553"/>
      <c r="CR20" s="556"/>
      <c r="CS20" s="553"/>
      <c r="CT20" s="556"/>
      <c r="CU20" s="553"/>
      <c r="CV20" s="556"/>
      <c r="CW20" s="553"/>
      <c r="CX20" s="556"/>
      <c r="CY20" s="553"/>
      <c r="CZ20" s="556"/>
      <c r="DA20" s="553"/>
      <c r="DB20" s="556"/>
      <c r="DC20" s="553"/>
      <c r="DD20" s="556"/>
      <c r="DE20" s="553"/>
      <c r="DF20" s="556"/>
      <c r="DG20" s="553"/>
      <c r="DH20" s="556"/>
      <c r="DI20" s="553"/>
      <c r="DJ20" s="556"/>
      <c r="DK20" s="553"/>
      <c r="DL20" s="556"/>
      <c r="DM20" s="553"/>
      <c r="DN20" s="556"/>
      <c r="DO20" s="553"/>
      <c r="DP20" s="556"/>
      <c r="DQ20" s="553"/>
      <c r="DR20" s="556"/>
      <c r="DS20" s="553"/>
      <c r="DT20" s="556"/>
      <c r="DU20" s="526"/>
      <c r="DV20" s="53">
        <v>3</v>
      </c>
      <c r="DW20" s="54"/>
      <c r="DX20" s="55"/>
      <c r="DY20" s="55"/>
      <c r="DZ20" s="55"/>
      <c r="EA20" s="55"/>
      <c r="EB20" s="55"/>
      <c r="EC20" s="55"/>
      <c r="ED20" s="56"/>
      <c r="EE20" s="55"/>
      <c r="EF20" s="55"/>
      <c r="EG20" s="55"/>
      <c r="EH20" s="55"/>
      <c r="EI20" s="57"/>
      <c r="EJ20" s="55"/>
      <c r="EK20" s="58"/>
      <c r="EM20" s="53">
        <v>20</v>
      </c>
      <c r="EN20" s="53" t="s">
        <v>18</v>
      </c>
      <c r="ER20"/>
      <c r="ES20"/>
      <c r="ET20"/>
      <c r="EU20"/>
      <c r="EV20"/>
      <c r="EX20"/>
      <c r="EY20"/>
      <c r="EZ20"/>
      <c r="FA20"/>
      <c r="FC20"/>
      <c r="FE20"/>
    </row>
    <row r="21" spans="1:165" ht="16.95" customHeight="1" thickTop="1" thickBot="1" x14ac:dyDescent="0.4">
      <c r="A21" s="757"/>
      <c r="B21" s="362">
        <v>4</v>
      </c>
      <c r="C21" s="529" t="s">
        <v>232</v>
      </c>
      <c r="D21" s="530"/>
      <c r="E21" s="553" t="s">
        <v>232</v>
      </c>
      <c r="F21" s="556"/>
      <c r="G21" s="553" t="s">
        <v>232</v>
      </c>
      <c r="H21" s="556"/>
      <c r="I21" s="553"/>
      <c r="J21" s="556"/>
      <c r="K21" s="553" t="s">
        <v>351</v>
      </c>
      <c r="L21" s="556"/>
      <c r="M21" s="553" t="s">
        <v>351</v>
      </c>
      <c r="N21" s="556"/>
      <c r="O21" s="553" t="s">
        <v>232</v>
      </c>
      <c r="P21" s="556"/>
      <c r="Q21" s="553"/>
      <c r="R21" s="556"/>
      <c r="S21" s="553" t="s">
        <v>232</v>
      </c>
      <c r="T21" s="556"/>
      <c r="U21" s="553" t="s">
        <v>232</v>
      </c>
      <c r="V21" s="556"/>
      <c r="W21" s="553" t="s">
        <v>232</v>
      </c>
      <c r="X21" s="556"/>
      <c r="Y21" s="553" t="s">
        <v>232</v>
      </c>
      <c r="Z21" s="556"/>
      <c r="AA21" s="553"/>
      <c r="AB21" s="556"/>
      <c r="AC21" s="553" t="s">
        <v>232</v>
      </c>
      <c r="AD21" s="556"/>
      <c r="AE21" s="553" t="s">
        <v>10</v>
      </c>
      <c r="AF21" s="556"/>
      <c r="AG21" s="553" t="s">
        <v>232</v>
      </c>
      <c r="AH21" s="556"/>
      <c r="AI21" s="553" t="s">
        <v>232</v>
      </c>
      <c r="AJ21" s="556"/>
      <c r="AK21" s="553" t="s">
        <v>232</v>
      </c>
      <c r="AL21" s="556"/>
      <c r="AM21" s="553"/>
      <c r="AN21" s="556"/>
      <c r="AO21" s="553"/>
      <c r="AP21" s="556"/>
      <c r="AQ21" s="553"/>
      <c r="AR21" s="556"/>
      <c r="AS21" s="553" t="s">
        <v>1120</v>
      </c>
      <c r="AT21" s="556"/>
      <c r="AU21" s="553"/>
      <c r="AV21" s="556"/>
      <c r="AW21" s="553"/>
      <c r="AX21" s="556"/>
      <c r="AY21" s="553" t="s">
        <v>232</v>
      </c>
      <c r="AZ21" s="556"/>
      <c r="BA21" s="553"/>
      <c r="BB21" s="556"/>
      <c r="BC21" s="553"/>
      <c r="BD21" s="556"/>
      <c r="BE21" s="553" t="s">
        <v>825</v>
      </c>
      <c r="BF21" s="556"/>
      <c r="BG21" s="553" t="s">
        <v>19</v>
      </c>
      <c r="BH21" s="556"/>
      <c r="BI21" s="553" t="s">
        <v>232</v>
      </c>
      <c r="BJ21" s="556"/>
      <c r="BK21" s="553" t="s">
        <v>864</v>
      </c>
      <c r="BL21" s="556"/>
      <c r="BM21" s="553" t="s">
        <v>18</v>
      </c>
      <c r="BN21" s="556"/>
      <c r="BO21" s="553"/>
      <c r="BP21" s="556"/>
      <c r="BQ21" s="553"/>
      <c r="BR21" s="556"/>
      <c r="BS21" s="553"/>
      <c r="BT21" s="556"/>
      <c r="BU21" s="553"/>
      <c r="BV21" s="556"/>
      <c r="BW21" s="553"/>
      <c r="BX21" s="556"/>
      <c r="BY21" s="553"/>
      <c r="BZ21" s="556"/>
      <c r="CA21" s="553"/>
      <c r="CB21" s="556"/>
      <c r="CC21" s="553"/>
      <c r="CD21" s="556"/>
      <c r="CE21" s="553"/>
      <c r="CF21" s="556"/>
      <c r="CG21" s="553"/>
      <c r="CH21" s="556"/>
      <c r="CI21" s="553"/>
      <c r="CJ21" s="556"/>
      <c r="CK21" s="553"/>
      <c r="CL21" s="556"/>
      <c r="CM21" s="553"/>
      <c r="CN21" s="556"/>
      <c r="CO21" s="553"/>
      <c r="CP21" s="556"/>
      <c r="CQ21" s="553"/>
      <c r="CR21" s="556"/>
      <c r="CS21" s="553"/>
      <c r="CT21" s="556"/>
      <c r="CU21" s="553"/>
      <c r="CV21" s="556"/>
      <c r="CW21" s="553"/>
      <c r="CX21" s="556"/>
      <c r="CY21" s="553"/>
      <c r="CZ21" s="556"/>
      <c r="DA21" s="553"/>
      <c r="DB21" s="556"/>
      <c r="DC21" s="553"/>
      <c r="DD21" s="556"/>
      <c r="DE21" s="553"/>
      <c r="DF21" s="556"/>
      <c r="DG21" s="553"/>
      <c r="DH21" s="556"/>
      <c r="DI21" s="553"/>
      <c r="DJ21" s="556"/>
      <c r="DK21" s="553"/>
      <c r="DL21" s="556"/>
      <c r="DM21" s="553"/>
      <c r="DN21" s="556"/>
      <c r="DO21" s="553"/>
      <c r="DP21" s="556"/>
      <c r="DQ21" s="553"/>
      <c r="DR21" s="556"/>
      <c r="DS21" s="553"/>
      <c r="DT21" s="556"/>
      <c r="DW21" s="59"/>
      <c r="DX21" s="60"/>
      <c r="DY21" s="60"/>
      <c r="DZ21" s="60"/>
      <c r="EA21" s="60"/>
      <c r="EB21" s="60"/>
      <c r="EC21" s="60"/>
      <c r="ED21" s="43"/>
      <c r="EE21" s="60"/>
      <c r="EF21" s="60"/>
      <c r="EG21" s="60"/>
      <c r="EH21" s="60"/>
      <c r="EI21" s="60"/>
      <c r="EJ21" s="60"/>
      <c r="EK21" s="60"/>
      <c r="EM21" s="53">
        <v>21</v>
      </c>
      <c r="EN21" s="53" t="s">
        <v>857</v>
      </c>
      <c r="ER21"/>
      <c r="ES21"/>
      <c r="ET21"/>
      <c r="EU21"/>
      <c r="EV21"/>
      <c r="EX21"/>
      <c r="EY21"/>
      <c r="EZ21"/>
      <c r="FA21"/>
      <c r="FC21"/>
      <c r="FE21"/>
    </row>
    <row r="22" spans="1:165" ht="16.95" customHeight="1" thickTop="1" thickBot="1" x14ac:dyDescent="0.35">
      <c r="A22" s="757"/>
      <c r="B22" s="362">
        <v>5</v>
      </c>
      <c r="C22" s="529" t="s">
        <v>232</v>
      </c>
      <c r="D22" s="530"/>
      <c r="E22" s="553" t="s">
        <v>232</v>
      </c>
      <c r="F22" s="556"/>
      <c r="G22" s="553" t="s">
        <v>232</v>
      </c>
      <c r="H22" s="556"/>
      <c r="I22" s="553"/>
      <c r="J22" s="556"/>
      <c r="K22" s="553" t="s">
        <v>232</v>
      </c>
      <c r="L22" s="556"/>
      <c r="M22" s="553" t="s">
        <v>232</v>
      </c>
      <c r="N22" s="556"/>
      <c r="O22" s="553" t="s">
        <v>232</v>
      </c>
      <c r="P22" s="556"/>
      <c r="Q22" s="553"/>
      <c r="R22" s="556"/>
      <c r="S22" s="553" t="s">
        <v>232</v>
      </c>
      <c r="T22" s="556"/>
      <c r="U22" s="553" t="s">
        <v>232</v>
      </c>
      <c r="V22" s="556"/>
      <c r="W22" s="553" t="s">
        <v>232</v>
      </c>
      <c r="X22" s="556"/>
      <c r="Y22" s="553" t="s">
        <v>232</v>
      </c>
      <c r="Z22" s="556"/>
      <c r="AA22" s="553"/>
      <c r="AB22" s="556"/>
      <c r="AC22" s="553" t="s">
        <v>232</v>
      </c>
      <c r="AD22" s="556"/>
      <c r="AE22" s="553" t="s">
        <v>1114</v>
      </c>
      <c r="AF22" s="556"/>
      <c r="AG22" s="553" t="s">
        <v>232</v>
      </c>
      <c r="AH22" s="556"/>
      <c r="AI22" s="553" t="s">
        <v>232</v>
      </c>
      <c r="AJ22" s="556"/>
      <c r="AK22" s="553" t="s">
        <v>232</v>
      </c>
      <c r="AL22" s="556"/>
      <c r="AM22" s="553"/>
      <c r="AN22" s="556"/>
      <c r="AO22" s="553"/>
      <c r="AP22" s="556"/>
      <c r="AQ22" s="553"/>
      <c r="AR22" s="556"/>
      <c r="AS22" s="553"/>
      <c r="AT22" s="556"/>
      <c r="AU22" s="553"/>
      <c r="AV22" s="556"/>
      <c r="AW22" s="553"/>
      <c r="AX22" s="556"/>
      <c r="AY22" s="553" t="s">
        <v>232</v>
      </c>
      <c r="AZ22" s="556"/>
      <c r="BA22" s="553"/>
      <c r="BB22" s="556"/>
      <c r="BC22" s="553"/>
      <c r="BD22" s="556"/>
      <c r="BE22" s="553" t="s">
        <v>1123</v>
      </c>
      <c r="BF22" s="556"/>
      <c r="BG22" s="553" t="s">
        <v>18</v>
      </c>
      <c r="BH22" s="556"/>
      <c r="BI22" s="553" t="s">
        <v>232</v>
      </c>
      <c r="BJ22" s="556"/>
      <c r="BK22" s="553"/>
      <c r="BL22" s="556"/>
      <c r="BM22" s="553" t="s">
        <v>1124</v>
      </c>
      <c r="BN22" s="556"/>
      <c r="BO22" s="553"/>
      <c r="BP22" s="556"/>
      <c r="BQ22" s="553"/>
      <c r="BR22" s="556"/>
      <c r="BS22" s="553"/>
      <c r="BT22" s="556"/>
      <c r="BU22" s="553"/>
      <c r="BV22" s="556"/>
      <c r="BW22" s="553"/>
      <c r="BX22" s="556"/>
      <c r="BY22" s="553"/>
      <c r="BZ22" s="556"/>
      <c r="CA22" s="553"/>
      <c r="CB22" s="556"/>
      <c r="CC22" s="553"/>
      <c r="CD22" s="556"/>
      <c r="CE22" s="553"/>
      <c r="CF22" s="556"/>
      <c r="CG22" s="553"/>
      <c r="CH22" s="556"/>
      <c r="CI22" s="553"/>
      <c r="CJ22" s="556"/>
      <c r="CK22" s="553"/>
      <c r="CL22" s="556"/>
      <c r="CM22" s="553"/>
      <c r="CN22" s="556"/>
      <c r="CO22" s="553"/>
      <c r="CP22" s="556"/>
      <c r="CQ22" s="553"/>
      <c r="CR22" s="556"/>
      <c r="CS22" s="553"/>
      <c r="CT22" s="556"/>
      <c r="CU22" s="553"/>
      <c r="CV22" s="556"/>
      <c r="CW22" s="553"/>
      <c r="CX22" s="556"/>
      <c r="CY22" s="553"/>
      <c r="CZ22" s="556"/>
      <c r="DA22" s="553"/>
      <c r="DB22" s="556"/>
      <c r="DC22" s="553"/>
      <c r="DD22" s="556"/>
      <c r="DE22" s="553"/>
      <c r="DF22" s="556"/>
      <c r="DG22" s="553"/>
      <c r="DH22" s="556"/>
      <c r="DI22" s="553"/>
      <c r="DJ22" s="556"/>
      <c r="DK22" s="553"/>
      <c r="DL22" s="556"/>
      <c r="DM22" s="553"/>
      <c r="DN22" s="556"/>
      <c r="DO22" s="553"/>
      <c r="DP22" s="556"/>
      <c r="DQ22" s="553"/>
      <c r="DR22" s="556"/>
      <c r="DS22" s="553"/>
      <c r="DT22" s="556"/>
      <c r="DW22" s="925" t="s">
        <v>9</v>
      </c>
      <c r="DX22" s="60"/>
      <c r="DY22" s="53" t="s">
        <v>1065</v>
      </c>
      <c r="DZ22" s="60"/>
      <c r="EA22" s="53"/>
      <c r="EC22" s="53"/>
      <c r="ED22" s="43"/>
      <c r="EE22" s="53"/>
      <c r="EF22" s="60"/>
      <c r="EG22" s="53"/>
      <c r="EH22" s="63"/>
      <c r="EI22" s="53"/>
      <c r="EJ22" s="63"/>
      <c r="EK22" s="53"/>
      <c r="EM22" s="53">
        <v>22</v>
      </c>
      <c r="EN22" s="53" t="s">
        <v>19</v>
      </c>
      <c r="ER22"/>
      <c r="ES22"/>
      <c r="ET22"/>
      <c r="EU22"/>
      <c r="EV22"/>
      <c r="EX22"/>
      <c r="EY22"/>
      <c r="EZ22"/>
      <c r="FA22"/>
      <c r="FC22"/>
      <c r="FE22"/>
    </row>
    <row r="23" spans="1:165" ht="16.95" customHeight="1" thickTop="1" thickBot="1" x14ac:dyDescent="0.35">
      <c r="A23" s="757"/>
      <c r="B23" s="362">
        <v>6</v>
      </c>
      <c r="C23" s="529" t="s">
        <v>232</v>
      </c>
      <c r="D23" s="530"/>
      <c r="E23" s="553" t="s">
        <v>232</v>
      </c>
      <c r="F23" s="556"/>
      <c r="G23" s="553" t="s">
        <v>232</v>
      </c>
      <c r="H23" s="556"/>
      <c r="I23" s="553"/>
      <c r="J23" s="556"/>
      <c r="K23" s="553" t="s">
        <v>232</v>
      </c>
      <c r="L23" s="556"/>
      <c r="M23" s="553" t="s">
        <v>232</v>
      </c>
      <c r="N23" s="556"/>
      <c r="O23" s="553" t="s">
        <v>232</v>
      </c>
      <c r="P23" s="556"/>
      <c r="Q23" s="553"/>
      <c r="R23" s="556"/>
      <c r="S23" s="553" t="s">
        <v>1125</v>
      </c>
      <c r="T23" s="556"/>
      <c r="U23" s="553" t="s">
        <v>232</v>
      </c>
      <c r="V23" s="556"/>
      <c r="W23" s="553" t="s">
        <v>232</v>
      </c>
      <c r="X23" s="556"/>
      <c r="Y23" s="553" t="s">
        <v>232</v>
      </c>
      <c r="Z23" s="556"/>
      <c r="AA23" s="553"/>
      <c r="AB23" s="556"/>
      <c r="AC23" s="553" t="s">
        <v>232</v>
      </c>
      <c r="AD23" s="556"/>
      <c r="AE23" s="553" t="s">
        <v>1122</v>
      </c>
      <c r="AF23" s="556"/>
      <c r="AG23" s="553" t="s">
        <v>232</v>
      </c>
      <c r="AH23" s="556"/>
      <c r="AI23" s="553" t="s">
        <v>232</v>
      </c>
      <c r="AJ23" s="556"/>
      <c r="AK23" s="553" t="s">
        <v>232</v>
      </c>
      <c r="AL23" s="556"/>
      <c r="AM23" s="553"/>
      <c r="AN23" s="556"/>
      <c r="AO23" s="553"/>
      <c r="AP23" s="556"/>
      <c r="AQ23" s="553"/>
      <c r="AR23" s="556"/>
      <c r="AS23" s="553"/>
      <c r="AT23" s="556"/>
      <c r="AU23" s="553"/>
      <c r="AV23" s="556"/>
      <c r="AW23" s="553"/>
      <c r="AX23" s="556"/>
      <c r="AY23" s="553" t="s">
        <v>232</v>
      </c>
      <c r="AZ23" s="556"/>
      <c r="BA23" s="553"/>
      <c r="BB23" s="556"/>
      <c r="BC23" s="553"/>
      <c r="BD23" s="556"/>
      <c r="BE23" s="553" t="s">
        <v>232</v>
      </c>
      <c r="BF23" s="556"/>
      <c r="BG23" s="553" t="s">
        <v>232</v>
      </c>
      <c r="BH23" s="556"/>
      <c r="BI23" s="553" t="s">
        <v>232</v>
      </c>
      <c r="BJ23" s="556"/>
      <c r="BK23" s="553"/>
      <c r="BL23" s="556"/>
      <c r="BM23" s="553" t="s">
        <v>858</v>
      </c>
      <c r="BN23" s="556"/>
      <c r="BO23" s="553"/>
      <c r="BP23" s="556"/>
      <c r="BQ23" s="553"/>
      <c r="BR23" s="556"/>
      <c r="BS23" s="553"/>
      <c r="BT23" s="556"/>
      <c r="BU23" s="553"/>
      <c r="BV23" s="556"/>
      <c r="BW23" s="553"/>
      <c r="BX23" s="556"/>
      <c r="BY23" s="553"/>
      <c r="BZ23" s="556"/>
      <c r="CA23" s="553"/>
      <c r="CB23" s="556"/>
      <c r="CC23" s="553"/>
      <c r="CD23" s="556"/>
      <c r="CE23" s="553"/>
      <c r="CF23" s="556"/>
      <c r="CG23" s="553"/>
      <c r="CH23" s="556"/>
      <c r="CI23" s="553"/>
      <c r="CJ23" s="556"/>
      <c r="CK23" s="553"/>
      <c r="CL23" s="556"/>
      <c r="CM23" s="553"/>
      <c r="CN23" s="556"/>
      <c r="CO23" s="553"/>
      <c r="CP23" s="556"/>
      <c r="CQ23" s="553"/>
      <c r="CR23" s="556"/>
      <c r="CS23" s="553"/>
      <c r="CT23" s="556"/>
      <c r="CU23" s="553"/>
      <c r="CV23" s="556"/>
      <c r="CW23" s="553"/>
      <c r="CX23" s="556"/>
      <c r="CY23" s="553"/>
      <c r="CZ23" s="556"/>
      <c r="DA23" s="553"/>
      <c r="DB23" s="556"/>
      <c r="DC23" s="553"/>
      <c r="DD23" s="556"/>
      <c r="DE23" s="553"/>
      <c r="DF23" s="556"/>
      <c r="DG23" s="553"/>
      <c r="DH23" s="556"/>
      <c r="DI23" s="553"/>
      <c r="DJ23" s="556"/>
      <c r="DK23" s="553"/>
      <c r="DL23" s="556"/>
      <c r="DM23" s="553"/>
      <c r="DN23" s="556"/>
      <c r="DO23" s="553"/>
      <c r="DP23" s="556"/>
      <c r="DQ23" s="553"/>
      <c r="DR23" s="556"/>
      <c r="DS23" s="553"/>
      <c r="DT23" s="556"/>
      <c r="DW23" s="926"/>
      <c r="DX23" s="60"/>
      <c r="DY23" s="60"/>
      <c r="DZ23" s="60"/>
      <c r="EA23" s="60"/>
      <c r="EC23" s="60"/>
      <c r="ED23" s="43"/>
      <c r="EE23" s="60"/>
      <c r="EF23" s="60"/>
      <c r="EG23" s="60"/>
      <c r="EH23" s="63"/>
      <c r="EI23" s="60"/>
      <c r="EJ23" s="63"/>
      <c r="EK23" s="60"/>
      <c r="EM23" s="53">
        <v>23</v>
      </c>
      <c r="EN23" s="53" t="s">
        <v>858</v>
      </c>
      <c r="ER23"/>
      <c r="ES23"/>
      <c r="ET23"/>
      <c r="EU23"/>
      <c r="EV23"/>
      <c r="EX23"/>
      <c r="EY23"/>
      <c r="EZ23"/>
      <c r="FA23"/>
      <c r="FC23"/>
      <c r="FE23"/>
    </row>
    <row r="24" spans="1:165" ht="16.95" customHeight="1" thickTop="1" thickBot="1" x14ac:dyDescent="0.35">
      <c r="A24" s="757"/>
      <c r="B24" s="362">
        <v>7</v>
      </c>
      <c r="C24" s="529" t="s">
        <v>232</v>
      </c>
      <c r="D24" s="530"/>
      <c r="E24" s="553" t="s">
        <v>232</v>
      </c>
      <c r="F24" s="556"/>
      <c r="G24" s="553" t="s">
        <v>232</v>
      </c>
      <c r="H24" s="556"/>
      <c r="I24" s="553"/>
      <c r="J24" s="556"/>
      <c r="K24" s="553" t="s">
        <v>232</v>
      </c>
      <c r="L24" s="556"/>
      <c r="M24" s="553" t="s">
        <v>232</v>
      </c>
      <c r="N24" s="556"/>
      <c r="O24" s="553" t="s">
        <v>232</v>
      </c>
      <c r="P24" s="556"/>
      <c r="Q24" s="553"/>
      <c r="R24" s="556"/>
      <c r="S24" s="553"/>
      <c r="T24" s="556"/>
      <c r="U24" s="553" t="s">
        <v>232</v>
      </c>
      <c r="V24" s="556"/>
      <c r="W24" s="553" t="s">
        <v>232</v>
      </c>
      <c r="X24" s="556"/>
      <c r="Y24" s="553" t="s">
        <v>232</v>
      </c>
      <c r="Z24" s="556"/>
      <c r="AA24" s="553"/>
      <c r="AB24" s="556"/>
      <c r="AC24" s="553" t="s">
        <v>232</v>
      </c>
      <c r="AD24" s="556"/>
      <c r="AE24" s="553" t="s">
        <v>863</v>
      </c>
      <c r="AF24" s="556"/>
      <c r="AG24" s="553" t="s">
        <v>232</v>
      </c>
      <c r="AH24" s="556"/>
      <c r="AI24" s="553" t="s">
        <v>232</v>
      </c>
      <c r="AJ24" s="556"/>
      <c r="AK24" s="553" t="s">
        <v>232</v>
      </c>
      <c r="AL24" s="556"/>
      <c r="AM24" s="553"/>
      <c r="AN24" s="556"/>
      <c r="AO24" s="553"/>
      <c r="AP24" s="556"/>
      <c r="AQ24" s="553"/>
      <c r="AR24" s="556"/>
      <c r="AS24" s="553"/>
      <c r="AT24" s="556"/>
      <c r="AU24" s="553"/>
      <c r="AV24" s="556"/>
      <c r="AW24" s="553"/>
      <c r="AX24" s="556"/>
      <c r="AY24" s="553" t="s">
        <v>232</v>
      </c>
      <c r="AZ24" s="556"/>
      <c r="BA24" s="553"/>
      <c r="BB24" s="556"/>
      <c r="BC24" s="553"/>
      <c r="BD24" s="556"/>
      <c r="BE24" s="553" t="s">
        <v>232</v>
      </c>
      <c r="BF24" s="556"/>
      <c r="BG24" s="553" t="s">
        <v>232</v>
      </c>
      <c r="BH24" s="556"/>
      <c r="BI24" s="553" t="s">
        <v>232</v>
      </c>
      <c r="BJ24" s="556"/>
      <c r="BK24" s="553"/>
      <c r="BL24" s="556"/>
      <c r="BM24" s="553" t="s">
        <v>1122</v>
      </c>
      <c r="BN24" s="556"/>
      <c r="BO24" s="553"/>
      <c r="BP24" s="556"/>
      <c r="BQ24" s="553"/>
      <c r="BR24" s="556"/>
      <c r="BS24" s="553"/>
      <c r="BT24" s="556"/>
      <c r="BU24" s="553"/>
      <c r="BV24" s="556"/>
      <c r="BW24" s="553"/>
      <c r="BX24" s="556"/>
      <c r="BY24" s="553"/>
      <c r="BZ24" s="556"/>
      <c r="CA24" s="553"/>
      <c r="CB24" s="556"/>
      <c r="CC24" s="553"/>
      <c r="CD24" s="556"/>
      <c r="CE24" s="553"/>
      <c r="CF24" s="556"/>
      <c r="CG24" s="553"/>
      <c r="CH24" s="556"/>
      <c r="CI24" s="553"/>
      <c r="CJ24" s="556"/>
      <c r="CK24" s="553"/>
      <c r="CL24" s="556"/>
      <c r="CM24" s="553"/>
      <c r="CN24" s="556"/>
      <c r="CO24" s="553"/>
      <c r="CP24" s="556"/>
      <c r="CQ24" s="553"/>
      <c r="CR24" s="556"/>
      <c r="CS24" s="553"/>
      <c r="CT24" s="556"/>
      <c r="CU24" s="553"/>
      <c r="CV24" s="556"/>
      <c r="CW24" s="553"/>
      <c r="CX24" s="556"/>
      <c r="CY24" s="553"/>
      <c r="CZ24" s="556"/>
      <c r="DA24" s="553"/>
      <c r="DB24" s="556"/>
      <c r="DC24" s="553"/>
      <c r="DD24" s="556"/>
      <c r="DE24" s="553"/>
      <c r="DF24" s="556"/>
      <c r="DG24" s="553"/>
      <c r="DH24" s="556"/>
      <c r="DI24" s="553"/>
      <c r="DJ24" s="556"/>
      <c r="DK24" s="553"/>
      <c r="DL24" s="556"/>
      <c r="DM24" s="553"/>
      <c r="DN24" s="556"/>
      <c r="DO24" s="553"/>
      <c r="DP24" s="556"/>
      <c r="DQ24" s="553"/>
      <c r="DR24" s="556"/>
      <c r="DS24" s="553"/>
      <c r="DT24" s="556"/>
      <c r="DW24" s="926"/>
      <c r="DX24" s="60"/>
      <c r="DY24" s="53" t="s">
        <v>1068</v>
      </c>
      <c r="DZ24" s="60"/>
      <c r="EA24" s="53"/>
      <c r="EC24" s="53"/>
      <c r="ED24" s="43"/>
      <c r="EE24" s="53"/>
      <c r="EF24" s="60"/>
      <c r="EG24" s="53"/>
      <c r="EH24" s="63"/>
      <c r="EI24" s="53"/>
      <c r="EJ24" s="63"/>
      <c r="EK24" s="53"/>
      <c r="EM24" s="53">
        <v>24</v>
      </c>
      <c r="EN24" s="53" t="s">
        <v>13</v>
      </c>
      <c r="ER24"/>
      <c r="ES24"/>
      <c r="ET24"/>
      <c r="EU24"/>
      <c r="EV24"/>
      <c r="EX24"/>
      <c r="EY24"/>
      <c r="EZ24"/>
      <c r="FA24"/>
      <c r="FC24"/>
      <c r="FE24"/>
    </row>
    <row r="25" spans="1:165" ht="16.95" customHeight="1" thickTop="1" thickBot="1" x14ac:dyDescent="0.35">
      <c r="A25" s="757"/>
      <c r="B25" s="362">
        <v>8</v>
      </c>
      <c r="C25" s="529" t="s">
        <v>232</v>
      </c>
      <c r="D25" s="530"/>
      <c r="E25" s="553" t="s">
        <v>232</v>
      </c>
      <c r="F25" s="556"/>
      <c r="G25" s="553" t="s">
        <v>232</v>
      </c>
      <c r="H25" s="556"/>
      <c r="I25" s="553"/>
      <c r="J25" s="556"/>
      <c r="K25" s="553" t="s">
        <v>232</v>
      </c>
      <c r="L25" s="556"/>
      <c r="M25" s="553" t="s">
        <v>232</v>
      </c>
      <c r="N25" s="556"/>
      <c r="O25" s="553" t="s">
        <v>232</v>
      </c>
      <c r="P25" s="556"/>
      <c r="Q25" s="553"/>
      <c r="R25" s="556"/>
      <c r="S25" s="553"/>
      <c r="T25" s="556"/>
      <c r="U25" s="553" t="s">
        <v>232</v>
      </c>
      <c r="V25" s="556"/>
      <c r="W25" s="553" t="s">
        <v>232</v>
      </c>
      <c r="X25" s="556"/>
      <c r="Y25" s="553" t="s">
        <v>232</v>
      </c>
      <c r="Z25" s="556"/>
      <c r="AA25" s="553"/>
      <c r="AB25" s="556"/>
      <c r="AC25" s="553" t="s">
        <v>232</v>
      </c>
      <c r="AD25" s="556"/>
      <c r="AE25" s="553" t="s">
        <v>232</v>
      </c>
      <c r="AF25" s="556"/>
      <c r="AG25" s="553" t="s">
        <v>232</v>
      </c>
      <c r="AH25" s="556"/>
      <c r="AI25" s="553" t="s">
        <v>232</v>
      </c>
      <c r="AJ25" s="556"/>
      <c r="AK25" s="553" t="s">
        <v>232</v>
      </c>
      <c r="AL25" s="556"/>
      <c r="AM25" s="553"/>
      <c r="AN25" s="556"/>
      <c r="AO25" s="553"/>
      <c r="AP25" s="556"/>
      <c r="AQ25" s="553"/>
      <c r="AR25" s="556"/>
      <c r="AS25" s="553"/>
      <c r="AT25" s="556"/>
      <c r="AU25" s="553"/>
      <c r="AV25" s="556"/>
      <c r="AW25" s="553"/>
      <c r="AX25" s="556"/>
      <c r="AY25" s="553" t="s">
        <v>232</v>
      </c>
      <c r="AZ25" s="556"/>
      <c r="BA25" s="553"/>
      <c r="BB25" s="556"/>
      <c r="BC25" s="553"/>
      <c r="BD25" s="556"/>
      <c r="BE25" s="553" t="s">
        <v>232</v>
      </c>
      <c r="BF25" s="556"/>
      <c r="BG25" s="553" t="s">
        <v>232</v>
      </c>
      <c r="BH25" s="556"/>
      <c r="BI25" s="553" t="s">
        <v>232</v>
      </c>
      <c r="BJ25" s="556"/>
      <c r="BK25" s="553"/>
      <c r="BL25" s="556"/>
      <c r="BM25" s="553" t="s">
        <v>1126</v>
      </c>
      <c r="BN25" s="556"/>
      <c r="BO25" s="553"/>
      <c r="BP25" s="556"/>
      <c r="BQ25" s="553"/>
      <c r="BR25" s="556"/>
      <c r="BS25" s="553"/>
      <c r="BT25" s="556"/>
      <c r="BU25" s="553"/>
      <c r="BV25" s="556"/>
      <c r="BW25" s="553"/>
      <c r="BX25" s="556"/>
      <c r="BY25" s="553"/>
      <c r="BZ25" s="556"/>
      <c r="CA25" s="553"/>
      <c r="CB25" s="556"/>
      <c r="CC25" s="553"/>
      <c r="CD25" s="556"/>
      <c r="CE25" s="553"/>
      <c r="CF25" s="556"/>
      <c r="CG25" s="553"/>
      <c r="CH25" s="556"/>
      <c r="CI25" s="553"/>
      <c r="CJ25" s="556"/>
      <c r="CK25" s="553"/>
      <c r="CL25" s="556"/>
      <c r="CM25" s="553"/>
      <c r="CN25" s="556"/>
      <c r="CO25" s="553"/>
      <c r="CP25" s="556"/>
      <c r="CQ25" s="553"/>
      <c r="CR25" s="556"/>
      <c r="CS25" s="553"/>
      <c r="CT25" s="556"/>
      <c r="CU25" s="553"/>
      <c r="CV25" s="556"/>
      <c r="CW25" s="553"/>
      <c r="CX25" s="556"/>
      <c r="CY25" s="553"/>
      <c r="CZ25" s="556"/>
      <c r="DA25" s="553"/>
      <c r="DB25" s="556"/>
      <c r="DC25" s="553"/>
      <c r="DD25" s="556"/>
      <c r="DE25" s="553"/>
      <c r="DF25" s="556"/>
      <c r="DG25" s="553"/>
      <c r="DH25" s="556"/>
      <c r="DI25" s="553"/>
      <c r="DJ25" s="556"/>
      <c r="DK25" s="553"/>
      <c r="DL25" s="556"/>
      <c r="DM25" s="553"/>
      <c r="DN25" s="556"/>
      <c r="DO25" s="553"/>
      <c r="DP25" s="556"/>
      <c r="DQ25" s="553"/>
      <c r="DR25" s="556"/>
      <c r="DS25" s="553"/>
      <c r="DT25" s="556"/>
      <c r="DW25" s="926"/>
      <c r="DX25" s="60"/>
      <c r="DY25" s="53" t="s">
        <v>1075</v>
      </c>
      <c r="DZ25" s="60"/>
      <c r="EA25" s="53"/>
      <c r="EC25" s="53"/>
      <c r="ED25" s="43"/>
      <c r="EE25" s="53"/>
      <c r="EF25" s="60"/>
      <c r="EG25" s="53"/>
      <c r="EH25" s="63"/>
      <c r="EI25" s="53"/>
      <c r="EJ25" s="63"/>
      <c r="EK25" s="53"/>
      <c r="EM25" s="53">
        <v>25</v>
      </c>
      <c r="EN25" s="53">
        <v>25</v>
      </c>
      <c r="ER25"/>
      <c r="ES25"/>
      <c r="ET25"/>
      <c r="EU25"/>
      <c r="EV25"/>
      <c r="EX25"/>
      <c r="EY25"/>
      <c r="EZ25"/>
      <c r="FA25"/>
      <c r="FC25"/>
      <c r="FE25"/>
    </row>
    <row r="26" spans="1:165" ht="16.95" customHeight="1" thickTop="1" thickBot="1" x14ac:dyDescent="0.35">
      <c r="A26" s="757"/>
      <c r="B26" s="362">
        <v>9</v>
      </c>
      <c r="C26" s="529" t="s">
        <v>232</v>
      </c>
      <c r="D26" s="530"/>
      <c r="E26" s="553" t="s">
        <v>232</v>
      </c>
      <c r="F26" s="556"/>
      <c r="G26" s="553" t="s">
        <v>232</v>
      </c>
      <c r="H26" s="556"/>
      <c r="I26" s="553"/>
      <c r="J26" s="556"/>
      <c r="K26" s="553" t="s">
        <v>232</v>
      </c>
      <c r="L26" s="556"/>
      <c r="M26" s="553" t="s">
        <v>232</v>
      </c>
      <c r="N26" s="556"/>
      <c r="O26" s="553" t="s">
        <v>232</v>
      </c>
      <c r="P26" s="556"/>
      <c r="Q26" s="553"/>
      <c r="R26" s="556"/>
      <c r="S26" s="553"/>
      <c r="T26" s="556"/>
      <c r="U26" s="553" t="s">
        <v>232</v>
      </c>
      <c r="V26" s="556"/>
      <c r="W26" s="553" t="s">
        <v>232</v>
      </c>
      <c r="X26" s="556"/>
      <c r="Y26" s="553" t="s">
        <v>232</v>
      </c>
      <c r="Z26" s="556"/>
      <c r="AA26" s="553"/>
      <c r="AB26" s="556"/>
      <c r="AC26" s="553" t="s">
        <v>232</v>
      </c>
      <c r="AD26" s="556"/>
      <c r="AE26" s="553" t="s">
        <v>232</v>
      </c>
      <c r="AF26" s="556"/>
      <c r="AG26" s="553" t="s">
        <v>232</v>
      </c>
      <c r="AH26" s="556"/>
      <c r="AI26" s="553" t="s">
        <v>232</v>
      </c>
      <c r="AJ26" s="556"/>
      <c r="AK26" s="553" t="s">
        <v>232</v>
      </c>
      <c r="AL26" s="556"/>
      <c r="AM26" s="553"/>
      <c r="AN26" s="556"/>
      <c r="AO26" s="553"/>
      <c r="AP26" s="556"/>
      <c r="AQ26" s="553"/>
      <c r="AR26" s="556"/>
      <c r="AS26" s="553"/>
      <c r="AT26" s="556"/>
      <c r="AU26" s="553"/>
      <c r="AV26" s="556"/>
      <c r="AW26" s="553"/>
      <c r="AX26" s="556"/>
      <c r="AY26" s="553" t="s">
        <v>232</v>
      </c>
      <c r="AZ26" s="556"/>
      <c r="BA26" s="553"/>
      <c r="BB26" s="556"/>
      <c r="BC26" s="553"/>
      <c r="BD26" s="556"/>
      <c r="BE26" s="553" t="s">
        <v>232</v>
      </c>
      <c r="BF26" s="556"/>
      <c r="BG26" s="553" t="s">
        <v>232</v>
      </c>
      <c r="BH26" s="556"/>
      <c r="BI26" s="553" t="s">
        <v>232</v>
      </c>
      <c r="BJ26" s="556"/>
      <c r="BK26" s="553"/>
      <c r="BL26" s="556"/>
      <c r="BM26" s="553" t="s">
        <v>1127</v>
      </c>
      <c r="BN26" s="556"/>
      <c r="BO26" s="553"/>
      <c r="BP26" s="556"/>
      <c r="BQ26" s="553"/>
      <c r="BR26" s="556"/>
      <c r="BS26" s="553"/>
      <c r="BT26" s="556"/>
      <c r="BU26" s="553"/>
      <c r="BV26" s="556"/>
      <c r="BW26" s="553"/>
      <c r="BX26" s="556"/>
      <c r="BY26" s="553"/>
      <c r="BZ26" s="556"/>
      <c r="CA26" s="553"/>
      <c r="CB26" s="556"/>
      <c r="CC26" s="553"/>
      <c r="CD26" s="556"/>
      <c r="CE26" s="553"/>
      <c r="CF26" s="556"/>
      <c r="CG26" s="553"/>
      <c r="CH26" s="556"/>
      <c r="CI26" s="553"/>
      <c r="CJ26" s="556"/>
      <c r="CK26" s="553"/>
      <c r="CL26" s="556"/>
      <c r="CM26" s="553"/>
      <c r="CN26" s="556"/>
      <c r="CO26" s="553"/>
      <c r="CP26" s="556"/>
      <c r="CQ26" s="553"/>
      <c r="CR26" s="556"/>
      <c r="CS26" s="553"/>
      <c r="CT26" s="556"/>
      <c r="CU26" s="553"/>
      <c r="CV26" s="556"/>
      <c r="CW26" s="553"/>
      <c r="CX26" s="556"/>
      <c r="CY26" s="553"/>
      <c r="CZ26" s="556"/>
      <c r="DA26" s="553"/>
      <c r="DB26" s="556"/>
      <c r="DC26" s="553"/>
      <c r="DD26" s="556"/>
      <c r="DE26" s="553"/>
      <c r="DF26" s="556"/>
      <c r="DG26" s="553"/>
      <c r="DH26" s="556"/>
      <c r="DI26" s="553"/>
      <c r="DJ26" s="556"/>
      <c r="DK26" s="553"/>
      <c r="DL26" s="556"/>
      <c r="DM26" s="553"/>
      <c r="DN26" s="556"/>
      <c r="DO26" s="553"/>
      <c r="DP26" s="556"/>
      <c r="DQ26" s="553"/>
      <c r="DR26" s="556"/>
      <c r="DS26" s="553"/>
      <c r="DT26" s="556"/>
      <c r="DW26" s="926"/>
      <c r="DX26" s="60"/>
      <c r="DY26" s="60"/>
      <c r="DZ26" s="60"/>
      <c r="EA26" s="60"/>
      <c r="EC26" s="60"/>
      <c r="ED26" s="43"/>
      <c r="EE26" s="60"/>
      <c r="EF26" s="60"/>
      <c r="EG26" s="60"/>
      <c r="EH26" s="63"/>
      <c r="EI26" s="60"/>
      <c r="EJ26" s="63"/>
      <c r="EK26" s="60"/>
      <c r="EM26" s="53">
        <v>26</v>
      </c>
      <c r="EN26" s="53" t="s">
        <v>859</v>
      </c>
      <c r="ER26"/>
      <c r="ES26"/>
      <c r="ET26"/>
      <c r="EU26"/>
      <c r="EV26"/>
      <c r="EX26"/>
      <c r="EY26"/>
      <c r="EZ26"/>
      <c r="FA26"/>
      <c r="FC26"/>
      <c r="FE26"/>
    </row>
    <row r="27" spans="1:165" ht="16.95" customHeight="1" thickTop="1" thickBot="1" x14ac:dyDescent="0.35">
      <c r="A27" s="757"/>
      <c r="B27" s="363">
        <v>10</v>
      </c>
      <c r="C27" s="531" t="s">
        <v>232</v>
      </c>
      <c r="D27" s="532"/>
      <c r="E27" s="557" t="s">
        <v>232</v>
      </c>
      <c r="F27" s="558"/>
      <c r="G27" s="557" t="s">
        <v>232</v>
      </c>
      <c r="H27" s="558"/>
      <c r="I27" s="557"/>
      <c r="J27" s="558"/>
      <c r="K27" s="557" t="s">
        <v>232</v>
      </c>
      <c r="L27" s="558"/>
      <c r="M27" s="557" t="s">
        <v>232</v>
      </c>
      <c r="N27" s="558"/>
      <c r="O27" s="553" t="s">
        <v>232</v>
      </c>
      <c r="P27" s="558"/>
      <c r="Q27" s="557"/>
      <c r="R27" s="558"/>
      <c r="S27" s="557"/>
      <c r="T27" s="558"/>
      <c r="U27" s="557" t="s">
        <v>232</v>
      </c>
      <c r="V27" s="558"/>
      <c r="W27" s="557" t="s">
        <v>232</v>
      </c>
      <c r="X27" s="558"/>
      <c r="Y27" s="557" t="s">
        <v>232</v>
      </c>
      <c r="Z27" s="558"/>
      <c r="AA27" s="557"/>
      <c r="AB27" s="558"/>
      <c r="AC27" s="557" t="s">
        <v>232</v>
      </c>
      <c r="AD27" s="558"/>
      <c r="AE27" s="557" t="s">
        <v>232</v>
      </c>
      <c r="AF27" s="558"/>
      <c r="AG27" s="557" t="s">
        <v>232</v>
      </c>
      <c r="AH27" s="558"/>
      <c r="AI27" s="557" t="s">
        <v>232</v>
      </c>
      <c r="AJ27" s="558"/>
      <c r="AK27" s="557" t="s">
        <v>232</v>
      </c>
      <c r="AL27" s="558"/>
      <c r="AM27" s="557"/>
      <c r="AN27" s="558"/>
      <c r="AO27" s="557"/>
      <c r="AP27" s="558"/>
      <c r="AQ27" s="557"/>
      <c r="AR27" s="558"/>
      <c r="AS27" s="557"/>
      <c r="AT27" s="558"/>
      <c r="AU27" s="557"/>
      <c r="AV27" s="558"/>
      <c r="AW27" s="557"/>
      <c r="AX27" s="558"/>
      <c r="AY27" s="557" t="s">
        <v>232</v>
      </c>
      <c r="AZ27" s="558"/>
      <c r="BA27" s="557"/>
      <c r="BB27" s="558"/>
      <c r="BC27" s="557"/>
      <c r="BD27" s="558"/>
      <c r="BE27" s="557" t="s">
        <v>232</v>
      </c>
      <c r="BF27" s="558"/>
      <c r="BG27" s="557" t="s">
        <v>232</v>
      </c>
      <c r="BH27" s="558"/>
      <c r="BI27" s="557" t="s">
        <v>232</v>
      </c>
      <c r="BJ27" s="558"/>
      <c r="BK27" s="557"/>
      <c r="BL27" s="558"/>
      <c r="BM27" s="557"/>
      <c r="BN27" s="558"/>
      <c r="BO27" s="557"/>
      <c r="BP27" s="558"/>
      <c r="BQ27" s="557"/>
      <c r="BR27" s="558"/>
      <c r="BS27" s="557"/>
      <c r="BT27" s="558"/>
      <c r="BU27" s="557"/>
      <c r="BV27" s="558"/>
      <c r="BW27" s="557"/>
      <c r="BX27" s="558"/>
      <c r="BY27" s="557"/>
      <c r="BZ27" s="558"/>
      <c r="CA27" s="557"/>
      <c r="CB27" s="558"/>
      <c r="CC27" s="557"/>
      <c r="CD27" s="558"/>
      <c r="CE27" s="557"/>
      <c r="CF27" s="558"/>
      <c r="CG27" s="557"/>
      <c r="CH27" s="558"/>
      <c r="CI27" s="557"/>
      <c r="CJ27" s="558"/>
      <c r="CK27" s="557"/>
      <c r="CL27" s="558"/>
      <c r="CM27" s="557"/>
      <c r="CN27" s="558"/>
      <c r="CO27" s="557"/>
      <c r="CP27" s="558"/>
      <c r="CQ27" s="557"/>
      <c r="CR27" s="558"/>
      <c r="CS27" s="557"/>
      <c r="CT27" s="558"/>
      <c r="CU27" s="557"/>
      <c r="CV27" s="558"/>
      <c r="CW27" s="557"/>
      <c r="CX27" s="558"/>
      <c r="CY27" s="557"/>
      <c r="CZ27" s="558"/>
      <c r="DA27" s="557"/>
      <c r="DB27" s="558"/>
      <c r="DC27" s="557"/>
      <c r="DD27" s="558"/>
      <c r="DE27" s="557"/>
      <c r="DF27" s="558"/>
      <c r="DG27" s="557"/>
      <c r="DH27" s="558"/>
      <c r="DI27" s="557"/>
      <c r="DJ27" s="558"/>
      <c r="DK27" s="557"/>
      <c r="DL27" s="558"/>
      <c r="DM27" s="557"/>
      <c r="DN27" s="558"/>
      <c r="DO27" s="557"/>
      <c r="DP27" s="558"/>
      <c r="DQ27" s="557"/>
      <c r="DR27" s="558"/>
      <c r="DS27" s="557"/>
      <c r="DT27" s="558"/>
      <c r="DW27" s="927"/>
      <c r="DX27" s="60"/>
      <c r="DY27" s="53" t="s">
        <v>1094</v>
      </c>
      <c r="DZ27" s="60"/>
      <c r="EA27" s="53"/>
      <c r="EC27" s="53"/>
      <c r="ED27" s="43"/>
      <c r="EE27" s="53"/>
      <c r="EF27" s="60"/>
      <c r="EG27" s="53"/>
      <c r="EH27" s="63"/>
      <c r="EI27" s="53"/>
      <c r="EJ27" s="63"/>
      <c r="EK27" s="53"/>
      <c r="EM27" s="53">
        <v>27</v>
      </c>
      <c r="EN27" s="53" t="s">
        <v>860</v>
      </c>
      <c r="ER27"/>
      <c r="ES27"/>
      <c r="ET27"/>
      <c r="EU27"/>
      <c r="EV27"/>
      <c r="EX27"/>
      <c r="EY27"/>
      <c r="EZ27"/>
      <c r="FA27"/>
      <c r="FC27"/>
      <c r="FE27"/>
    </row>
    <row r="28" spans="1:165" ht="19.2" hidden="1" thickTop="1" thickBot="1" x14ac:dyDescent="0.4">
      <c r="EQ28" s="53">
        <v>4</v>
      </c>
      <c r="ER28" s="54"/>
      <c r="ES28" s="55"/>
      <c r="ET28" s="55"/>
      <c r="EU28" s="55"/>
      <c r="EV28" s="55"/>
      <c r="EW28" s="55"/>
      <c r="EX28" s="55"/>
      <c r="EY28" s="56"/>
      <c r="EZ28" s="55"/>
      <c r="FA28" s="55"/>
      <c r="FB28" s="55"/>
      <c r="FC28" s="55"/>
      <c r="FD28" s="57"/>
      <c r="FE28" s="55"/>
      <c r="FF28" s="58"/>
      <c r="FH28" s="53">
        <v>29</v>
      </c>
      <c r="FI28" s="53" t="s">
        <v>863</v>
      </c>
    </row>
    <row r="29" spans="1:165" ht="19.2" hidden="1" thickTop="1" thickBot="1" x14ac:dyDescent="0.4">
      <c r="EW29" s="60"/>
      <c r="FB29" s="60"/>
      <c r="FC29" s="60"/>
      <c r="FD29" s="60"/>
      <c r="FE29" s="60"/>
      <c r="FF29" s="60"/>
      <c r="FH29" s="53">
        <v>30</v>
      </c>
      <c r="FI29" s="53" t="s">
        <v>864</v>
      </c>
    </row>
    <row r="30" spans="1:165" ht="15.6" hidden="1" thickTop="1" thickBot="1" x14ac:dyDescent="0.35">
      <c r="ER30" s="925" t="s">
        <v>3</v>
      </c>
      <c r="ET30" s="53" t="s">
        <v>1065</v>
      </c>
      <c r="EV30" s="53"/>
      <c r="EX30" s="53"/>
      <c r="EZ30" s="53"/>
      <c r="FB30" s="53"/>
      <c r="FD30" s="53"/>
      <c r="FF30" s="53"/>
      <c r="FH30" s="53">
        <v>31</v>
      </c>
      <c r="FI30" s="53" t="s">
        <v>865</v>
      </c>
    </row>
    <row r="31" spans="1:165" ht="15.6" hidden="1" thickTop="1" thickBot="1" x14ac:dyDescent="0.35">
      <c r="ER31" s="926"/>
      <c r="FB31" s="60"/>
      <c r="FD31" s="60"/>
      <c r="FF31" s="60"/>
      <c r="FH31" s="53">
        <v>32</v>
      </c>
      <c r="FI31" s="53" t="s">
        <v>866</v>
      </c>
    </row>
    <row r="32" spans="1:165" ht="15.6" hidden="1" thickTop="1" thickBot="1" x14ac:dyDescent="0.35">
      <c r="ER32" s="926"/>
      <c r="ET32" s="53" t="s">
        <v>1068</v>
      </c>
      <c r="EV32" s="53"/>
      <c r="EX32" s="53"/>
      <c r="EZ32" s="53"/>
      <c r="FB32" s="53"/>
      <c r="FD32" s="53"/>
      <c r="FF32" s="53"/>
      <c r="FH32" s="53">
        <v>33</v>
      </c>
      <c r="FI32" s="53">
        <v>33</v>
      </c>
    </row>
    <row r="33" spans="147:165" ht="15.6" hidden="1" thickTop="1" thickBot="1" x14ac:dyDescent="0.35">
      <c r="ER33" s="926"/>
      <c r="ET33" s="53" t="s">
        <v>1075</v>
      </c>
      <c r="EV33" s="53"/>
      <c r="EX33" s="53"/>
      <c r="EZ33" s="53"/>
      <c r="FB33" s="53"/>
      <c r="FD33" s="53"/>
      <c r="FF33" s="53"/>
      <c r="FH33" s="53">
        <v>34</v>
      </c>
      <c r="FI33" s="53" t="s">
        <v>867</v>
      </c>
    </row>
    <row r="34" spans="147:165" ht="15.6" hidden="1" thickTop="1" thickBot="1" x14ac:dyDescent="0.35">
      <c r="ER34" s="926"/>
      <c r="FB34" s="60"/>
      <c r="FD34" s="60"/>
      <c r="FF34" s="60"/>
      <c r="FH34" s="53">
        <v>35</v>
      </c>
      <c r="FI34" s="53" t="s">
        <v>868</v>
      </c>
    </row>
    <row r="35" spans="147:165" ht="15.6" hidden="1" thickTop="1" thickBot="1" x14ac:dyDescent="0.35">
      <c r="ER35" s="927"/>
      <c r="ET35" s="53" t="s">
        <v>1094</v>
      </c>
      <c r="EV35" s="53"/>
      <c r="EX35" s="53"/>
      <c r="EZ35" s="53"/>
      <c r="FB35" s="53"/>
      <c r="FD35" s="53"/>
      <c r="FF35" s="53"/>
      <c r="FH35" s="53">
        <v>36</v>
      </c>
      <c r="FI35" s="53" t="s">
        <v>869</v>
      </c>
    </row>
    <row r="36" spans="147:165" ht="19.2" hidden="1" thickTop="1" thickBot="1" x14ac:dyDescent="0.4">
      <c r="FH36" s="53">
        <v>37</v>
      </c>
      <c r="FI36" s="53" t="s">
        <v>870</v>
      </c>
    </row>
    <row r="37" spans="147:165" ht="19.2" hidden="1" thickTop="1" thickBot="1" x14ac:dyDescent="0.4">
      <c r="EQ37" s="53">
        <v>5</v>
      </c>
      <c r="ER37" s="54"/>
      <c r="ES37" s="55"/>
      <c r="ET37" s="55"/>
      <c r="EU37" s="55"/>
      <c r="EV37" s="55"/>
      <c r="EW37" s="55"/>
      <c r="EX37" s="55"/>
      <c r="EY37" s="56"/>
      <c r="EZ37" s="55"/>
      <c r="FA37" s="55"/>
      <c r="FB37" s="55"/>
      <c r="FC37" s="55"/>
      <c r="FD37" s="57"/>
      <c r="FE37" s="55"/>
      <c r="FF37" s="58"/>
      <c r="FH37" s="53">
        <v>38</v>
      </c>
      <c r="FI37" s="53" t="s">
        <v>871</v>
      </c>
    </row>
    <row r="38" spans="147:165" ht="19.2" hidden="1" thickTop="1" thickBot="1" x14ac:dyDescent="0.4">
      <c r="EW38" s="60"/>
      <c r="FB38" s="60"/>
      <c r="FC38" s="60"/>
      <c r="FD38" s="60"/>
      <c r="FE38" s="60"/>
      <c r="FF38" s="60"/>
      <c r="FH38" s="53">
        <v>39</v>
      </c>
      <c r="FI38" s="53" t="s">
        <v>872</v>
      </c>
    </row>
    <row r="39" spans="147:165" ht="15" hidden="1" customHeight="1" thickBot="1" x14ac:dyDescent="0.35">
      <c r="ER39" s="925" t="s">
        <v>803</v>
      </c>
      <c r="ET39" s="53" t="s">
        <v>1065</v>
      </c>
      <c r="EV39" s="53"/>
      <c r="EX39" s="53"/>
      <c r="EZ39" s="53"/>
      <c r="FB39" s="53"/>
      <c r="FD39" s="53"/>
      <c r="FF39" s="53"/>
      <c r="FH39" s="53">
        <v>40</v>
      </c>
      <c r="FI39" s="53" t="s">
        <v>873</v>
      </c>
    </row>
    <row r="40" spans="147:165" ht="15" hidden="1" customHeight="1" thickBot="1" x14ac:dyDescent="0.35">
      <c r="ER40" s="926"/>
      <c r="FB40" s="60"/>
      <c r="FD40" s="60"/>
      <c r="FF40" s="60"/>
    </row>
    <row r="41" spans="147:165" ht="15" hidden="1" customHeight="1" thickBot="1" x14ac:dyDescent="0.35">
      <c r="ER41" s="926"/>
      <c r="ET41" s="53" t="s">
        <v>1068</v>
      </c>
      <c r="EV41" s="53"/>
      <c r="EX41" s="53"/>
      <c r="EZ41" s="53"/>
      <c r="FB41" s="53"/>
      <c r="FD41" s="53"/>
      <c r="FF41" s="53"/>
    </row>
    <row r="42" spans="147:165" ht="15.6" hidden="1" thickTop="1" thickBot="1" x14ac:dyDescent="0.35">
      <c r="ER42" s="926"/>
      <c r="ET42" s="53" t="s">
        <v>1075</v>
      </c>
      <c r="EV42" s="53"/>
      <c r="EX42" s="53"/>
      <c r="EZ42" s="53"/>
      <c r="FB42" s="53"/>
      <c r="FD42" s="53"/>
      <c r="FF42" s="53"/>
    </row>
    <row r="43" spans="147:165" ht="15" hidden="1" thickTop="1" x14ac:dyDescent="0.3">
      <c r="ER43" s="926"/>
      <c r="FB43" s="60"/>
      <c r="FD43" s="60"/>
      <c r="FF43" s="60"/>
    </row>
    <row r="44" spans="147:165" ht="15.6" hidden="1" thickTop="1" thickBot="1" x14ac:dyDescent="0.35">
      <c r="ER44" s="927"/>
      <c r="ET44" s="53" t="s">
        <v>1094</v>
      </c>
      <c r="EV44" s="53"/>
      <c r="EX44" s="53"/>
      <c r="EZ44" s="53"/>
      <c r="FB44" s="53"/>
      <c r="FD44" s="53"/>
      <c r="FF44" s="53"/>
    </row>
    <row r="45" spans="147:165" ht="18.600000000000001" hidden="1" thickTop="1" x14ac:dyDescent="0.35">
      <c r="EY45" s="60"/>
    </row>
    <row r="46" spans="147:165" ht="19.2" hidden="1" thickTop="1" thickBot="1" x14ac:dyDescent="0.4">
      <c r="EQ46" s="53">
        <v>6</v>
      </c>
      <c r="ER46" s="54"/>
      <c r="ES46" s="55"/>
      <c r="ET46" s="55"/>
      <c r="EU46" s="55"/>
      <c r="EV46" s="55"/>
      <c r="EW46" s="55"/>
      <c r="EX46" s="55"/>
      <c r="EY46" s="56"/>
      <c r="EZ46" s="55"/>
      <c r="FA46" s="55"/>
      <c r="FB46" s="55"/>
      <c r="FC46" s="55"/>
      <c r="FD46" s="57"/>
      <c r="FE46" s="55"/>
      <c r="FF46" s="58"/>
    </row>
    <row r="47" spans="147:165" ht="18.600000000000001" hidden="1" thickTop="1" x14ac:dyDescent="0.35">
      <c r="EW47" s="60"/>
      <c r="FB47" s="60"/>
      <c r="FC47" s="60"/>
      <c r="FD47" s="60"/>
      <c r="FE47" s="60"/>
      <c r="FF47" s="60"/>
    </row>
    <row r="48" spans="147:165" ht="15.6" hidden="1" thickTop="1" thickBot="1" x14ac:dyDescent="0.35">
      <c r="ER48" s="925" t="s">
        <v>809</v>
      </c>
      <c r="ET48" s="53" t="s">
        <v>1065</v>
      </c>
      <c r="EV48" s="53"/>
      <c r="EX48" s="53"/>
      <c r="EZ48" s="53"/>
      <c r="FB48" s="53"/>
      <c r="FD48" s="53"/>
      <c r="FF48" s="53"/>
    </row>
    <row r="49" spans="147:162" ht="15" hidden="1" thickTop="1" x14ac:dyDescent="0.3">
      <c r="ER49" s="926"/>
      <c r="FB49" s="60"/>
      <c r="FD49" s="60"/>
      <c r="FF49" s="60"/>
    </row>
    <row r="50" spans="147:162" ht="15.6" hidden="1" thickTop="1" thickBot="1" x14ac:dyDescent="0.35">
      <c r="ER50" s="926"/>
      <c r="ET50" s="53" t="s">
        <v>1068</v>
      </c>
      <c r="EV50" s="53"/>
      <c r="EX50" s="53"/>
      <c r="EZ50" s="53"/>
      <c r="FB50" s="53"/>
      <c r="FD50" s="53"/>
      <c r="FF50" s="53"/>
    </row>
    <row r="51" spans="147:162" ht="15.6" hidden="1" thickTop="1" thickBot="1" x14ac:dyDescent="0.35">
      <c r="ER51" s="926"/>
      <c r="ET51" s="53" t="s">
        <v>1075</v>
      </c>
      <c r="EV51" s="53"/>
      <c r="EX51" s="53"/>
      <c r="EZ51" s="53"/>
      <c r="FB51" s="53"/>
      <c r="FD51" s="53"/>
      <c r="FF51" s="53"/>
    </row>
    <row r="52" spans="147:162" ht="15" hidden="1" thickTop="1" x14ac:dyDescent="0.3">
      <c r="ER52" s="926"/>
      <c r="FB52" s="60"/>
      <c r="FD52" s="60"/>
      <c r="FF52" s="60"/>
    </row>
    <row r="53" spans="147:162" ht="15.6" hidden="1" thickTop="1" thickBot="1" x14ac:dyDescent="0.35">
      <c r="ER53" s="927"/>
      <c r="ET53" s="53" t="s">
        <v>1094</v>
      </c>
      <c r="EV53" s="53"/>
      <c r="EX53" s="53"/>
      <c r="EZ53" s="53"/>
      <c r="FB53" s="53"/>
      <c r="FD53" s="53"/>
      <c r="FF53" s="53"/>
    </row>
    <row r="54" spans="147:162" ht="18.600000000000001" hidden="1" thickTop="1" x14ac:dyDescent="0.35"/>
    <row r="55" spans="147:162" ht="19.2" hidden="1" thickTop="1" thickBot="1" x14ac:dyDescent="0.4">
      <c r="EQ55" s="53">
        <v>7</v>
      </c>
      <c r="ER55" s="54"/>
      <c r="ES55" s="55"/>
      <c r="ET55" s="55"/>
      <c r="EU55" s="55"/>
      <c r="EV55" s="55"/>
      <c r="EW55" s="55"/>
      <c r="EX55" s="55"/>
      <c r="EY55" s="56"/>
      <c r="EZ55" s="55"/>
      <c r="FA55" s="55"/>
      <c r="FB55" s="55"/>
      <c r="FC55" s="55"/>
      <c r="FD55" s="57"/>
      <c r="FE55" s="55"/>
      <c r="FF55" s="58"/>
    </row>
    <row r="56" spans="147:162" ht="18.600000000000001" hidden="1" thickTop="1" x14ac:dyDescent="0.35">
      <c r="EW56" s="60"/>
      <c r="FB56" s="60"/>
      <c r="FC56" s="60"/>
      <c r="FD56" s="60"/>
      <c r="FE56" s="60"/>
      <c r="FF56" s="60"/>
    </row>
    <row r="57" spans="147:162" ht="15.6" hidden="1" thickTop="1" thickBot="1" x14ac:dyDescent="0.35">
      <c r="ER57" s="925" t="s">
        <v>815</v>
      </c>
      <c r="ET57" s="53" t="s">
        <v>1065</v>
      </c>
      <c r="EV57" s="53"/>
      <c r="EX57" s="53"/>
      <c r="EZ57" s="53"/>
      <c r="FB57" s="53"/>
      <c r="FD57" s="53"/>
      <c r="FF57" s="53"/>
    </row>
    <row r="58" spans="147:162" ht="15" hidden="1" thickTop="1" x14ac:dyDescent="0.3">
      <c r="ER58" s="926"/>
      <c r="FB58" s="60"/>
      <c r="FD58" s="60"/>
      <c r="FF58" s="60"/>
    </row>
    <row r="59" spans="147:162" ht="15.6" hidden="1" thickTop="1" thickBot="1" x14ac:dyDescent="0.35">
      <c r="ER59" s="926"/>
      <c r="ET59" s="53" t="s">
        <v>1068</v>
      </c>
      <c r="EV59" s="53"/>
      <c r="EX59" s="53"/>
      <c r="EZ59" s="53"/>
      <c r="FB59" s="53"/>
      <c r="FD59" s="53"/>
      <c r="FF59" s="53"/>
    </row>
    <row r="60" spans="147:162" ht="15.6" hidden="1" thickTop="1" thickBot="1" x14ac:dyDescent="0.35">
      <c r="ER60" s="926"/>
      <c r="ET60" s="53" t="s">
        <v>1075</v>
      </c>
      <c r="EV60" s="53"/>
      <c r="EX60" s="53"/>
      <c r="EZ60" s="53"/>
      <c r="FB60" s="53"/>
      <c r="FD60" s="53"/>
      <c r="FF60" s="53"/>
    </row>
    <row r="61" spans="147:162" ht="15" hidden="1" thickTop="1" x14ac:dyDescent="0.3">
      <c r="ER61" s="926"/>
      <c r="FB61" s="60"/>
      <c r="FD61" s="60"/>
      <c r="FF61" s="60"/>
    </row>
    <row r="62" spans="147:162" ht="15.6" hidden="1" thickTop="1" thickBot="1" x14ac:dyDescent="0.35">
      <c r="ER62" s="927"/>
      <c r="ET62" s="53" t="s">
        <v>1094</v>
      </c>
      <c r="EV62" s="53"/>
      <c r="EX62" s="53"/>
      <c r="EZ62" s="53"/>
      <c r="FB62" s="53"/>
      <c r="FD62" s="53"/>
      <c r="FF62" s="53"/>
    </row>
    <row r="63" spans="147:162" ht="18.600000000000001" hidden="1" thickTop="1" x14ac:dyDescent="0.35"/>
    <row r="64" spans="147:162" ht="19.2" hidden="1" thickTop="1" thickBot="1" x14ac:dyDescent="0.4">
      <c r="EQ64" s="53">
        <v>8</v>
      </c>
      <c r="ER64" s="54"/>
      <c r="ES64" s="55"/>
      <c r="ET64" s="55"/>
      <c r="EU64" s="55"/>
      <c r="EV64" s="55"/>
      <c r="EW64" s="55"/>
      <c r="EX64" s="55"/>
      <c r="EY64" s="56"/>
      <c r="EZ64" s="55"/>
      <c r="FA64" s="55"/>
      <c r="FB64" s="55"/>
      <c r="FC64" s="55"/>
      <c r="FD64" s="57"/>
      <c r="FE64" s="55"/>
      <c r="FF64" s="58"/>
    </row>
    <row r="65" spans="147:162" ht="18.600000000000001" hidden="1" thickTop="1" x14ac:dyDescent="0.35">
      <c r="EW65" s="60"/>
      <c r="FB65" s="60"/>
      <c r="FC65" s="60"/>
      <c r="FD65" s="60"/>
      <c r="FE65" s="60"/>
      <c r="FF65" s="60"/>
    </row>
    <row r="66" spans="147:162" ht="15.6" hidden="1" thickTop="1" thickBot="1" x14ac:dyDescent="0.35">
      <c r="ER66" s="925" t="s">
        <v>819</v>
      </c>
      <c r="ET66" s="53" t="s">
        <v>1065</v>
      </c>
      <c r="EV66" s="53"/>
      <c r="EX66" s="53"/>
      <c r="EZ66" s="53"/>
      <c r="FB66" s="53"/>
      <c r="FD66" s="53"/>
      <c r="FF66" s="53"/>
    </row>
    <row r="67" spans="147:162" ht="15" hidden="1" thickTop="1" x14ac:dyDescent="0.3">
      <c r="ER67" s="926"/>
      <c r="FB67" s="60"/>
      <c r="FD67" s="60"/>
      <c r="FF67" s="60"/>
    </row>
    <row r="68" spans="147:162" ht="15.6" hidden="1" thickTop="1" thickBot="1" x14ac:dyDescent="0.35">
      <c r="ER68" s="926"/>
      <c r="ET68" s="53" t="s">
        <v>1068</v>
      </c>
      <c r="EV68" s="53"/>
      <c r="EX68" s="53"/>
      <c r="EZ68" s="53"/>
      <c r="FB68" s="53"/>
      <c r="FD68" s="53"/>
      <c r="FF68" s="53"/>
    </row>
    <row r="69" spans="147:162" ht="15.6" hidden="1" thickTop="1" thickBot="1" x14ac:dyDescent="0.35">
      <c r="ER69" s="926"/>
      <c r="ET69" s="53" t="s">
        <v>1075</v>
      </c>
      <c r="EV69" s="53"/>
      <c r="EX69" s="53"/>
      <c r="EZ69" s="53"/>
      <c r="FB69" s="53"/>
      <c r="FD69" s="53"/>
      <c r="FF69" s="53"/>
    </row>
    <row r="70" spans="147:162" ht="15" hidden="1" thickTop="1" x14ac:dyDescent="0.3">
      <c r="ER70" s="926"/>
      <c r="FB70" s="60"/>
      <c r="FD70" s="60"/>
      <c r="FF70" s="60"/>
    </row>
    <row r="71" spans="147:162" ht="15.6" hidden="1" thickTop="1" thickBot="1" x14ac:dyDescent="0.35">
      <c r="ER71" s="927"/>
      <c r="ET71" s="53" t="s">
        <v>1094</v>
      </c>
      <c r="EV71" s="53"/>
      <c r="EX71" s="53"/>
      <c r="EZ71" s="53"/>
      <c r="FB71" s="53"/>
      <c r="FD71" s="53"/>
      <c r="FF71" s="53"/>
    </row>
    <row r="72" spans="147:162" ht="18.600000000000001" hidden="1" thickTop="1" x14ac:dyDescent="0.35"/>
    <row r="73" spans="147:162" ht="19.2" hidden="1" thickTop="1" thickBot="1" x14ac:dyDescent="0.4">
      <c r="EQ73" s="53">
        <v>9</v>
      </c>
      <c r="ER73" s="54"/>
      <c r="ES73" s="55"/>
      <c r="ET73" s="55"/>
      <c r="EU73" s="55"/>
      <c r="EV73" s="55"/>
      <c r="EW73" s="55"/>
      <c r="EX73" s="55"/>
      <c r="EY73" s="56"/>
      <c r="EZ73" s="55"/>
      <c r="FA73" s="55"/>
      <c r="FB73" s="55"/>
      <c r="FC73" s="55"/>
      <c r="FD73" s="57"/>
      <c r="FE73" s="55"/>
      <c r="FF73" s="58"/>
    </row>
    <row r="74" spans="147:162" ht="18.600000000000001" hidden="1" thickTop="1" x14ac:dyDescent="0.35">
      <c r="EW74" s="60"/>
      <c r="FB74" s="60"/>
      <c r="FC74" s="60"/>
      <c r="FD74" s="60"/>
      <c r="FE74" s="60"/>
      <c r="FF74" s="60"/>
    </row>
    <row r="75" spans="147:162" ht="15.6" hidden="1" thickTop="1" thickBot="1" x14ac:dyDescent="0.35">
      <c r="ER75" s="925" t="s">
        <v>825</v>
      </c>
      <c r="ET75" s="53" t="s">
        <v>1065</v>
      </c>
      <c r="EV75" s="53"/>
      <c r="EX75" s="53"/>
      <c r="EZ75" s="53"/>
      <c r="FB75" s="53"/>
      <c r="FD75" s="53"/>
      <c r="FF75" s="53"/>
    </row>
    <row r="76" spans="147:162" ht="15" hidden="1" thickTop="1" x14ac:dyDescent="0.3">
      <c r="ER76" s="926"/>
      <c r="FB76" s="60"/>
      <c r="FD76" s="60"/>
      <c r="FF76" s="60"/>
    </row>
    <row r="77" spans="147:162" ht="15.6" hidden="1" thickTop="1" thickBot="1" x14ac:dyDescent="0.35">
      <c r="ER77" s="926"/>
      <c r="ET77" s="53" t="s">
        <v>1068</v>
      </c>
      <c r="EV77" s="53"/>
      <c r="EX77" s="53"/>
      <c r="EZ77" s="53"/>
      <c r="FB77" s="53"/>
      <c r="FD77" s="53"/>
      <c r="FF77" s="53"/>
    </row>
    <row r="78" spans="147:162" ht="15.6" hidden="1" thickTop="1" thickBot="1" x14ac:dyDescent="0.35">
      <c r="ER78" s="926"/>
      <c r="ET78" s="53" t="s">
        <v>1075</v>
      </c>
      <c r="EV78" s="53"/>
      <c r="EX78" s="53"/>
      <c r="EZ78" s="53"/>
      <c r="FB78" s="53"/>
      <c r="FD78" s="53"/>
      <c r="FF78" s="53"/>
    </row>
    <row r="79" spans="147:162" ht="15" hidden="1" thickTop="1" x14ac:dyDescent="0.3">
      <c r="ER79" s="926"/>
      <c r="FB79" s="60"/>
      <c r="FD79" s="60"/>
      <c r="FF79" s="60"/>
    </row>
    <row r="80" spans="147:162" ht="15.6" hidden="1" thickTop="1" thickBot="1" x14ac:dyDescent="0.35">
      <c r="ER80" s="927"/>
      <c r="ET80" s="53" t="s">
        <v>1094</v>
      </c>
      <c r="EV80" s="53"/>
      <c r="EX80" s="53"/>
      <c r="EZ80" s="53"/>
      <c r="FB80" s="53"/>
      <c r="FD80" s="53"/>
      <c r="FF80" s="53"/>
    </row>
    <row r="81" spans="147:162" ht="18.600000000000001" hidden="1" thickTop="1" x14ac:dyDescent="0.35"/>
    <row r="82" spans="147:162" ht="19.2" hidden="1" thickTop="1" thickBot="1" x14ac:dyDescent="0.4">
      <c r="EQ82" s="53">
        <v>10</v>
      </c>
      <c r="ER82" s="54"/>
      <c r="ES82" s="55"/>
      <c r="ET82" s="55"/>
      <c r="EU82" s="55"/>
      <c r="EV82" s="55"/>
      <c r="EW82" s="55"/>
      <c r="EX82" s="55"/>
      <c r="EY82" s="56"/>
      <c r="EZ82" s="55"/>
      <c r="FA82" s="55"/>
      <c r="FB82" s="55"/>
      <c r="FC82" s="55"/>
      <c r="FD82" s="57"/>
      <c r="FE82" s="55"/>
      <c r="FF82" s="58"/>
    </row>
    <row r="83" spans="147:162" ht="18.600000000000001" hidden="1" thickTop="1" x14ac:dyDescent="0.35">
      <c r="EW83" s="60"/>
      <c r="FB83" s="60"/>
      <c r="FC83" s="60"/>
      <c r="FD83" s="60"/>
      <c r="FE83" s="60"/>
      <c r="FF83" s="60"/>
    </row>
    <row r="84" spans="147:162" ht="15.6" hidden="1" thickTop="1" thickBot="1" x14ac:dyDescent="0.35">
      <c r="ER84" s="925" t="s">
        <v>830</v>
      </c>
      <c r="ET84" s="53" t="s">
        <v>1065</v>
      </c>
      <c r="EV84" s="53"/>
      <c r="EX84" s="53"/>
      <c r="EZ84" s="53"/>
      <c r="FB84" s="53"/>
      <c r="FD84" s="53"/>
      <c r="FF84" s="53"/>
    </row>
    <row r="85" spans="147:162" ht="15" hidden="1" thickTop="1" x14ac:dyDescent="0.3">
      <c r="ER85" s="926"/>
      <c r="FB85" s="60"/>
      <c r="FD85" s="60"/>
      <c r="FF85" s="60"/>
    </row>
    <row r="86" spans="147:162" ht="15.6" hidden="1" thickTop="1" thickBot="1" x14ac:dyDescent="0.35">
      <c r="ER86" s="926"/>
      <c r="ET86" s="53" t="s">
        <v>1068</v>
      </c>
      <c r="EV86" s="53"/>
      <c r="EX86" s="53"/>
      <c r="EZ86" s="53"/>
      <c r="FB86" s="53"/>
      <c r="FD86" s="53"/>
      <c r="FF86" s="53"/>
    </row>
    <row r="87" spans="147:162" ht="15.6" hidden="1" thickTop="1" thickBot="1" x14ac:dyDescent="0.35">
      <c r="ER87" s="926"/>
      <c r="ET87" s="53" t="s">
        <v>1075</v>
      </c>
      <c r="EV87" s="53"/>
      <c r="EX87" s="53"/>
      <c r="EZ87" s="53"/>
      <c r="FB87" s="53"/>
      <c r="FD87" s="53"/>
      <c r="FF87" s="53"/>
    </row>
    <row r="88" spans="147:162" ht="15" hidden="1" thickTop="1" x14ac:dyDescent="0.3">
      <c r="ER88" s="926"/>
      <c r="FB88" s="60"/>
      <c r="FD88" s="60"/>
      <c r="FF88" s="60"/>
    </row>
    <row r="89" spans="147:162" ht="15.6" hidden="1" thickTop="1" thickBot="1" x14ac:dyDescent="0.35">
      <c r="ER89" s="927"/>
      <c r="ET89" s="53" t="s">
        <v>1094</v>
      </c>
      <c r="EV89" s="53"/>
      <c r="EX89" s="53"/>
      <c r="EZ89" s="53"/>
      <c r="FB89" s="53"/>
      <c r="FD89" s="53"/>
      <c r="FF89" s="53"/>
    </row>
    <row r="90" spans="147:162" ht="18.600000000000001" hidden="1" thickTop="1" x14ac:dyDescent="0.35"/>
    <row r="91" spans="147:162" ht="19.2" hidden="1" thickTop="1" thickBot="1" x14ac:dyDescent="0.4">
      <c r="EQ91" s="53">
        <v>11</v>
      </c>
      <c r="ER91" s="54"/>
      <c r="ES91" s="55"/>
      <c r="ET91" s="55"/>
      <c r="EU91" s="55"/>
      <c r="EV91" s="55"/>
      <c r="EW91" s="55"/>
      <c r="EX91" s="55"/>
      <c r="EY91" s="56"/>
      <c r="EZ91" s="55"/>
      <c r="FA91" s="55"/>
      <c r="FB91" s="55"/>
      <c r="FC91" s="55"/>
      <c r="FD91" s="57"/>
      <c r="FE91" s="55"/>
      <c r="FF91" s="58"/>
    </row>
    <row r="92" spans="147:162" ht="18.600000000000001" hidden="1" thickTop="1" x14ac:dyDescent="0.35">
      <c r="EW92" s="60"/>
      <c r="FB92" s="60"/>
      <c r="FC92" s="60"/>
      <c r="FD92" s="60"/>
      <c r="FE92" s="60"/>
      <c r="FF92" s="60"/>
    </row>
    <row r="93" spans="147:162" ht="15.6" hidden="1" thickTop="1" thickBot="1" x14ac:dyDescent="0.35">
      <c r="ER93" s="925" t="s">
        <v>834</v>
      </c>
      <c r="ET93" s="53" t="s">
        <v>1065</v>
      </c>
      <c r="EV93" s="53"/>
      <c r="EX93" s="53"/>
      <c r="EZ93" s="53"/>
      <c r="FB93" s="53"/>
      <c r="FD93" s="53"/>
      <c r="FF93" s="53"/>
    </row>
    <row r="94" spans="147:162" ht="15" hidden="1" thickTop="1" x14ac:dyDescent="0.3">
      <c r="ER94" s="926"/>
      <c r="FB94" s="60"/>
      <c r="FD94" s="60"/>
      <c r="FF94" s="60"/>
    </row>
    <row r="95" spans="147:162" ht="15.6" hidden="1" thickTop="1" thickBot="1" x14ac:dyDescent="0.35">
      <c r="ER95" s="926"/>
      <c r="ET95" s="53" t="s">
        <v>1068</v>
      </c>
      <c r="EV95" s="53"/>
      <c r="EX95" s="53"/>
      <c r="EZ95" s="53"/>
      <c r="FB95" s="53"/>
      <c r="FD95" s="53"/>
      <c r="FF95" s="53"/>
    </row>
    <row r="96" spans="147:162" ht="15.6" hidden="1" thickTop="1" thickBot="1" x14ac:dyDescent="0.35">
      <c r="ER96" s="926"/>
      <c r="ET96" s="53" t="s">
        <v>1075</v>
      </c>
      <c r="EV96" s="53"/>
      <c r="EX96" s="53"/>
      <c r="EZ96" s="53"/>
      <c r="FB96" s="53"/>
      <c r="FD96" s="53"/>
      <c r="FF96" s="53"/>
    </row>
    <row r="97" spans="147:162" ht="15" hidden="1" thickTop="1" x14ac:dyDescent="0.3">
      <c r="ER97" s="926"/>
      <c r="FB97" s="60"/>
      <c r="FD97" s="60"/>
      <c r="FF97" s="60"/>
    </row>
    <row r="98" spans="147:162" ht="15.6" hidden="1" thickTop="1" thickBot="1" x14ac:dyDescent="0.35">
      <c r="ER98" s="927"/>
      <c r="ET98" s="53" t="s">
        <v>1094</v>
      </c>
      <c r="EV98" s="53"/>
      <c r="EX98" s="53"/>
      <c r="EZ98" s="53"/>
      <c r="FB98" s="53"/>
      <c r="FD98" s="53"/>
      <c r="FF98" s="53"/>
    </row>
    <row r="99" spans="147:162" ht="18.600000000000001" hidden="1" thickTop="1" x14ac:dyDescent="0.35"/>
    <row r="100" spans="147:162" ht="19.2" hidden="1" thickTop="1" thickBot="1" x14ac:dyDescent="0.4">
      <c r="EQ100" s="53">
        <v>12</v>
      </c>
      <c r="ER100" s="54"/>
      <c r="ES100" s="55"/>
      <c r="ET100" s="55"/>
      <c r="EU100" s="55"/>
      <c r="EV100" s="55"/>
      <c r="EW100" s="55"/>
      <c r="EX100" s="55"/>
      <c r="EY100" s="56"/>
      <c r="EZ100" s="55"/>
      <c r="FA100" s="55"/>
      <c r="FB100" s="55"/>
      <c r="FC100" s="55"/>
      <c r="FD100" s="57"/>
      <c r="FE100" s="55"/>
      <c r="FF100" s="58"/>
    </row>
    <row r="101" spans="147:162" ht="18.600000000000001" hidden="1" thickTop="1" x14ac:dyDescent="0.35">
      <c r="EW101" s="60"/>
      <c r="FB101" s="60"/>
      <c r="FC101" s="60"/>
      <c r="FD101" s="60"/>
      <c r="FE101" s="60"/>
      <c r="FF101" s="60"/>
    </row>
    <row r="102" spans="147:162" ht="15.6" hidden="1" thickTop="1" thickBot="1" x14ac:dyDescent="0.35">
      <c r="ER102" s="925" t="s">
        <v>838</v>
      </c>
      <c r="ET102" s="53" t="s">
        <v>1065</v>
      </c>
      <c r="EV102" s="53"/>
      <c r="EX102" s="53"/>
      <c r="EZ102" s="53"/>
      <c r="FB102" s="53"/>
      <c r="FD102" s="53"/>
      <c r="FF102" s="53"/>
    </row>
    <row r="103" spans="147:162" ht="15" hidden="1" thickTop="1" x14ac:dyDescent="0.3">
      <c r="ER103" s="926"/>
      <c r="FB103" s="60"/>
      <c r="FD103" s="60"/>
      <c r="FF103" s="60"/>
    </row>
    <row r="104" spans="147:162" ht="15.6" hidden="1" thickTop="1" thickBot="1" x14ac:dyDescent="0.35">
      <c r="ER104" s="926"/>
      <c r="ET104" s="53" t="s">
        <v>1068</v>
      </c>
      <c r="EV104" s="53"/>
      <c r="EX104" s="53"/>
      <c r="EZ104" s="53"/>
      <c r="FB104" s="53"/>
      <c r="FD104" s="53"/>
      <c r="FF104" s="53"/>
    </row>
    <row r="105" spans="147:162" ht="15.6" hidden="1" thickTop="1" thickBot="1" x14ac:dyDescent="0.35">
      <c r="ER105" s="926"/>
      <c r="ET105" s="53" t="s">
        <v>1075</v>
      </c>
      <c r="EV105" s="53"/>
      <c r="EX105" s="53"/>
      <c r="EZ105" s="53"/>
      <c r="FB105" s="53"/>
      <c r="FD105" s="53"/>
      <c r="FF105" s="53"/>
    </row>
    <row r="106" spans="147:162" ht="15" hidden="1" thickTop="1" x14ac:dyDescent="0.3">
      <c r="ER106" s="926"/>
      <c r="FB106" s="60"/>
      <c r="FD106" s="60"/>
      <c r="FF106" s="60"/>
    </row>
    <row r="107" spans="147:162" ht="15.6" hidden="1" thickTop="1" thickBot="1" x14ac:dyDescent="0.35">
      <c r="ER107" s="927"/>
      <c r="ET107" s="53" t="s">
        <v>1094</v>
      </c>
      <c r="EV107" s="53"/>
      <c r="EX107" s="53"/>
      <c r="EZ107" s="53"/>
      <c r="FB107" s="53"/>
      <c r="FD107" s="53"/>
      <c r="FF107" s="53"/>
    </row>
    <row r="108" spans="147:162" ht="18.600000000000001" hidden="1" thickTop="1" x14ac:dyDescent="0.35"/>
    <row r="109" spans="147:162" ht="19.2" hidden="1" thickTop="1" thickBot="1" x14ac:dyDescent="0.4">
      <c r="EQ109" s="53">
        <v>13</v>
      </c>
      <c r="ER109" s="54"/>
      <c r="ES109" s="55"/>
      <c r="ET109" s="55"/>
      <c r="EU109" s="55"/>
      <c r="EV109" s="55"/>
      <c r="EW109" s="55"/>
      <c r="EX109" s="55"/>
      <c r="EY109" s="56"/>
      <c r="EZ109" s="55"/>
      <c r="FA109" s="55"/>
      <c r="FB109" s="55"/>
      <c r="FC109" s="55"/>
      <c r="FD109" s="57"/>
      <c r="FE109" s="55"/>
      <c r="FF109" s="58"/>
    </row>
    <row r="110" spans="147:162" ht="18.600000000000001" hidden="1" thickTop="1" x14ac:dyDescent="0.35">
      <c r="EW110" s="60"/>
      <c r="FB110" s="60"/>
      <c r="FC110" s="60"/>
      <c r="FD110" s="60"/>
      <c r="FE110" s="60"/>
      <c r="FF110" s="60"/>
    </row>
    <row r="111" spans="147:162" ht="15.6" hidden="1" thickTop="1" thickBot="1" x14ac:dyDescent="0.35">
      <c r="ER111" s="925" t="s">
        <v>840</v>
      </c>
      <c r="ET111" s="53" t="s">
        <v>1065</v>
      </c>
      <c r="EV111" s="53"/>
      <c r="EX111" s="53"/>
      <c r="EZ111" s="53"/>
      <c r="FB111" s="53"/>
      <c r="FD111" s="53"/>
      <c r="FF111" s="53"/>
    </row>
    <row r="112" spans="147:162" ht="15" hidden="1" thickTop="1" x14ac:dyDescent="0.3">
      <c r="ER112" s="926"/>
      <c r="FB112" s="60"/>
      <c r="FD112" s="60"/>
      <c r="FF112" s="60"/>
    </row>
    <row r="113" spans="147:162" ht="15.6" hidden="1" thickTop="1" thickBot="1" x14ac:dyDescent="0.35">
      <c r="ER113" s="926"/>
      <c r="ET113" s="53" t="s">
        <v>1068</v>
      </c>
      <c r="EV113" s="53"/>
      <c r="EX113" s="53"/>
      <c r="EZ113" s="53"/>
      <c r="FB113" s="53"/>
      <c r="FD113" s="53"/>
      <c r="FF113" s="53"/>
    </row>
    <row r="114" spans="147:162" ht="15.6" hidden="1" thickTop="1" thickBot="1" x14ac:dyDescent="0.35">
      <c r="ER114" s="926"/>
      <c r="ET114" s="53" t="s">
        <v>1075</v>
      </c>
      <c r="EV114" s="53"/>
      <c r="EX114" s="53"/>
      <c r="EZ114" s="53"/>
      <c r="FB114" s="53"/>
      <c r="FD114" s="53"/>
      <c r="FF114" s="53"/>
    </row>
    <row r="115" spans="147:162" ht="15" hidden="1" thickTop="1" x14ac:dyDescent="0.3">
      <c r="ER115" s="926"/>
      <c r="FB115" s="60"/>
      <c r="FD115" s="60"/>
      <c r="FF115" s="60"/>
    </row>
    <row r="116" spans="147:162" ht="15.6" hidden="1" thickTop="1" thickBot="1" x14ac:dyDescent="0.35">
      <c r="ER116" s="927"/>
      <c r="ET116" s="53" t="s">
        <v>1094</v>
      </c>
      <c r="EV116" s="53"/>
      <c r="EX116" s="53"/>
      <c r="EZ116" s="53"/>
      <c r="FB116" s="53"/>
      <c r="FD116" s="53"/>
      <c r="FF116" s="53"/>
    </row>
    <row r="117" spans="147:162" ht="18.600000000000001" hidden="1" thickTop="1" x14ac:dyDescent="0.35"/>
    <row r="118" spans="147:162" ht="19.2" hidden="1" thickTop="1" thickBot="1" x14ac:dyDescent="0.4">
      <c r="EQ118" s="53">
        <v>14</v>
      </c>
      <c r="ER118" s="54"/>
      <c r="ES118" s="55"/>
      <c r="ET118" s="55"/>
      <c r="EU118" s="55"/>
      <c r="EV118" s="55"/>
      <c r="EW118" s="55"/>
      <c r="EX118" s="55"/>
      <c r="EY118" s="56"/>
      <c r="EZ118" s="55"/>
      <c r="FA118" s="55"/>
      <c r="FB118" s="55"/>
      <c r="FC118" s="55"/>
      <c r="FD118" s="57"/>
      <c r="FE118" s="55"/>
      <c r="FF118" s="58"/>
    </row>
    <row r="119" spans="147:162" ht="18.600000000000001" hidden="1" thickTop="1" x14ac:dyDescent="0.35">
      <c r="EW119" s="60"/>
      <c r="FB119" s="60"/>
      <c r="FC119" s="60"/>
      <c r="FD119" s="60"/>
      <c r="FE119" s="60"/>
      <c r="FF119" s="60"/>
    </row>
    <row r="120" spans="147:162" ht="15.6" hidden="1" thickTop="1" thickBot="1" x14ac:dyDescent="0.35">
      <c r="ER120" s="925" t="s">
        <v>844</v>
      </c>
      <c r="ET120" s="53" t="s">
        <v>1065</v>
      </c>
      <c r="EV120" s="53"/>
      <c r="EX120" s="53"/>
      <c r="EZ120" s="53"/>
      <c r="FB120" s="53"/>
      <c r="FD120" s="53"/>
      <c r="FF120" s="53"/>
    </row>
    <row r="121" spans="147:162" ht="15" hidden="1" thickTop="1" x14ac:dyDescent="0.3">
      <c r="ER121" s="926"/>
      <c r="FB121" s="60"/>
      <c r="FD121" s="60"/>
      <c r="FF121" s="60"/>
    </row>
    <row r="122" spans="147:162" ht="15.6" hidden="1" thickTop="1" thickBot="1" x14ac:dyDescent="0.35">
      <c r="ER122" s="926"/>
      <c r="ET122" s="53" t="s">
        <v>1068</v>
      </c>
      <c r="EV122" s="53"/>
      <c r="EX122" s="53"/>
      <c r="EZ122" s="53"/>
      <c r="FB122" s="53"/>
      <c r="FD122" s="53"/>
      <c r="FF122" s="53"/>
    </row>
    <row r="123" spans="147:162" ht="15.6" hidden="1" thickTop="1" thickBot="1" x14ac:dyDescent="0.35">
      <c r="ER123" s="926"/>
      <c r="ET123" s="53" t="s">
        <v>1075</v>
      </c>
      <c r="EV123" s="53"/>
      <c r="EX123" s="53"/>
      <c r="EZ123" s="53"/>
      <c r="FB123" s="53"/>
      <c r="FD123" s="53"/>
      <c r="FF123" s="53"/>
    </row>
    <row r="124" spans="147:162" ht="15" hidden="1" thickTop="1" x14ac:dyDescent="0.3">
      <c r="ER124" s="926"/>
      <c r="FB124" s="60"/>
      <c r="FD124" s="60"/>
      <c r="FF124" s="60"/>
    </row>
    <row r="125" spans="147:162" ht="15.6" hidden="1" thickTop="1" thickBot="1" x14ac:dyDescent="0.35">
      <c r="ER125" s="927"/>
      <c r="ET125" s="53" t="s">
        <v>1094</v>
      </c>
      <c r="EV125" s="53"/>
      <c r="EX125" s="53"/>
      <c r="EZ125" s="53"/>
      <c r="FB125" s="53"/>
      <c r="FD125" s="53"/>
      <c r="FF125" s="53"/>
    </row>
    <row r="126" spans="147:162" ht="18.600000000000001" hidden="1" thickTop="1" x14ac:dyDescent="0.35"/>
    <row r="127" spans="147:162" ht="19.2" hidden="1" thickTop="1" thickBot="1" x14ac:dyDescent="0.4">
      <c r="EQ127" s="53">
        <v>15</v>
      </c>
      <c r="ER127" s="54"/>
      <c r="ES127" s="55"/>
      <c r="ET127" s="55"/>
      <c r="EU127" s="55"/>
      <c r="EV127" s="55"/>
      <c r="EW127" s="55"/>
      <c r="EX127" s="55"/>
      <c r="EY127" s="56"/>
      <c r="EZ127" s="55"/>
      <c r="FA127" s="55"/>
      <c r="FB127" s="55"/>
      <c r="FC127" s="55"/>
      <c r="FD127" s="57"/>
      <c r="FE127" s="55"/>
      <c r="FF127" s="58"/>
    </row>
    <row r="128" spans="147:162" ht="18.600000000000001" hidden="1" thickTop="1" x14ac:dyDescent="0.35">
      <c r="EW128" s="60"/>
      <c r="FB128" s="60"/>
      <c r="FC128" s="60"/>
      <c r="FD128" s="60"/>
      <c r="FE128" s="60"/>
      <c r="FF128" s="60"/>
    </row>
    <row r="129" spans="147:162" ht="15.6" hidden="1" thickTop="1" thickBot="1" x14ac:dyDescent="0.35">
      <c r="ER129" s="925" t="s">
        <v>847</v>
      </c>
      <c r="ET129" s="53" t="s">
        <v>1065</v>
      </c>
      <c r="EV129" s="53"/>
      <c r="EX129" s="53"/>
      <c r="EZ129" s="53"/>
      <c r="FB129" s="53"/>
      <c r="FD129" s="53"/>
      <c r="FF129" s="53"/>
    </row>
    <row r="130" spans="147:162" ht="15" hidden="1" thickTop="1" x14ac:dyDescent="0.3">
      <c r="ER130" s="926"/>
      <c r="FB130" s="60"/>
      <c r="FD130" s="60"/>
      <c r="FF130" s="60"/>
    </row>
    <row r="131" spans="147:162" ht="15.6" hidden="1" thickTop="1" thickBot="1" x14ac:dyDescent="0.35">
      <c r="ER131" s="926"/>
      <c r="ET131" s="53" t="s">
        <v>1068</v>
      </c>
      <c r="EV131" s="53"/>
      <c r="EX131" s="53"/>
      <c r="EZ131" s="53"/>
      <c r="FB131" s="53"/>
      <c r="FD131" s="53"/>
      <c r="FF131" s="53"/>
    </row>
    <row r="132" spans="147:162" ht="15.6" hidden="1" thickTop="1" thickBot="1" x14ac:dyDescent="0.35">
      <c r="ER132" s="926"/>
      <c r="ET132" s="53" t="s">
        <v>1075</v>
      </c>
      <c r="EV132" s="53"/>
      <c r="EX132" s="53"/>
      <c r="EZ132" s="53"/>
      <c r="FB132" s="53"/>
      <c r="FD132" s="53"/>
      <c r="FF132" s="53"/>
    </row>
    <row r="133" spans="147:162" ht="15" hidden="1" thickTop="1" x14ac:dyDescent="0.3">
      <c r="ER133" s="926"/>
      <c r="FB133" s="60"/>
      <c r="FD133" s="60"/>
      <c r="FF133" s="60"/>
    </row>
    <row r="134" spans="147:162" ht="15.6" hidden="1" thickTop="1" thickBot="1" x14ac:dyDescent="0.35">
      <c r="ER134" s="927"/>
      <c r="ET134" s="53" t="s">
        <v>1094</v>
      </c>
      <c r="EV134" s="53"/>
      <c r="EX134" s="53"/>
      <c r="EZ134" s="53"/>
      <c r="FB134" s="53"/>
      <c r="FD134" s="53"/>
      <c r="FF134" s="53"/>
    </row>
    <row r="135" spans="147:162" ht="18.600000000000001" hidden="1" thickTop="1" x14ac:dyDescent="0.35"/>
    <row r="136" spans="147:162" ht="19.2" hidden="1" thickTop="1" thickBot="1" x14ac:dyDescent="0.4">
      <c r="EQ136" s="53">
        <v>16</v>
      </c>
      <c r="ER136" s="54"/>
      <c r="ES136" s="55"/>
      <c r="ET136" s="55"/>
      <c r="EU136" s="55"/>
      <c r="EV136" s="55"/>
      <c r="EW136" s="55"/>
      <c r="EX136" s="55"/>
      <c r="EY136" s="56"/>
      <c r="EZ136" s="55"/>
      <c r="FA136" s="55"/>
      <c r="FB136" s="55"/>
      <c r="FC136" s="55"/>
      <c r="FD136" s="57"/>
      <c r="FE136" s="55"/>
      <c r="FF136" s="58"/>
    </row>
    <row r="137" spans="147:162" ht="18.600000000000001" hidden="1" thickTop="1" x14ac:dyDescent="0.35">
      <c r="EW137" s="60"/>
      <c r="FB137" s="60"/>
      <c r="FC137" s="60"/>
      <c r="FD137" s="60"/>
      <c r="FE137" s="60"/>
      <c r="FF137" s="60"/>
    </row>
    <row r="138" spans="147:162" ht="15.6" hidden="1" thickTop="1" thickBot="1" x14ac:dyDescent="0.35">
      <c r="ER138" s="925" t="s">
        <v>14</v>
      </c>
      <c r="ET138" s="53" t="s">
        <v>1065</v>
      </c>
      <c r="EV138" s="53"/>
      <c r="EX138" s="53"/>
      <c r="EZ138" s="53"/>
      <c r="FB138" s="53"/>
      <c r="FD138" s="53"/>
      <c r="FF138" s="53"/>
    </row>
    <row r="139" spans="147:162" ht="15" hidden="1" thickTop="1" x14ac:dyDescent="0.3">
      <c r="ER139" s="926"/>
      <c r="FB139" s="60"/>
      <c r="FD139" s="60"/>
      <c r="FF139" s="60"/>
    </row>
    <row r="140" spans="147:162" ht="15.6" hidden="1" thickTop="1" thickBot="1" x14ac:dyDescent="0.35">
      <c r="ER140" s="926"/>
      <c r="ET140" s="53" t="s">
        <v>1068</v>
      </c>
      <c r="EV140" s="53"/>
      <c r="EX140" s="53"/>
      <c r="EZ140" s="53"/>
      <c r="FB140" s="53"/>
      <c r="FD140" s="53"/>
      <c r="FF140" s="53"/>
    </row>
    <row r="141" spans="147:162" ht="15.6" hidden="1" thickTop="1" thickBot="1" x14ac:dyDescent="0.35">
      <c r="ER141" s="926"/>
      <c r="ET141" s="53" t="s">
        <v>1075</v>
      </c>
      <c r="EV141" s="53"/>
      <c r="EX141" s="53"/>
      <c r="EZ141" s="53"/>
      <c r="FB141" s="53"/>
      <c r="FD141" s="53"/>
      <c r="FF141" s="53"/>
    </row>
    <row r="142" spans="147:162" ht="15" hidden="1" thickTop="1" x14ac:dyDescent="0.3">
      <c r="ER142" s="926"/>
      <c r="FB142" s="60"/>
      <c r="FD142" s="60"/>
      <c r="FF142" s="60"/>
    </row>
    <row r="143" spans="147:162" ht="15.6" hidden="1" thickTop="1" thickBot="1" x14ac:dyDescent="0.35">
      <c r="ER143" s="927"/>
      <c r="ET143" s="53" t="s">
        <v>1094</v>
      </c>
      <c r="EV143" s="53"/>
      <c r="EX143" s="53"/>
      <c r="EZ143" s="53"/>
      <c r="FB143" s="53"/>
      <c r="FD143" s="53"/>
      <c r="FF143" s="53"/>
    </row>
    <row r="144" spans="147:162" ht="18.600000000000001" hidden="1" thickTop="1" x14ac:dyDescent="0.35"/>
    <row r="145" spans="147:162" ht="19.2" hidden="1" thickTop="1" thickBot="1" x14ac:dyDescent="0.4">
      <c r="EQ145" s="53">
        <v>17</v>
      </c>
      <c r="ER145" s="54"/>
      <c r="ES145" s="55"/>
      <c r="ET145" s="55"/>
      <c r="EU145" s="55"/>
      <c r="EV145" s="55"/>
      <c r="EW145" s="55"/>
      <c r="EX145" s="55"/>
      <c r="EY145" s="56"/>
      <c r="EZ145" s="55"/>
      <c r="FA145" s="55"/>
      <c r="FB145" s="55"/>
      <c r="FC145" s="55"/>
      <c r="FD145" s="57"/>
      <c r="FE145" s="55"/>
      <c r="FF145" s="58"/>
    </row>
    <row r="146" spans="147:162" ht="18.600000000000001" hidden="1" thickTop="1" x14ac:dyDescent="0.35">
      <c r="EW146" s="60"/>
      <c r="FB146" s="60"/>
      <c r="FC146" s="60"/>
      <c r="FD146" s="60"/>
      <c r="FE146" s="60"/>
      <c r="FF146" s="60"/>
    </row>
    <row r="147" spans="147:162" ht="15.6" hidden="1" thickTop="1" thickBot="1" x14ac:dyDescent="0.35">
      <c r="ER147" s="925" t="s">
        <v>850</v>
      </c>
      <c r="ET147" s="53" t="s">
        <v>1065</v>
      </c>
      <c r="EV147" s="53" t="s">
        <v>1128</v>
      </c>
      <c r="EX147" s="53" t="s">
        <v>1129</v>
      </c>
      <c r="EZ147" s="53"/>
      <c r="FB147" s="53"/>
      <c r="FD147" s="53"/>
      <c r="FF147" s="53"/>
    </row>
    <row r="148" spans="147:162" ht="15" hidden="1" thickTop="1" x14ac:dyDescent="0.3">
      <c r="ER148" s="926"/>
      <c r="FB148" s="60"/>
      <c r="FD148" s="60"/>
      <c r="FF148" s="60"/>
    </row>
    <row r="149" spans="147:162" ht="15.6" hidden="1" thickTop="1" thickBot="1" x14ac:dyDescent="0.35">
      <c r="ER149" s="926"/>
      <c r="ET149" s="53" t="s">
        <v>1068</v>
      </c>
      <c r="EV149" s="53" t="s">
        <v>1130</v>
      </c>
      <c r="EX149" s="53" t="s">
        <v>1131</v>
      </c>
      <c r="EZ149" s="53"/>
      <c r="FB149" s="53"/>
      <c r="FD149" s="53"/>
      <c r="FF149" s="53"/>
    </row>
    <row r="150" spans="147:162" ht="15.6" hidden="1" thickTop="1" thickBot="1" x14ac:dyDescent="0.35">
      <c r="ER150" s="926"/>
      <c r="ET150" s="53" t="s">
        <v>1075</v>
      </c>
      <c r="EV150" s="66" t="s">
        <v>1132</v>
      </c>
      <c r="EX150" s="66" t="s">
        <v>1133</v>
      </c>
      <c r="EZ150" s="53"/>
      <c r="FB150" s="53"/>
      <c r="FD150" s="53"/>
      <c r="FF150" s="53"/>
    </row>
    <row r="151" spans="147:162" ht="15" hidden="1" thickTop="1" x14ac:dyDescent="0.3">
      <c r="ER151" s="926"/>
      <c r="FB151" s="60"/>
      <c r="FD151" s="60"/>
      <c r="FF151" s="60"/>
    </row>
    <row r="152" spans="147:162" ht="15.6" hidden="1" thickTop="1" thickBot="1" x14ac:dyDescent="0.35">
      <c r="ER152" s="927"/>
      <c r="ET152" s="53" t="s">
        <v>1094</v>
      </c>
      <c r="EV152" s="66" t="s">
        <v>1134</v>
      </c>
      <c r="EX152" s="66" t="s">
        <v>1134</v>
      </c>
      <c r="EZ152" s="53"/>
      <c r="FB152" s="53"/>
      <c r="FD152" s="53"/>
      <c r="FF152" s="53"/>
    </row>
    <row r="153" spans="147:162" ht="18.600000000000001" hidden="1" thickTop="1" x14ac:dyDescent="0.35"/>
    <row r="154" spans="147:162" ht="19.2" hidden="1" thickTop="1" thickBot="1" x14ac:dyDescent="0.4">
      <c r="EQ154" s="53">
        <v>18</v>
      </c>
      <c r="ER154" s="54"/>
      <c r="ES154" s="55"/>
      <c r="ET154" s="55"/>
      <c r="EU154" s="55"/>
      <c r="EV154" s="55"/>
      <c r="EW154" s="55"/>
      <c r="EX154" s="55"/>
      <c r="EY154" s="56"/>
      <c r="EZ154" s="55"/>
      <c r="FA154" s="55"/>
      <c r="FB154" s="55"/>
      <c r="FC154" s="55"/>
      <c r="FD154" s="57"/>
      <c r="FE154" s="55"/>
      <c r="FF154" s="58"/>
    </row>
    <row r="155" spans="147:162" ht="18.600000000000001" hidden="1" thickTop="1" x14ac:dyDescent="0.35">
      <c r="EW155" s="60"/>
      <c r="FB155" s="60"/>
      <c r="FC155" s="60"/>
      <c r="FD155" s="60"/>
      <c r="FE155" s="60"/>
      <c r="FF155" s="60"/>
    </row>
    <row r="156" spans="147:162" ht="15.6" hidden="1" thickTop="1" thickBot="1" x14ac:dyDescent="0.35">
      <c r="ER156" s="925" t="s">
        <v>852</v>
      </c>
      <c r="ET156" s="53" t="s">
        <v>1065</v>
      </c>
      <c r="EV156" s="53"/>
      <c r="EX156" s="53"/>
      <c r="EZ156" s="53"/>
      <c r="FB156" s="53"/>
      <c r="FD156" s="53"/>
      <c r="FF156" s="53"/>
    </row>
    <row r="157" spans="147:162" ht="15" hidden="1" thickTop="1" x14ac:dyDescent="0.3">
      <c r="ER157" s="926"/>
      <c r="FB157" s="60"/>
      <c r="FD157" s="60"/>
      <c r="FF157" s="60"/>
    </row>
    <row r="158" spans="147:162" ht="15.6" hidden="1" thickTop="1" thickBot="1" x14ac:dyDescent="0.35">
      <c r="ER158" s="926"/>
      <c r="ET158" s="53" t="s">
        <v>1068</v>
      </c>
      <c r="EV158" s="53"/>
      <c r="EX158" s="53"/>
      <c r="EZ158" s="53"/>
      <c r="FB158" s="53"/>
      <c r="FD158" s="53"/>
      <c r="FF158" s="53"/>
    </row>
    <row r="159" spans="147:162" ht="15.6" hidden="1" thickTop="1" thickBot="1" x14ac:dyDescent="0.35">
      <c r="ER159" s="926"/>
      <c r="ET159" s="53" t="s">
        <v>1075</v>
      </c>
      <c r="EV159" s="53"/>
      <c r="EX159" s="53"/>
      <c r="EZ159" s="53"/>
      <c r="FB159" s="53"/>
      <c r="FD159" s="53"/>
      <c r="FF159" s="53"/>
    </row>
    <row r="160" spans="147:162" ht="15" hidden="1" thickTop="1" x14ac:dyDescent="0.3">
      <c r="ER160" s="926"/>
      <c r="FB160" s="60"/>
      <c r="FD160" s="60"/>
      <c r="FF160" s="60"/>
    </row>
    <row r="161" spans="147:162" ht="15.6" hidden="1" thickTop="1" thickBot="1" x14ac:dyDescent="0.35">
      <c r="ER161" s="927"/>
      <c r="ET161" s="53" t="s">
        <v>1094</v>
      </c>
      <c r="EV161" s="53"/>
      <c r="EX161" s="53"/>
      <c r="EZ161" s="53"/>
      <c r="FB161" s="53"/>
      <c r="FD161" s="53"/>
      <c r="FF161" s="53"/>
    </row>
    <row r="162" spans="147:162" ht="18.600000000000001" hidden="1" thickTop="1" x14ac:dyDescent="0.35"/>
    <row r="163" spans="147:162" ht="19.2" hidden="1" thickTop="1" thickBot="1" x14ac:dyDescent="0.4">
      <c r="EQ163" s="53">
        <v>19</v>
      </c>
      <c r="ER163" s="54"/>
      <c r="ES163" s="55"/>
      <c r="ET163" s="55"/>
      <c r="EU163" s="55"/>
      <c r="EV163" s="55"/>
      <c r="EW163" s="55"/>
      <c r="EX163" s="55"/>
      <c r="EY163" s="56"/>
      <c r="EZ163" s="55"/>
      <c r="FA163" s="55"/>
      <c r="FB163" s="55"/>
      <c r="FC163" s="55"/>
      <c r="FD163" s="57"/>
      <c r="FE163" s="55"/>
      <c r="FF163" s="58"/>
    </row>
    <row r="164" spans="147:162" ht="18.600000000000001" hidden="1" thickTop="1" x14ac:dyDescent="0.35">
      <c r="EW164" s="60"/>
      <c r="FB164" s="60"/>
      <c r="FC164" s="60"/>
      <c r="FD164" s="60"/>
      <c r="FE164" s="60"/>
      <c r="FF164" s="60"/>
    </row>
    <row r="165" spans="147:162" ht="15.6" hidden="1" thickTop="1" thickBot="1" x14ac:dyDescent="0.35">
      <c r="ER165" s="925" t="s">
        <v>854</v>
      </c>
      <c r="ET165" s="53" t="s">
        <v>1065</v>
      </c>
      <c r="EV165" s="53"/>
      <c r="EX165" s="53"/>
      <c r="EZ165" s="53"/>
      <c r="FB165" s="53"/>
      <c r="FD165" s="53"/>
      <c r="FF165" s="53"/>
    </row>
    <row r="166" spans="147:162" ht="15" hidden="1" thickTop="1" x14ac:dyDescent="0.3">
      <c r="ER166" s="926"/>
      <c r="FB166" s="60"/>
      <c r="FD166" s="60"/>
      <c r="FF166" s="60"/>
    </row>
    <row r="167" spans="147:162" ht="15.6" hidden="1" thickTop="1" thickBot="1" x14ac:dyDescent="0.35">
      <c r="ER167" s="926"/>
      <c r="ET167" s="53" t="s">
        <v>1068</v>
      </c>
      <c r="EV167" s="53"/>
      <c r="EX167" s="53"/>
      <c r="EZ167" s="53"/>
      <c r="FB167" s="53"/>
      <c r="FD167" s="53"/>
      <c r="FF167" s="53"/>
    </row>
    <row r="168" spans="147:162" ht="15.6" hidden="1" thickTop="1" thickBot="1" x14ac:dyDescent="0.35">
      <c r="ER168" s="926"/>
      <c r="ET168" s="53" t="s">
        <v>1075</v>
      </c>
      <c r="EV168" s="53"/>
      <c r="EX168" s="53"/>
      <c r="EZ168" s="53"/>
      <c r="FB168" s="53"/>
      <c r="FD168" s="53"/>
      <c r="FF168" s="53"/>
    </row>
    <row r="169" spans="147:162" ht="15" hidden="1" thickTop="1" x14ac:dyDescent="0.3">
      <c r="ER169" s="926"/>
      <c r="FB169" s="60"/>
      <c r="FD169" s="60"/>
      <c r="FF169" s="60"/>
    </row>
    <row r="170" spans="147:162" ht="15.6" hidden="1" thickTop="1" thickBot="1" x14ac:dyDescent="0.35">
      <c r="ER170" s="927"/>
      <c r="ET170" s="53" t="s">
        <v>1094</v>
      </c>
      <c r="EV170" s="53"/>
      <c r="EX170" s="53"/>
      <c r="EZ170" s="53"/>
      <c r="FB170" s="53"/>
      <c r="FD170" s="53"/>
      <c r="FF170" s="53"/>
    </row>
    <row r="171" spans="147:162" ht="18.600000000000001" hidden="1" thickTop="1" x14ac:dyDescent="0.35"/>
    <row r="172" spans="147:162" ht="19.2" hidden="1" thickTop="1" thickBot="1" x14ac:dyDescent="0.4">
      <c r="EQ172" s="53">
        <v>20</v>
      </c>
      <c r="ER172" s="54"/>
      <c r="ES172" s="55"/>
      <c r="ET172" s="55"/>
      <c r="EU172" s="55"/>
      <c r="EV172" s="55"/>
      <c r="EW172" s="55"/>
      <c r="EX172" s="55"/>
      <c r="EY172" s="56"/>
      <c r="EZ172" s="55"/>
      <c r="FA172" s="55"/>
      <c r="FB172" s="55"/>
      <c r="FC172" s="55"/>
      <c r="FD172" s="57"/>
      <c r="FE172" s="55"/>
      <c r="FF172" s="58"/>
    </row>
    <row r="173" spans="147:162" ht="18.600000000000001" hidden="1" thickTop="1" x14ac:dyDescent="0.35">
      <c r="EW173" s="60"/>
      <c r="FB173" s="60"/>
      <c r="FC173" s="60"/>
      <c r="FD173" s="60"/>
      <c r="FE173" s="60"/>
      <c r="FF173" s="60"/>
    </row>
    <row r="174" spans="147:162" ht="15.6" hidden="1" thickTop="1" thickBot="1" x14ac:dyDescent="0.35">
      <c r="ER174" s="925" t="s">
        <v>18</v>
      </c>
      <c r="ET174" s="53" t="s">
        <v>1065</v>
      </c>
      <c r="EV174" s="53"/>
      <c r="EX174" s="53"/>
      <c r="EZ174" s="53"/>
      <c r="FB174" s="53"/>
      <c r="FD174" s="53"/>
      <c r="FF174" s="53"/>
    </row>
    <row r="175" spans="147:162" ht="15" hidden="1" thickTop="1" x14ac:dyDescent="0.3">
      <c r="ER175" s="926"/>
      <c r="FB175" s="60"/>
      <c r="FD175" s="60"/>
      <c r="FF175" s="60"/>
    </row>
    <row r="176" spans="147:162" ht="15.6" hidden="1" thickTop="1" thickBot="1" x14ac:dyDescent="0.35">
      <c r="ER176" s="926"/>
      <c r="ET176" s="53" t="s">
        <v>1068</v>
      </c>
      <c r="EV176" s="53"/>
      <c r="EX176" s="53"/>
      <c r="EZ176" s="53"/>
      <c r="FB176" s="53"/>
      <c r="FD176" s="53"/>
      <c r="FF176" s="53"/>
    </row>
    <row r="177" spans="147:162" ht="15.6" hidden="1" thickTop="1" thickBot="1" x14ac:dyDescent="0.35">
      <c r="ER177" s="926"/>
      <c r="ET177" s="53" t="s">
        <v>1075</v>
      </c>
      <c r="EV177" s="53"/>
      <c r="EX177" s="53"/>
      <c r="EZ177" s="53"/>
      <c r="FB177" s="53"/>
      <c r="FD177" s="53"/>
      <c r="FF177" s="53"/>
    </row>
    <row r="178" spans="147:162" ht="15" hidden="1" thickTop="1" x14ac:dyDescent="0.3">
      <c r="ER178" s="926"/>
      <c r="FB178" s="60"/>
      <c r="FD178" s="60"/>
      <c r="FF178" s="60"/>
    </row>
    <row r="179" spans="147:162" ht="15.6" hidden="1" thickTop="1" thickBot="1" x14ac:dyDescent="0.35">
      <c r="ER179" s="927"/>
      <c r="ET179" s="53" t="s">
        <v>1094</v>
      </c>
      <c r="EV179" s="53"/>
      <c r="EX179" s="53"/>
      <c r="EZ179" s="53"/>
      <c r="FB179" s="53"/>
      <c r="FD179" s="53"/>
      <c r="FF179" s="53"/>
    </row>
    <row r="180" spans="147:162" ht="18.600000000000001" hidden="1" thickTop="1" x14ac:dyDescent="0.35"/>
    <row r="181" spans="147:162" ht="19.2" hidden="1" thickTop="1" thickBot="1" x14ac:dyDescent="0.4">
      <c r="EQ181" s="53">
        <v>21</v>
      </c>
      <c r="ER181" s="54"/>
      <c r="ES181" s="55"/>
      <c r="ET181" s="55"/>
      <c r="EU181" s="55"/>
      <c r="EV181" s="55"/>
      <c r="EW181" s="55"/>
      <c r="EX181" s="55"/>
      <c r="EY181" s="56"/>
      <c r="EZ181" s="55"/>
      <c r="FA181" s="55"/>
      <c r="FB181" s="55"/>
      <c r="FC181" s="55"/>
      <c r="FD181" s="57"/>
      <c r="FE181" s="55"/>
      <c r="FF181" s="58"/>
    </row>
    <row r="182" spans="147:162" ht="18.600000000000001" hidden="1" thickTop="1" x14ac:dyDescent="0.35">
      <c r="EW182" s="60"/>
      <c r="FB182" s="60"/>
      <c r="FC182" s="60"/>
      <c r="FD182" s="60"/>
      <c r="FE182" s="60"/>
      <c r="FF182" s="60"/>
    </row>
    <row r="183" spans="147:162" ht="15.6" hidden="1" thickTop="1" thickBot="1" x14ac:dyDescent="0.35">
      <c r="ER183" s="925" t="s">
        <v>857</v>
      </c>
      <c r="ET183" s="53" t="s">
        <v>1065</v>
      </c>
      <c r="EV183" s="53"/>
      <c r="EX183" s="53"/>
      <c r="EZ183" s="53"/>
      <c r="FB183" s="53"/>
      <c r="FD183" s="53"/>
      <c r="FF183" s="53"/>
    </row>
    <row r="184" spans="147:162" ht="15" hidden="1" thickTop="1" x14ac:dyDescent="0.3">
      <c r="ER184" s="926"/>
      <c r="FB184" s="60"/>
      <c r="FD184" s="60"/>
      <c r="FF184" s="60"/>
    </row>
    <row r="185" spans="147:162" ht="15.6" hidden="1" thickTop="1" thickBot="1" x14ac:dyDescent="0.35">
      <c r="ER185" s="926"/>
      <c r="ET185" s="53" t="s">
        <v>1068</v>
      </c>
      <c r="EV185" s="53"/>
      <c r="EX185" s="53"/>
      <c r="EZ185" s="53"/>
      <c r="FB185" s="53"/>
      <c r="FD185" s="53"/>
      <c r="FF185" s="53"/>
    </row>
    <row r="186" spans="147:162" ht="15.6" hidden="1" thickTop="1" thickBot="1" x14ac:dyDescent="0.35">
      <c r="ER186" s="926"/>
      <c r="ET186" s="53" t="s">
        <v>1075</v>
      </c>
      <c r="EV186" s="53"/>
      <c r="EX186" s="53"/>
      <c r="EZ186" s="53"/>
      <c r="FB186" s="53"/>
      <c r="FD186" s="53"/>
      <c r="FF186" s="53"/>
    </row>
    <row r="187" spans="147:162" ht="15" hidden="1" thickTop="1" x14ac:dyDescent="0.3">
      <c r="ER187" s="926"/>
      <c r="FB187" s="60"/>
      <c r="FD187" s="60"/>
      <c r="FF187" s="60"/>
    </row>
    <row r="188" spans="147:162" ht="15.6" hidden="1" thickTop="1" thickBot="1" x14ac:dyDescent="0.35">
      <c r="ER188" s="927"/>
      <c r="ET188" s="53" t="s">
        <v>1094</v>
      </c>
      <c r="EV188" s="53"/>
      <c r="EX188" s="53"/>
      <c r="EZ188" s="53"/>
      <c r="FB188" s="53"/>
      <c r="FD188" s="53"/>
      <c r="FF188" s="53"/>
    </row>
    <row r="189" spans="147:162" ht="18.600000000000001" hidden="1" thickTop="1" x14ac:dyDescent="0.35"/>
    <row r="190" spans="147:162" ht="19.2" hidden="1" thickTop="1" thickBot="1" x14ac:dyDescent="0.4">
      <c r="EQ190" s="53">
        <v>22</v>
      </c>
      <c r="ER190" s="54"/>
      <c r="ES190" s="55"/>
      <c r="ET190" s="55"/>
      <c r="EU190" s="55"/>
      <c r="EV190" s="55"/>
      <c r="EW190" s="55"/>
      <c r="EX190" s="55"/>
      <c r="EY190" s="56"/>
      <c r="EZ190" s="55"/>
      <c r="FA190" s="55"/>
      <c r="FB190" s="55"/>
      <c r="FC190" s="55"/>
      <c r="FD190" s="57"/>
      <c r="FE190" s="55"/>
      <c r="FF190" s="58"/>
    </row>
    <row r="191" spans="147:162" ht="18.600000000000001" hidden="1" thickTop="1" x14ac:dyDescent="0.35">
      <c r="EW191" s="60"/>
      <c r="FB191" s="60"/>
      <c r="FC191" s="60"/>
      <c r="FD191" s="60"/>
      <c r="FE191" s="60"/>
      <c r="FF191" s="60"/>
    </row>
    <row r="192" spans="147:162" ht="15.6" hidden="1" thickTop="1" thickBot="1" x14ac:dyDescent="0.35">
      <c r="ER192" s="925" t="s">
        <v>19</v>
      </c>
      <c r="ET192" s="53" t="s">
        <v>1065</v>
      </c>
      <c r="EV192" s="53"/>
      <c r="EX192" s="53"/>
      <c r="EZ192" s="53"/>
      <c r="FB192" s="53"/>
      <c r="FD192" s="53"/>
      <c r="FF192" s="53"/>
    </row>
    <row r="193" spans="147:162" ht="15" hidden="1" thickTop="1" x14ac:dyDescent="0.3">
      <c r="ER193" s="926"/>
      <c r="FB193" s="60"/>
      <c r="FD193" s="60"/>
      <c r="FF193" s="60"/>
    </row>
    <row r="194" spans="147:162" ht="15.6" hidden="1" thickTop="1" thickBot="1" x14ac:dyDescent="0.35">
      <c r="ER194" s="926"/>
      <c r="ET194" s="53" t="s">
        <v>1068</v>
      </c>
      <c r="EV194" s="53"/>
      <c r="EX194" s="53"/>
      <c r="EZ194" s="53"/>
      <c r="FB194" s="53"/>
      <c r="FD194" s="53"/>
      <c r="FF194" s="53"/>
    </row>
    <row r="195" spans="147:162" ht="15.6" hidden="1" thickTop="1" thickBot="1" x14ac:dyDescent="0.35">
      <c r="ER195" s="926"/>
      <c r="ET195" s="53" t="s">
        <v>1075</v>
      </c>
      <c r="EV195" s="53"/>
      <c r="EX195" s="53"/>
      <c r="EZ195" s="53"/>
      <c r="FB195" s="53"/>
      <c r="FD195" s="53"/>
      <c r="FF195" s="53"/>
    </row>
    <row r="196" spans="147:162" ht="15" hidden="1" thickTop="1" x14ac:dyDescent="0.3">
      <c r="ER196" s="926"/>
      <c r="FB196" s="60"/>
      <c r="FD196" s="60"/>
      <c r="FF196" s="60"/>
    </row>
    <row r="197" spans="147:162" ht="15.6" hidden="1" thickTop="1" thickBot="1" x14ac:dyDescent="0.35">
      <c r="ER197" s="927"/>
      <c r="ET197" s="53" t="s">
        <v>1094</v>
      </c>
      <c r="EV197" s="53"/>
      <c r="EX197" s="53"/>
      <c r="EZ197" s="53"/>
      <c r="FB197" s="53"/>
      <c r="FD197" s="53"/>
      <c r="FF197" s="53"/>
    </row>
    <row r="198" spans="147:162" ht="18.600000000000001" hidden="1" thickTop="1" x14ac:dyDescent="0.35"/>
    <row r="199" spans="147:162" ht="19.2" hidden="1" thickTop="1" thickBot="1" x14ac:dyDescent="0.4">
      <c r="EQ199" s="53">
        <v>23</v>
      </c>
      <c r="ER199" s="54"/>
      <c r="ES199" s="55"/>
      <c r="ET199" s="55"/>
      <c r="EU199" s="55"/>
      <c r="EV199" s="55"/>
      <c r="EW199" s="55"/>
      <c r="EX199" s="55"/>
      <c r="EY199" s="56"/>
      <c r="EZ199" s="55"/>
      <c r="FA199" s="55"/>
      <c r="FB199" s="55"/>
      <c r="FC199" s="55"/>
      <c r="FD199" s="57"/>
      <c r="FE199" s="55"/>
      <c r="FF199" s="58"/>
    </row>
    <row r="200" spans="147:162" ht="18.600000000000001" hidden="1" thickTop="1" x14ac:dyDescent="0.35">
      <c r="EW200" s="60"/>
      <c r="FB200" s="60"/>
      <c r="FC200" s="60"/>
      <c r="FD200" s="60"/>
      <c r="FE200" s="60"/>
      <c r="FF200" s="60"/>
    </row>
    <row r="201" spans="147:162" ht="15.6" hidden="1" thickTop="1" thickBot="1" x14ac:dyDescent="0.35">
      <c r="ER201" s="925" t="s">
        <v>858</v>
      </c>
      <c r="ET201" s="53" t="s">
        <v>1065</v>
      </c>
      <c r="EV201" s="53"/>
      <c r="EX201" s="53"/>
      <c r="EZ201" s="53"/>
      <c r="FB201" s="53"/>
      <c r="FD201" s="53"/>
      <c r="FF201" s="53"/>
    </row>
    <row r="202" spans="147:162" ht="15" hidden="1" thickTop="1" x14ac:dyDescent="0.3">
      <c r="ER202" s="926"/>
      <c r="FB202" s="60"/>
      <c r="FD202" s="60"/>
      <c r="FF202" s="60"/>
    </row>
    <row r="203" spans="147:162" ht="15.6" hidden="1" thickTop="1" thickBot="1" x14ac:dyDescent="0.35">
      <c r="ER203" s="926"/>
      <c r="ET203" s="53" t="s">
        <v>1068</v>
      </c>
      <c r="EV203" s="53"/>
      <c r="EX203" s="53"/>
      <c r="EZ203" s="53"/>
      <c r="FB203" s="53"/>
      <c r="FD203" s="53"/>
      <c r="FF203" s="53"/>
    </row>
    <row r="204" spans="147:162" ht="15.6" hidden="1" thickTop="1" thickBot="1" x14ac:dyDescent="0.35">
      <c r="ER204" s="926"/>
      <c r="ET204" s="53" t="s">
        <v>1075</v>
      </c>
      <c r="EV204" s="53"/>
      <c r="EX204" s="53"/>
      <c r="EZ204" s="53"/>
      <c r="FB204" s="53"/>
      <c r="FD204" s="53"/>
      <c r="FF204" s="53"/>
    </row>
    <row r="205" spans="147:162" ht="15" hidden="1" thickTop="1" x14ac:dyDescent="0.3">
      <c r="ER205" s="926"/>
      <c r="FB205" s="60"/>
      <c r="FD205" s="60"/>
      <c r="FF205" s="60"/>
    </row>
    <row r="206" spans="147:162" ht="15.6" hidden="1" thickTop="1" thickBot="1" x14ac:dyDescent="0.35">
      <c r="ER206" s="927"/>
      <c r="ET206" s="53" t="s">
        <v>1094</v>
      </c>
      <c r="EV206" s="53"/>
      <c r="EX206" s="53"/>
      <c r="EZ206" s="53"/>
      <c r="FB206" s="53"/>
      <c r="FD206" s="53"/>
      <c r="FF206" s="53"/>
    </row>
    <row r="207" spans="147:162" ht="18.600000000000001" hidden="1" thickTop="1" x14ac:dyDescent="0.35"/>
    <row r="208" spans="147:162" ht="19.2" hidden="1" thickTop="1" thickBot="1" x14ac:dyDescent="0.4">
      <c r="EQ208" s="53">
        <v>24</v>
      </c>
      <c r="ER208" s="54"/>
      <c r="ES208" s="55"/>
      <c r="ET208" s="55"/>
      <c r="EU208" s="55"/>
      <c r="EV208" s="55"/>
      <c r="EW208" s="55"/>
      <c r="EX208" s="55"/>
      <c r="EY208" s="56"/>
      <c r="EZ208" s="55"/>
      <c r="FA208" s="55"/>
      <c r="FB208" s="55"/>
      <c r="FC208" s="55"/>
      <c r="FD208" s="57"/>
      <c r="FE208" s="55"/>
      <c r="FF208" s="58"/>
    </row>
    <row r="209" spans="147:162" ht="18.600000000000001" hidden="1" thickTop="1" x14ac:dyDescent="0.35">
      <c r="EW209" s="60"/>
      <c r="FB209" s="60"/>
      <c r="FC209" s="60"/>
      <c r="FD209" s="60"/>
      <c r="FE209" s="60"/>
      <c r="FF209" s="60"/>
    </row>
    <row r="210" spans="147:162" ht="15.6" hidden="1" thickTop="1" thickBot="1" x14ac:dyDescent="0.35">
      <c r="ER210" s="925" t="s">
        <v>13</v>
      </c>
      <c r="ET210" s="53" t="s">
        <v>1065</v>
      </c>
      <c r="EV210" s="53"/>
      <c r="EX210" s="53"/>
      <c r="EZ210" s="53"/>
      <c r="FB210" s="53"/>
      <c r="FD210" s="53"/>
      <c r="FF210" s="53"/>
    </row>
    <row r="211" spans="147:162" ht="15" hidden="1" thickTop="1" x14ac:dyDescent="0.3">
      <c r="ER211" s="926"/>
      <c r="FB211" s="60"/>
      <c r="FD211" s="60"/>
      <c r="FF211" s="60"/>
    </row>
    <row r="212" spans="147:162" ht="15.6" hidden="1" thickTop="1" thickBot="1" x14ac:dyDescent="0.35">
      <c r="ER212" s="926"/>
      <c r="ET212" s="53" t="s">
        <v>1068</v>
      </c>
      <c r="EV212" s="53"/>
      <c r="EX212" s="53"/>
      <c r="EZ212" s="53"/>
      <c r="FB212" s="53"/>
      <c r="FD212" s="53"/>
      <c r="FF212" s="53"/>
    </row>
    <row r="213" spans="147:162" ht="15.6" hidden="1" thickTop="1" thickBot="1" x14ac:dyDescent="0.35">
      <c r="ER213" s="926"/>
      <c r="ET213" s="53" t="s">
        <v>1075</v>
      </c>
      <c r="EV213" s="53"/>
      <c r="EX213" s="53"/>
      <c r="EZ213" s="53"/>
      <c r="FB213" s="53"/>
      <c r="FD213" s="53"/>
      <c r="FF213" s="53"/>
    </row>
    <row r="214" spans="147:162" ht="15" hidden="1" thickTop="1" x14ac:dyDescent="0.3">
      <c r="ER214" s="926"/>
      <c r="FB214" s="60"/>
      <c r="FD214" s="60"/>
      <c r="FF214" s="60"/>
    </row>
    <row r="215" spans="147:162" ht="15.6" hidden="1" thickTop="1" thickBot="1" x14ac:dyDescent="0.35">
      <c r="ER215" s="927"/>
      <c r="ET215" s="53" t="s">
        <v>1094</v>
      </c>
      <c r="EV215" s="53"/>
      <c r="EX215" s="53"/>
      <c r="EZ215" s="53"/>
      <c r="FB215" s="53"/>
      <c r="FD215" s="53"/>
      <c r="FF215" s="53"/>
    </row>
    <row r="216" spans="147:162" ht="18.600000000000001" hidden="1" thickTop="1" x14ac:dyDescent="0.35"/>
    <row r="217" spans="147:162" ht="19.2" hidden="1" thickTop="1" thickBot="1" x14ac:dyDescent="0.4">
      <c r="EQ217" s="53">
        <v>25</v>
      </c>
      <c r="ER217" s="54"/>
      <c r="ES217" s="55"/>
      <c r="ET217" s="55"/>
      <c r="EU217" s="55"/>
      <c r="EV217" s="55"/>
      <c r="EW217" s="55"/>
      <c r="EX217" s="55"/>
      <c r="EY217" s="56"/>
      <c r="EZ217" s="55"/>
      <c r="FA217" s="55"/>
      <c r="FB217" s="55"/>
      <c r="FC217" s="55"/>
      <c r="FD217" s="57"/>
      <c r="FE217" s="55"/>
      <c r="FF217" s="58"/>
    </row>
    <row r="218" spans="147:162" ht="18.600000000000001" hidden="1" thickTop="1" x14ac:dyDescent="0.35">
      <c r="EW218" s="60"/>
      <c r="FB218" s="60"/>
      <c r="FC218" s="60"/>
      <c r="FD218" s="60"/>
      <c r="FE218" s="60"/>
      <c r="FF218" s="60"/>
    </row>
    <row r="219" spans="147:162" ht="15.6" hidden="1" thickTop="1" thickBot="1" x14ac:dyDescent="0.35">
      <c r="ER219" s="925">
        <v>25</v>
      </c>
      <c r="ET219" s="53" t="s">
        <v>1065</v>
      </c>
      <c r="EV219" s="53"/>
      <c r="EX219" s="53"/>
      <c r="EZ219" s="53"/>
      <c r="FB219" s="53"/>
      <c r="FD219" s="53"/>
      <c r="FF219" s="53"/>
    </row>
    <row r="220" spans="147:162" ht="15" hidden="1" thickTop="1" x14ac:dyDescent="0.3">
      <c r="ER220" s="926"/>
      <c r="FB220" s="60"/>
      <c r="FD220" s="60"/>
      <c r="FF220" s="60"/>
    </row>
    <row r="221" spans="147:162" ht="15.6" hidden="1" thickTop="1" thickBot="1" x14ac:dyDescent="0.35">
      <c r="ER221" s="926"/>
      <c r="ET221" s="53" t="s">
        <v>1068</v>
      </c>
      <c r="EV221" s="53"/>
      <c r="EX221" s="53"/>
      <c r="EZ221" s="53"/>
      <c r="FB221" s="53"/>
      <c r="FD221" s="53"/>
      <c r="FF221" s="53"/>
    </row>
    <row r="222" spans="147:162" ht="15.6" hidden="1" thickTop="1" thickBot="1" x14ac:dyDescent="0.35">
      <c r="ER222" s="926"/>
      <c r="ET222" s="53" t="s">
        <v>1075</v>
      </c>
      <c r="EV222" s="53"/>
      <c r="EX222" s="53"/>
      <c r="EZ222" s="53"/>
      <c r="FB222" s="53"/>
      <c r="FD222" s="53"/>
      <c r="FF222" s="53"/>
    </row>
    <row r="223" spans="147:162" ht="15" hidden="1" thickTop="1" x14ac:dyDescent="0.3">
      <c r="ER223" s="926"/>
      <c r="FB223" s="60"/>
      <c r="FD223" s="60"/>
      <c r="FF223" s="60"/>
    </row>
    <row r="224" spans="147:162" ht="15.6" hidden="1" thickTop="1" thickBot="1" x14ac:dyDescent="0.35">
      <c r="ER224" s="927"/>
      <c r="ET224" s="53" t="s">
        <v>1094</v>
      </c>
      <c r="EV224" s="53"/>
      <c r="EX224" s="53"/>
      <c r="EZ224" s="53"/>
      <c r="FB224" s="53"/>
      <c r="FD224" s="53"/>
      <c r="FF224" s="53"/>
    </row>
    <row r="225" spans="147:162" ht="18.600000000000001" hidden="1" thickTop="1" x14ac:dyDescent="0.35"/>
    <row r="226" spans="147:162" ht="19.2" hidden="1" thickTop="1" thickBot="1" x14ac:dyDescent="0.4">
      <c r="EQ226" s="53">
        <v>26</v>
      </c>
      <c r="ER226" s="54"/>
      <c r="ES226" s="55"/>
      <c r="ET226" s="55"/>
      <c r="EU226" s="55"/>
      <c r="EV226" s="55"/>
      <c r="EW226" s="55"/>
      <c r="EX226" s="55"/>
      <c r="EY226" s="56"/>
      <c r="EZ226" s="55"/>
      <c r="FA226" s="55"/>
      <c r="FB226" s="55"/>
      <c r="FC226" s="55"/>
      <c r="FD226" s="57"/>
      <c r="FE226" s="55"/>
      <c r="FF226" s="58"/>
    </row>
    <row r="227" spans="147:162" ht="18.600000000000001" hidden="1" thickTop="1" x14ac:dyDescent="0.35">
      <c r="EW227" s="60"/>
      <c r="FB227" s="60"/>
      <c r="FC227" s="60"/>
      <c r="FD227" s="60"/>
      <c r="FE227" s="60"/>
      <c r="FF227" s="60"/>
    </row>
    <row r="228" spans="147:162" ht="15.6" hidden="1" thickTop="1" thickBot="1" x14ac:dyDescent="0.35">
      <c r="ER228" s="925" t="s">
        <v>859</v>
      </c>
      <c r="ET228" s="53" t="s">
        <v>1065</v>
      </c>
      <c r="EV228" s="53"/>
      <c r="EX228" s="53"/>
      <c r="EZ228" s="53"/>
      <c r="FB228" s="53"/>
      <c r="FD228" s="53"/>
      <c r="FF228" s="53"/>
    </row>
    <row r="229" spans="147:162" ht="15" hidden="1" thickTop="1" x14ac:dyDescent="0.3">
      <c r="ER229" s="926"/>
      <c r="FB229" s="60"/>
      <c r="FD229" s="60"/>
      <c r="FF229" s="60"/>
    </row>
    <row r="230" spans="147:162" ht="15.6" hidden="1" thickTop="1" thickBot="1" x14ac:dyDescent="0.35">
      <c r="ER230" s="926"/>
      <c r="ET230" s="53" t="s">
        <v>1068</v>
      </c>
      <c r="EV230" s="53"/>
      <c r="EX230" s="53"/>
      <c r="EZ230" s="53"/>
      <c r="FB230" s="53"/>
      <c r="FD230" s="53"/>
      <c r="FF230" s="53"/>
    </row>
    <row r="231" spans="147:162" ht="15.6" hidden="1" thickTop="1" thickBot="1" x14ac:dyDescent="0.35">
      <c r="ER231" s="926"/>
      <c r="ET231" s="53" t="s">
        <v>1075</v>
      </c>
      <c r="EV231" s="53"/>
      <c r="EX231" s="53"/>
      <c r="EZ231" s="53"/>
      <c r="FB231" s="53"/>
      <c r="FD231" s="53"/>
      <c r="FF231" s="53"/>
    </row>
    <row r="232" spans="147:162" ht="15" hidden="1" thickTop="1" x14ac:dyDescent="0.3">
      <c r="ER232" s="926"/>
      <c r="FB232" s="60"/>
      <c r="FD232" s="60"/>
      <c r="FF232" s="60"/>
    </row>
    <row r="233" spans="147:162" ht="15.6" hidden="1" thickTop="1" thickBot="1" x14ac:dyDescent="0.35">
      <c r="ER233" s="927"/>
      <c r="ET233" s="53" t="s">
        <v>1094</v>
      </c>
      <c r="EV233" s="53"/>
      <c r="EX233" s="53"/>
      <c r="EZ233" s="53"/>
      <c r="FB233" s="53"/>
      <c r="FD233" s="53"/>
      <c r="FF233" s="53"/>
    </row>
    <row r="234" spans="147:162" ht="18.600000000000001" hidden="1" thickTop="1" x14ac:dyDescent="0.35"/>
    <row r="235" spans="147:162" ht="19.2" hidden="1" thickTop="1" thickBot="1" x14ac:dyDescent="0.4">
      <c r="EQ235" s="53">
        <v>27</v>
      </c>
      <c r="ER235" s="54"/>
      <c r="ES235" s="55"/>
      <c r="ET235" s="55"/>
      <c r="EU235" s="55"/>
      <c r="EV235" s="55"/>
      <c r="EW235" s="55"/>
      <c r="EX235" s="55"/>
      <c r="EY235" s="56"/>
      <c r="EZ235" s="55"/>
      <c r="FA235" s="55"/>
      <c r="FB235" s="55"/>
      <c r="FC235" s="55"/>
      <c r="FD235" s="57"/>
      <c r="FE235" s="55"/>
      <c r="FF235" s="58"/>
    </row>
    <row r="236" spans="147:162" ht="18.600000000000001" hidden="1" thickTop="1" x14ac:dyDescent="0.35">
      <c r="EW236" s="60"/>
      <c r="FB236" s="60"/>
      <c r="FC236" s="60"/>
      <c r="FD236" s="60"/>
      <c r="FE236" s="60"/>
      <c r="FF236" s="60"/>
    </row>
    <row r="237" spans="147:162" ht="15.6" hidden="1" thickTop="1" thickBot="1" x14ac:dyDescent="0.35">
      <c r="ER237" s="925" t="s">
        <v>860</v>
      </c>
      <c r="ET237" s="53" t="s">
        <v>1065</v>
      </c>
      <c r="EV237" s="53"/>
      <c r="EX237" s="53"/>
      <c r="EZ237" s="53"/>
      <c r="FB237" s="53"/>
      <c r="FD237" s="53"/>
      <c r="FF237" s="53"/>
    </row>
    <row r="238" spans="147:162" ht="15" hidden="1" thickTop="1" x14ac:dyDescent="0.3">
      <c r="ER238" s="926"/>
      <c r="FB238" s="60"/>
      <c r="FD238" s="60"/>
      <c r="FF238" s="60"/>
    </row>
    <row r="239" spans="147:162" ht="15.6" hidden="1" thickTop="1" thickBot="1" x14ac:dyDescent="0.35">
      <c r="ER239" s="926"/>
      <c r="ET239" s="53" t="s">
        <v>1068</v>
      </c>
      <c r="EV239" s="53"/>
      <c r="EX239" s="53"/>
      <c r="EZ239" s="53"/>
      <c r="FB239" s="53"/>
      <c r="FD239" s="53"/>
      <c r="FF239" s="53"/>
    </row>
    <row r="240" spans="147:162" ht="15.6" hidden="1" thickTop="1" thickBot="1" x14ac:dyDescent="0.35">
      <c r="ER240" s="926"/>
      <c r="ET240" s="53" t="s">
        <v>1075</v>
      </c>
      <c r="EV240" s="53"/>
      <c r="EX240" s="53"/>
      <c r="EZ240" s="53"/>
      <c r="FB240" s="53"/>
      <c r="FD240" s="53"/>
      <c r="FF240" s="53"/>
    </row>
    <row r="241" spans="147:162" ht="15" hidden="1" thickTop="1" x14ac:dyDescent="0.3">
      <c r="ER241" s="926"/>
      <c r="FB241" s="60"/>
      <c r="FD241" s="60"/>
      <c r="FF241" s="60"/>
    </row>
    <row r="242" spans="147:162" ht="15.6" hidden="1" thickTop="1" thickBot="1" x14ac:dyDescent="0.35">
      <c r="ER242" s="927"/>
      <c r="ET242" s="53" t="s">
        <v>1094</v>
      </c>
      <c r="EV242" s="53"/>
      <c r="EX242" s="53"/>
      <c r="EZ242" s="53"/>
      <c r="FB242" s="53"/>
      <c r="FD242" s="53"/>
      <c r="FF242" s="53"/>
    </row>
    <row r="243" spans="147:162" ht="18.600000000000001" hidden="1" thickTop="1" x14ac:dyDescent="0.35"/>
    <row r="244" spans="147:162" ht="15" hidden="1" thickTop="1" x14ac:dyDescent="0.3">
      <c r="ER244" s="926"/>
      <c r="FB244" s="60"/>
      <c r="FD244" s="60"/>
      <c r="FF244" s="60"/>
    </row>
    <row r="245" spans="147:162" ht="15.6" hidden="1" thickTop="1" thickBot="1" x14ac:dyDescent="0.35">
      <c r="ER245" s="926"/>
      <c r="ET245" s="53" t="s">
        <v>1068</v>
      </c>
      <c r="EV245" s="53"/>
      <c r="EX245" s="53"/>
      <c r="EZ245" s="53"/>
      <c r="FB245" s="53"/>
      <c r="FD245" s="53"/>
      <c r="FF245" s="53"/>
    </row>
    <row r="246" spans="147:162" ht="15.6" hidden="1" thickTop="1" thickBot="1" x14ac:dyDescent="0.35">
      <c r="ER246" s="926"/>
      <c r="ET246" s="53" t="s">
        <v>1075</v>
      </c>
      <c r="EV246" s="53"/>
      <c r="EX246" s="53"/>
      <c r="EZ246" s="53"/>
      <c r="FB246" s="53"/>
      <c r="FD246" s="53"/>
      <c r="FF246" s="53"/>
    </row>
    <row r="247" spans="147:162" ht="15" hidden="1" thickTop="1" x14ac:dyDescent="0.3">
      <c r="ER247" s="926"/>
      <c r="FB247" s="60"/>
      <c r="FD247" s="60"/>
      <c r="FF247" s="60"/>
    </row>
    <row r="248" spans="147:162" ht="15.6" hidden="1" thickTop="1" thickBot="1" x14ac:dyDescent="0.35">
      <c r="ER248" s="927"/>
      <c r="ET248" s="53" t="s">
        <v>1094</v>
      </c>
      <c r="EV248" s="53"/>
      <c r="EX248" s="53"/>
      <c r="EZ248" s="53"/>
      <c r="FB248" s="53"/>
      <c r="FD248" s="53"/>
      <c r="FF248" s="53"/>
    </row>
    <row r="249" spans="147:162" ht="18.600000000000001" hidden="1" thickTop="1" x14ac:dyDescent="0.35"/>
    <row r="250" spans="147:162" ht="19.2" hidden="1" thickTop="1" thickBot="1" x14ac:dyDescent="0.4">
      <c r="EQ250" s="53">
        <v>29</v>
      </c>
      <c r="ER250" s="54"/>
      <c r="ES250" s="55"/>
      <c r="ET250" s="55"/>
      <c r="EU250" s="55"/>
      <c r="EV250" s="55"/>
      <c r="EW250" s="55"/>
      <c r="EX250" s="55"/>
      <c r="EY250" s="56"/>
      <c r="EZ250" s="55"/>
      <c r="FA250" s="55"/>
      <c r="FB250" s="55"/>
      <c r="FC250" s="55"/>
      <c r="FD250" s="57"/>
      <c r="FE250" s="55"/>
      <c r="FF250" s="58"/>
    </row>
    <row r="251" spans="147:162" ht="18.600000000000001" hidden="1" thickTop="1" x14ac:dyDescent="0.35">
      <c r="EW251" s="60"/>
      <c r="FB251" s="60"/>
      <c r="FC251" s="60"/>
      <c r="FD251" s="60"/>
      <c r="FE251" s="60"/>
      <c r="FF251" s="60"/>
    </row>
    <row r="252" spans="147:162" ht="15.6" hidden="1" thickTop="1" thickBot="1" x14ac:dyDescent="0.35">
      <c r="ER252" s="925" t="s">
        <v>863</v>
      </c>
      <c r="ET252" s="53" t="s">
        <v>1065</v>
      </c>
      <c r="EV252" s="53"/>
      <c r="EX252" s="53"/>
      <c r="EZ252" s="53"/>
      <c r="FB252" s="53"/>
      <c r="FD252" s="53"/>
      <c r="FF252" s="53"/>
    </row>
    <row r="253" spans="147:162" ht="15" hidden="1" thickTop="1" x14ac:dyDescent="0.3">
      <c r="ER253" s="926"/>
      <c r="FB253" s="60"/>
      <c r="FD253" s="60"/>
      <c r="FF253" s="60"/>
    </row>
    <row r="254" spans="147:162" ht="15.6" hidden="1" thickTop="1" thickBot="1" x14ac:dyDescent="0.35">
      <c r="ER254" s="926"/>
      <c r="ET254" s="53" t="s">
        <v>1068</v>
      </c>
      <c r="EV254" s="53"/>
      <c r="EX254" s="53"/>
      <c r="EZ254" s="53"/>
      <c r="FB254" s="53"/>
      <c r="FD254" s="53"/>
      <c r="FF254" s="53"/>
    </row>
    <row r="255" spans="147:162" ht="15.6" hidden="1" thickTop="1" thickBot="1" x14ac:dyDescent="0.35">
      <c r="ER255" s="926"/>
      <c r="ET255" s="53" t="s">
        <v>1075</v>
      </c>
      <c r="EV255" s="53"/>
      <c r="EX255" s="53"/>
      <c r="EZ255" s="53"/>
      <c r="FB255" s="53"/>
      <c r="FD255" s="53"/>
      <c r="FF255" s="53"/>
    </row>
    <row r="256" spans="147:162" ht="15" hidden="1" thickTop="1" x14ac:dyDescent="0.3">
      <c r="ER256" s="926"/>
      <c r="FB256" s="60"/>
      <c r="FD256" s="60"/>
      <c r="FF256" s="60"/>
    </row>
    <row r="257" spans="147:162" ht="15.6" hidden="1" thickTop="1" thickBot="1" x14ac:dyDescent="0.35">
      <c r="ER257" s="927"/>
      <c r="ET257" s="53" t="s">
        <v>1094</v>
      </c>
      <c r="EV257" s="53"/>
      <c r="EX257" s="53"/>
      <c r="EZ257" s="53"/>
      <c r="FB257" s="53"/>
      <c r="FD257" s="53"/>
      <c r="FF257" s="53"/>
    </row>
    <row r="258" spans="147:162" ht="18.600000000000001" hidden="1" thickTop="1" x14ac:dyDescent="0.35"/>
    <row r="259" spans="147:162" ht="19.2" hidden="1" thickTop="1" thickBot="1" x14ac:dyDescent="0.4">
      <c r="EQ259" s="53">
        <v>30</v>
      </c>
      <c r="ER259" s="54"/>
      <c r="ES259" s="55"/>
      <c r="ET259" s="55"/>
      <c r="EU259" s="55"/>
      <c r="EV259" s="55"/>
      <c r="EW259" s="55"/>
      <c r="EX259" s="55"/>
      <c r="EY259" s="56"/>
      <c r="EZ259" s="55"/>
      <c r="FA259" s="55"/>
      <c r="FB259" s="55"/>
      <c r="FC259" s="55"/>
      <c r="FD259" s="57"/>
      <c r="FE259" s="55"/>
      <c r="FF259" s="58"/>
    </row>
    <row r="260" spans="147:162" ht="18.600000000000001" hidden="1" thickTop="1" x14ac:dyDescent="0.35">
      <c r="EW260" s="60"/>
      <c r="FB260" s="60"/>
      <c r="FC260" s="60"/>
      <c r="FD260" s="60"/>
      <c r="FE260" s="60"/>
      <c r="FF260" s="60"/>
    </row>
    <row r="261" spans="147:162" ht="15.6" hidden="1" thickTop="1" thickBot="1" x14ac:dyDescent="0.35">
      <c r="ER261" s="925" t="s">
        <v>864</v>
      </c>
      <c r="ET261" s="53" t="s">
        <v>1065</v>
      </c>
      <c r="EV261" s="53"/>
      <c r="EX261" s="53"/>
      <c r="EZ261" s="53"/>
      <c r="FB261" s="53"/>
      <c r="FD261" s="53"/>
      <c r="FF261" s="53"/>
    </row>
    <row r="262" spans="147:162" ht="15" hidden="1" thickTop="1" x14ac:dyDescent="0.3">
      <c r="ER262" s="926"/>
      <c r="FB262" s="60"/>
      <c r="FD262" s="60"/>
      <c r="FF262" s="60"/>
    </row>
    <row r="263" spans="147:162" ht="15.6" hidden="1" thickTop="1" thickBot="1" x14ac:dyDescent="0.35">
      <c r="ER263" s="926"/>
      <c r="ET263" s="53" t="s">
        <v>1068</v>
      </c>
      <c r="EV263" s="53"/>
      <c r="EX263" s="53"/>
      <c r="EZ263" s="53"/>
      <c r="FB263" s="53"/>
      <c r="FD263" s="53"/>
      <c r="FF263" s="53"/>
    </row>
    <row r="264" spans="147:162" ht="15.6" hidden="1" thickTop="1" thickBot="1" x14ac:dyDescent="0.35">
      <c r="ER264" s="926"/>
      <c r="ET264" s="53" t="s">
        <v>1075</v>
      </c>
      <c r="EV264" s="53"/>
      <c r="EX264" s="53"/>
      <c r="EZ264" s="53"/>
      <c r="FB264" s="53"/>
      <c r="FD264" s="53"/>
      <c r="FF264" s="53"/>
    </row>
    <row r="265" spans="147:162" ht="15" hidden="1" thickTop="1" x14ac:dyDescent="0.3">
      <c r="ER265" s="926"/>
      <c r="FB265" s="60"/>
      <c r="FD265" s="60"/>
      <c r="FF265" s="60"/>
    </row>
    <row r="266" spans="147:162" ht="15.6" hidden="1" thickTop="1" thickBot="1" x14ac:dyDescent="0.35">
      <c r="ER266" s="927"/>
      <c r="ET266" s="53" t="s">
        <v>1094</v>
      </c>
      <c r="EV266" s="53"/>
      <c r="EX266" s="53"/>
      <c r="EZ266" s="53"/>
      <c r="FB266" s="53"/>
      <c r="FD266" s="53"/>
      <c r="FF266" s="53"/>
    </row>
    <row r="267" spans="147:162" ht="18.600000000000001" hidden="1" thickTop="1" x14ac:dyDescent="0.35"/>
    <row r="268" spans="147:162" ht="19.2" hidden="1" thickTop="1" thickBot="1" x14ac:dyDescent="0.4">
      <c r="EQ268" s="53">
        <v>31</v>
      </c>
      <c r="ER268" s="54"/>
      <c r="ES268" s="55"/>
      <c r="ET268" s="55"/>
      <c r="EU268" s="55"/>
      <c r="EV268" s="55"/>
      <c r="EW268" s="55"/>
      <c r="EX268" s="55"/>
      <c r="EY268" s="56"/>
      <c r="EZ268" s="55"/>
      <c r="FA268" s="55"/>
      <c r="FB268" s="55"/>
      <c r="FC268" s="55"/>
      <c r="FD268" s="57"/>
      <c r="FE268" s="55"/>
      <c r="FF268" s="58"/>
    </row>
    <row r="269" spans="147:162" ht="18.600000000000001" hidden="1" thickTop="1" x14ac:dyDescent="0.35">
      <c r="EW269" s="60"/>
      <c r="FB269" s="60"/>
      <c r="FC269" s="60"/>
      <c r="FD269" s="60"/>
      <c r="FE269" s="60"/>
      <c r="FF269" s="60"/>
    </row>
    <row r="270" spans="147:162" ht="15.6" hidden="1" thickTop="1" thickBot="1" x14ac:dyDescent="0.35">
      <c r="ER270" s="925" t="s">
        <v>865</v>
      </c>
      <c r="ET270" s="53" t="s">
        <v>1065</v>
      </c>
      <c r="EV270" s="53"/>
      <c r="EX270" s="53"/>
      <c r="EZ270" s="53"/>
      <c r="FB270" s="53"/>
      <c r="FD270" s="53"/>
      <c r="FF270" s="53"/>
    </row>
    <row r="271" spans="147:162" ht="15" hidden="1" thickTop="1" x14ac:dyDescent="0.3">
      <c r="ER271" s="926"/>
      <c r="FB271" s="60"/>
      <c r="FD271" s="60"/>
      <c r="FF271" s="60"/>
    </row>
    <row r="272" spans="147:162" ht="15.6" hidden="1" thickTop="1" thickBot="1" x14ac:dyDescent="0.35">
      <c r="ER272" s="926"/>
      <c r="ET272" s="53" t="s">
        <v>1068</v>
      </c>
      <c r="EV272" s="53"/>
      <c r="EX272" s="53"/>
      <c r="EZ272" s="53"/>
      <c r="FB272" s="53"/>
      <c r="FD272" s="53"/>
      <c r="FF272" s="53"/>
    </row>
    <row r="273" spans="147:162" ht="15.6" hidden="1" thickTop="1" thickBot="1" x14ac:dyDescent="0.35">
      <c r="ER273" s="926"/>
      <c r="ET273" s="53" t="s">
        <v>1075</v>
      </c>
      <c r="EV273" s="53"/>
      <c r="EX273" s="53"/>
      <c r="EZ273" s="53"/>
      <c r="FB273" s="53"/>
      <c r="FD273" s="53"/>
      <c r="FF273" s="53"/>
    </row>
    <row r="274" spans="147:162" ht="15" hidden="1" thickTop="1" x14ac:dyDescent="0.3">
      <c r="ER274" s="926"/>
      <c r="FB274" s="60"/>
      <c r="FD274" s="60"/>
      <c r="FF274" s="60"/>
    </row>
    <row r="275" spans="147:162" ht="15.6" hidden="1" thickTop="1" thickBot="1" x14ac:dyDescent="0.35">
      <c r="ER275" s="927"/>
      <c r="ET275" s="53" t="s">
        <v>1094</v>
      </c>
      <c r="EV275" s="53"/>
      <c r="EX275" s="53"/>
      <c r="EZ275" s="53"/>
      <c r="FB275" s="53"/>
      <c r="FD275" s="53"/>
      <c r="FF275" s="53"/>
    </row>
    <row r="276" spans="147:162" ht="18.600000000000001" hidden="1" thickTop="1" x14ac:dyDescent="0.35"/>
    <row r="277" spans="147:162" ht="19.2" hidden="1" thickTop="1" thickBot="1" x14ac:dyDescent="0.4">
      <c r="EQ277" s="53">
        <v>32</v>
      </c>
      <c r="ER277" s="54"/>
      <c r="ES277" s="55"/>
      <c r="ET277" s="55"/>
      <c r="EU277" s="55"/>
      <c r="EV277" s="55"/>
      <c r="EW277" s="55"/>
      <c r="EX277" s="55"/>
      <c r="EY277" s="56"/>
      <c r="EZ277" s="55"/>
      <c r="FA277" s="55"/>
      <c r="FB277" s="55"/>
      <c r="FC277" s="55"/>
      <c r="FD277" s="57"/>
      <c r="FE277" s="55"/>
      <c r="FF277" s="58"/>
    </row>
    <row r="278" spans="147:162" ht="18.600000000000001" hidden="1" thickTop="1" x14ac:dyDescent="0.35">
      <c r="EW278" s="60"/>
      <c r="FB278" s="60"/>
      <c r="FC278" s="60"/>
      <c r="FD278" s="60"/>
      <c r="FE278" s="60"/>
      <c r="FF278" s="60"/>
    </row>
    <row r="279" spans="147:162" ht="15.6" hidden="1" thickTop="1" thickBot="1" x14ac:dyDescent="0.35">
      <c r="ER279" s="925" t="s">
        <v>866</v>
      </c>
      <c r="ET279" s="53" t="s">
        <v>1065</v>
      </c>
      <c r="EV279" s="53"/>
      <c r="EX279" s="53"/>
      <c r="EZ279" s="53"/>
      <c r="FB279" s="53"/>
      <c r="FD279" s="53"/>
      <c r="FF279" s="53"/>
    </row>
    <row r="280" spans="147:162" ht="15" hidden="1" thickTop="1" x14ac:dyDescent="0.3">
      <c r="ER280" s="926"/>
      <c r="FB280" s="60"/>
      <c r="FD280" s="60"/>
      <c r="FF280" s="60"/>
    </row>
    <row r="281" spans="147:162" ht="15.6" hidden="1" thickTop="1" thickBot="1" x14ac:dyDescent="0.35">
      <c r="ER281" s="926"/>
      <c r="ET281" s="53" t="s">
        <v>1068</v>
      </c>
      <c r="EV281" s="53"/>
      <c r="EX281" s="53"/>
      <c r="EZ281" s="53"/>
      <c r="FB281" s="53"/>
      <c r="FD281" s="53"/>
      <c r="FF281" s="53"/>
    </row>
    <row r="282" spans="147:162" ht="15.6" hidden="1" thickTop="1" thickBot="1" x14ac:dyDescent="0.35">
      <c r="ER282" s="926"/>
      <c r="ET282" s="53" t="s">
        <v>1075</v>
      </c>
      <c r="EV282" s="53"/>
      <c r="EX282" s="53"/>
      <c r="EZ282" s="53"/>
      <c r="FB282" s="53"/>
      <c r="FD282" s="53"/>
      <c r="FF282" s="53"/>
    </row>
    <row r="283" spans="147:162" ht="15" hidden="1" thickTop="1" x14ac:dyDescent="0.3">
      <c r="ER283" s="926"/>
      <c r="FB283" s="60"/>
      <c r="FD283" s="60"/>
      <c r="FF283" s="60"/>
    </row>
    <row r="284" spans="147:162" ht="15.6" hidden="1" thickTop="1" thickBot="1" x14ac:dyDescent="0.35">
      <c r="ER284" s="927"/>
      <c r="ET284" s="53" t="s">
        <v>1094</v>
      </c>
      <c r="EV284" s="53"/>
      <c r="EX284" s="53"/>
      <c r="EZ284" s="53"/>
      <c r="FB284" s="53"/>
      <c r="FD284" s="53"/>
      <c r="FF284" s="53"/>
    </row>
    <row r="285" spans="147:162" ht="18.600000000000001" hidden="1" thickTop="1" x14ac:dyDescent="0.35"/>
    <row r="286" spans="147:162" ht="19.2" hidden="1" thickTop="1" thickBot="1" x14ac:dyDescent="0.4">
      <c r="EQ286" s="53">
        <v>33</v>
      </c>
      <c r="ER286" s="54"/>
      <c r="ES286" s="55"/>
      <c r="ET286" s="55"/>
      <c r="EU286" s="55"/>
      <c r="EV286" s="55"/>
      <c r="EW286" s="55"/>
      <c r="EX286" s="55"/>
      <c r="EY286" s="56"/>
      <c r="EZ286" s="55"/>
      <c r="FA286" s="55"/>
      <c r="FB286" s="55"/>
      <c r="FC286" s="55"/>
      <c r="FD286" s="57"/>
      <c r="FE286" s="55"/>
      <c r="FF286" s="58"/>
    </row>
    <row r="287" spans="147:162" ht="18.600000000000001" hidden="1" thickTop="1" x14ac:dyDescent="0.35">
      <c r="EW287" s="60"/>
      <c r="FB287" s="60"/>
      <c r="FC287" s="60"/>
      <c r="FD287" s="60"/>
      <c r="FE287" s="60"/>
      <c r="FF287" s="60"/>
    </row>
    <row r="288" spans="147:162" ht="15.6" hidden="1" thickTop="1" thickBot="1" x14ac:dyDescent="0.35">
      <c r="ER288" s="928" t="s">
        <v>1135</v>
      </c>
      <c r="ET288" s="53" t="s">
        <v>1065</v>
      </c>
      <c r="EV288" s="53" t="s">
        <v>1136</v>
      </c>
      <c r="EX288" s="53"/>
      <c r="EZ288" s="53" t="s">
        <v>1136</v>
      </c>
      <c r="FB288" s="53"/>
      <c r="FD288" s="53"/>
      <c r="FF288" s="53"/>
    </row>
    <row r="289" spans="147:162" ht="15" hidden="1" thickTop="1" x14ac:dyDescent="0.3">
      <c r="ER289" s="929"/>
      <c r="FB289" s="60"/>
      <c r="FD289" s="60"/>
      <c r="FF289" s="60"/>
    </row>
    <row r="290" spans="147:162" ht="15.6" hidden="1" thickTop="1" thickBot="1" x14ac:dyDescent="0.35">
      <c r="ER290" s="929"/>
      <c r="ET290" s="53" t="s">
        <v>1068</v>
      </c>
      <c r="EV290" s="53">
        <v>9500455294</v>
      </c>
      <c r="EX290" s="53"/>
      <c r="EZ290" s="53">
        <v>9500455294</v>
      </c>
      <c r="FB290" s="53"/>
      <c r="FD290" s="53"/>
      <c r="FF290" s="53"/>
    </row>
    <row r="291" spans="147:162" ht="15.6" hidden="1" thickTop="1" thickBot="1" x14ac:dyDescent="0.35">
      <c r="ER291" s="929"/>
      <c r="ET291" s="53" t="s">
        <v>1075</v>
      </c>
      <c r="EV291" s="53"/>
      <c r="EX291" s="53"/>
      <c r="EZ291" s="53"/>
      <c r="FB291" s="53"/>
      <c r="FD291" s="53"/>
      <c r="FF291" s="53"/>
    </row>
    <row r="292" spans="147:162" ht="15" hidden="1" thickTop="1" x14ac:dyDescent="0.3">
      <c r="ER292" s="929"/>
      <c r="FB292" s="60"/>
      <c r="FD292" s="60"/>
      <c r="FF292" s="60"/>
    </row>
    <row r="293" spans="147:162" ht="15.6" hidden="1" thickTop="1" thickBot="1" x14ac:dyDescent="0.35">
      <c r="ER293" s="930"/>
      <c r="ET293" s="53" t="s">
        <v>1094</v>
      </c>
      <c r="EV293" s="53"/>
      <c r="EX293" s="53"/>
      <c r="EZ293" s="53"/>
      <c r="FB293" s="53"/>
      <c r="FD293" s="53"/>
      <c r="FF293" s="53"/>
    </row>
    <row r="294" spans="147:162" ht="18.600000000000001" hidden="1" thickTop="1" x14ac:dyDescent="0.35"/>
    <row r="295" spans="147:162" ht="19.2" hidden="1" thickTop="1" thickBot="1" x14ac:dyDescent="0.4">
      <c r="EQ295" s="53">
        <v>34</v>
      </c>
      <c r="ER295" s="54"/>
      <c r="ES295" s="55"/>
      <c r="ET295" s="55"/>
      <c r="EU295" s="55"/>
      <c r="EV295" s="55"/>
      <c r="EW295" s="55"/>
      <c r="EX295" s="55"/>
      <c r="EY295" s="56"/>
      <c r="EZ295" s="55"/>
      <c r="FA295" s="55"/>
      <c r="FB295" s="55"/>
      <c r="FC295" s="55"/>
      <c r="FD295" s="57"/>
      <c r="FE295" s="55"/>
      <c r="FF295" s="58"/>
    </row>
    <row r="296" spans="147:162" ht="18.600000000000001" hidden="1" thickTop="1" x14ac:dyDescent="0.35">
      <c r="EW296" s="60"/>
      <c r="FB296" s="60"/>
      <c r="FC296" s="60"/>
      <c r="FD296" s="60"/>
      <c r="FE296" s="60"/>
      <c r="FF296" s="60"/>
    </row>
    <row r="297" spans="147:162" ht="15.6" hidden="1" thickTop="1" thickBot="1" x14ac:dyDescent="0.35">
      <c r="ER297" s="925" t="s">
        <v>867</v>
      </c>
      <c r="ET297" s="53" t="s">
        <v>1065</v>
      </c>
      <c r="EV297" s="53"/>
      <c r="EX297" s="53"/>
      <c r="EZ297" s="53"/>
      <c r="FB297" s="53"/>
      <c r="FD297" s="53"/>
      <c r="FF297" s="53"/>
    </row>
    <row r="298" spans="147:162" ht="15" hidden="1" thickTop="1" x14ac:dyDescent="0.3">
      <c r="ER298" s="926"/>
      <c r="FB298" s="60"/>
      <c r="FD298" s="60"/>
      <c r="FF298" s="60"/>
    </row>
    <row r="299" spans="147:162" ht="15.6" hidden="1" thickTop="1" thickBot="1" x14ac:dyDescent="0.35">
      <c r="ER299" s="926"/>
      <c r="ET299" s="53" t="s">
        <v>1068</v>
      </c>
      <c r="EV299" s="53"/>
      <c r="EX299" s="53"/>
      <c r="EZ299" s="53"/>
      <c r="FB299" s="53"/>
      <c r="FD299" s="53"/>
      <c r="FF299" s="53"/>
    </row>
    <row r="300" spans="147:162" ht="15.6" hidden="1" thickTop="1" thickBot="1" x14ac:dyDescent="0.35">
      <c r="ER300" s="926"/>
      <c r="ET300" s="53" t="s">
        <v>1075</v>
      </c>
      <c r="EV300" s="53"/>
      <c r="EX300" s="53"/>
      <c r="EZ300" s="53"/>
      <c r="FB300" s="53"/>
      <c r="FD300" s="53"/>
      <c r="FF300" s="53"/>
    </row>
    <row r="301" spans="147:162" ht="15" hidden="1" thickTop="1" x14ac:dyDescent="0.3">
      <c r="ER301" s="926"/>
      <c r="FB301" s="60"/>
      <c r="FD301" s="60"/>
      <c r="FF301" s="60"/>
    </row>
    <row r="302" spans="147:162" ht="15.6" hidden="1" thickTop="1" thickBot="1" x14ac:dyDescent="0.35">
      <c r="ER302" s="927"/>
      <c r="ET302" s="53" t="s">
        <v>1094</v>
      </c>
      <c r="EV302" s="53"/>
      <c r="EX302" s="53"/>
      <c r="EZ302" s="53"/>
      <c r="FB302" s="53"/>
      <c r="FD302" s="53"/>
      <c r="FF302" s="53"/>
    </row>
    <row r="303" spans="147:162" ht="18.600000000000001" hidden="1" thickTop="1" x14ac:dyDescent="0.35"/>
    <row r="304" spans="147:162" ht="19.2" hidden="1" thickTop="1" thickBot="1" x14ac:dyDescent="0.4">
      <c r="EQ304" s="53">
        <v>35</v>
      </c>
      <c r="ER304" s="54"/>
      <c r="ES304" s="55"/>
      <c r="ET304" s="55"/>
      <c r="EU304" s="55"/>
      <c r="EV304" s="55"/>
      <c r="EW304" s="55"/>
      <c r="EX304" s="55"/>
      <c r="EY304" s="56"/>
      <c r="EZ304" s="55"/>
      <c r="FA304" s="55"/>
      <c r="FB304" s="55"/>
      <c r="FC304" s="55"/>
      <c r="FD304" s="57"/>
      <c r="FE304" s="55"/>
      <c r="FF304" s="58"/>
    </row>
    <row r="305" spans="147:162" ht="18.600000000000001" hidden="1" thickTop="1" x14ac:dyDescent="0.35">
      <c r="EW305" s="60"/>
      <c r="FB305" s="60"/>
      <c r="FC305" s="60"/>
      <c r="FD305" s="60"/>
      <c r="FE305" s="60"/>
      <c r="FF305" s="60"/>
    </row>
    <row r="306" spans="147:162" ht="15.6" hidden="1" thickTop="1" thickBot="1" x14ac:dyDescent="0.35">
      <c r="ER306" s="925" t="s">
        <v>868</v>
      </c>
      <c r="ET306" s="53" t="s">
        <v>1065</v>
      </c>
      <c r="EV306" s="53"/>
      <c r="EX306" s="53"/>
      <c r="EZ306" s="53"/>
      <c r="FB306" s="53"/>
      <c r="FD306" s="53"/>
      <c r="FF306" s="53"/>
    </row>
    <row r="307" spans="147:162" ht="15" hidden="1" thickTop="1" x14ac:dyDescent="0.3">
      <c r="ER307" s="926"/>
      <c r="FB307" s="60"/>
      <c r="FD307" s="60"/>
      <c r="FF307" s="60"/>
    </row>
    <row r="308" spans="147:162" ht="15.6" hidden="1" thickTop="1" thickBot="1" x14ac:dyDescent="0.35">
      <c r="ER308" s="926"/>
      <c r="ET308" s="53" t="s">
        <v>1068</v>
      </c>
      <c r="EV308" s="53"/>
      <c r="EX308" s="53"/>
      <c r="EZ308" s="53"/>
      <c r="FB308" s="53"/>
      <c r="FD308" s="53"/>
      <c r="FF308" s="53"/>
    </row>
    <row r="309" spans="147:162" ht="15.6" hidden="1" thickTop="1" thickBot="1" x14ac:dyDescent="0.35">
      <c r="ER309" s="926"/>
      <c r="ET309" s="53" t="s">
        <v>1075</v>
      </c>
      <c r="EV309" s="53"/>
      <c r="EX309" s="53"/>
      <c r="EZ309" s="53"/>
      <c r="FB309" s="53"/>
      <c r="FD309" s="53"/>
      <c r="FF309" s="53"/>
    </row>
    <row r="310" spans="147:162" ht="15" hidden="1" thickTop="1" x14ac:dyDescent="0.3">
      <c r="ER310" s="926"/>
      <c r="FB310" s="60"/>
      <c r="FD310" s="60"/>
      <c r="FF310" s="60"/>
    </row>
    <row r="311" spans="147:162" ht="15.6" hidden="1" thickTop="1" thickBot="1" x14ac:dyDescent="0.35">
      <c r="ER311" s="927"/>
      <c r="ET311" s="53" t="s">
        <v>1094</v>
      </c>
      <c r="EV311" s="53"/>
      <c r="EX311" s="53"/>
      <c r="EZ311" s="53"/>
      <c r="FB311" s="53"/>
      <c r="FD311" s="53"/>
      <c r="FF311" s="53"/>
    </row>
    <row r="312" spans="147:162" ht="18.600000000000001" hidden="1" thickTop="1" x14ac:dyDescent="0.35"/>
    <row r="313" spans="147:162" ht="19.2" hidden="1" thickTop="1" thickBot="1" x14ac:dyDescent="0.4">
      <c r="EQ313" s="53">
        <v>36</v>
      </c>
      <c r="ER313" s="54"/>
      <c r="ES313" s="55"/>
      <c r="ET313" s="55"/>
      <c r="EU313" s="55"/>
      <c r="EV313" s="55"/>
      <c r="EW313" s="55"/>
      <c r="EX313" s="55"/>
      <c r="EY313" s="56"/>
      <c r="EZ313" s="55"/>
      <c r="FA313" s="55"/>
      <c r="FB313" s="55"/>
      <c r="FC313" s="55"/>
      <c r="FD313" s="57"/>
      <c r="FE313" s="55"/>
      <c r="FF313" s="58"/>
    </row>
    <row r="314" spans="147:162" ht="18.600000000000001" hidden="1" thickTop="1" x14ac:dyDescent="0.35">
      <c r="EW314" s="60"/>
      <c r="FB314" s="60"/>
      <c r="FC314" s="60"/>
      <c r="FD314" s="60"/>
      <c r="FE314" s="60"/>
      <c r="FF314" s="60"/>
    </row>
    <row r="315" spans="147:162" ht="15.6" hidden="1" thickTop="1" thickBot="1" x14ac:dyDescent="0.35">
      <c r="ER315" s="925" t="s">
        <v>869</v>
      </c>
      <c r="ET315" s="53" t="s">
        <v>1065</v>
      </c>
      <c r="EV315" s="53"/>
      <c r="EX315" s="53"/>
      <c r="EZ315" s="53"/>
      <c r="FB315" s="53"/>
      <c r="FD315" s="53"/>
      <c r="FF315" s="53"/>
    </row>
    <row r="316" spans="147:162" ht="15" hidden="1" thickTop="1" x14ac:dyDescent="0.3">
      <c r="ER316" s="926"/>
      <c r="FB316" s="60"/>
      <c r="FD316" s="60"/>
      <c r="FF316" s="60"/>
    </row>
    <row r="317" spans="147:162" ht="15.6" hidden="1" thickTop="1" thickBot="1" x14ac:dyDescent="0.35">
      <c r="ER317" s="926"/>
      <c r="ET317" s="53" t="s">
        <v>1068</v>
      </c>
      <c r="EV317" s="53"/>
      <c r="EX317" s="53"/>
      <c r="EZ317" s="53"/>
      <c r="FB317" s="53"/>
      <c r="FD317" s="53"/>
      <c r="FF317" s="53"/>
    </row>
    <row r="318" spans="147:162" ht="15.6" hidden="1" thickTop="1" thickBot="1" x14ac:dyDescent="0.35">
      <c r="ER318" s="926"/>
      <c r="ET318" s="53" t="s">
        <v>1075</v>
      </c>
      <c r="EV318" s="53"/>
      <c r="EX318" s="53"/>
      <c r="EZ318" s="53"/>
      <c r="FB318" s="53"/>
      <c r="FD318" s="53"/>
      <c r="FF318" s="53"/>
    </row>
    <row r="319" spans="147:162" ht="15" hidden="1" thickTop="1" x14ac:dyDescent="0.3">
      <c r="ER319" s="926"/>
      <c r="FB319" s="60"/>
      <c r="FD319" s="60"/>
      <c r="FF319" s="60"/>
    </row>
    <row r="320" spans="147:162" ht="15.6" hidden="1" thickTop="1" thickBot="1" x14ac:dyDescent="0.35">
      <c r="ER320" s="927"/>
      <c r="ET320" s="53" t="s">
        <v>1094</v>
      </c>
      <c r="EV320" s="53"/>
      <c r="EX320" s="53"/>
      <c r="EZ320" s="53"/>
      <c r="FB320" s="53"/>
      <c r="FD320" s="53"/>
      <c r="FF320" s="53"/>
    </row>
    <row r="321" spans="147:162" ht="18.600000000000001" hidden="1" thickTop="1" x14ac:dyDescent="0.35"/>
    <row r="322" spans="147:162" ht="19.2" hidden="1" thickTop="1" thickBot="1" x14ac:dyDescent="0.4">
      <c r="EQ322" s="53">
        <v>37</v>
      </c>
      <c r="ER322" s="54"/>
      <c r="ES322" s="55"/>
      <c r="ET322" s="55"/>
      <c r="EU322" s="55"/>
      <c r="EV322" s="55"/>
      <c r="EW322" s="55"/>
      <c r="EX322" s="55"/>
      <c r="EY322" s="56"/>
      <c r="EZ322" s="55"/>
      <c r="FA322" s="55"/>
      <c r="FB322" s="55"/>
      <c r="FC322" s="55"/>
      <c r="FD322" s="57"/>
      <c r="FE322" s="55"/>
      <c r="FF322" s="58"/>
    </row>
    <row r="323" spans="147:162" ht="18.600000000000001" hidden="1" thickTop="1" x14ac:dyDescent="0.35">
      <c r="EW323" s="60"/>
      <c r="FB323" s="60"/>
      <c r="FC323" s="60"/>
      <c r="FD323" s="60"/>
      <c r="FE323" s="60"/>
      <c r="FF323" s="60"/>
    </row>
    <row r="324" spans="147:162" ht="15.6" hidden="1" thickTop="1" thickBot="1" x14ac:dyDescent="0.35">
      <c r="ER324" s="925" t="s">
        <v>870</v>
      </c>
      <c r="ET324" s="53" t="s">
        <v>1065</v>
      </c>
      <c r="EV324" s="53"/>
      <c r="EX324" s="53"/>
      <c r="EZ324" s="53"/>
      <c r="FB324" s="53"/>
      <c r="FD324" s="53"/>
      <c r="FF324" s="53"/>
    </row>
    <row r="325" spans="147:162" ht="15" hidden="1" thickTop="1" x14ac:dyDescent="0.3">
      <c r="ER325" s="926"/>
      <c r="FB325" s="60"/>
      <c r="FD325" s="60"/>
      <c r="FF325" s="60"/>
    </row>
    <row r="326" spans="147:162" ht="15.6" hidden="1" thickTop="1" thickBot="1" x14ac:dyDescent="0.35">
      <c r="ER326" s="926"/>
      <c r="ET326" s="53" t="s">
        <v>1068</v>
      </c>
      <c r="EV326" s="53"/>
      <c r="EX326" s="53"/>
      <c r="EZ326" s="53"/>
      <c r="FB326" s="53"/>
      <c r="FD326" s="53"/>
      <c r="FF326" s="53"/>
    </row>
    <row r="327" spans="147:162" ht="15.6" hidden="1" thickTop="1" thickBot="1" x14ac:dyDescent="0.35">
      <c r="ER327" s="926"/>
      <c r="ET327" s="53" t="s">
        <v>1075</v>
      </c>
      <c r="EV327" s="53"/>
      <c r="EX327" s="53"/>
      <c r="EZ327" s="53"/>
      <c r="FB327" s="53"/>
      <c r="FD327" s="53"/>
      <c r="FF327" s="53"/>
    </row>
    <row r="328" spans="147:162" ht="15" hidden="1" thickTop="1" x14ac:dyDescent="0.3">
      <c r="ER328" s="926"/>
      <c r="FB328" s="60"/>
      <c r="FD328" s="60"/>
      <c r="FF328" s="60"/>
    </row>
    <row r="329" spans="147:162" ht="15.6" hidden="1" thickTop="1" thickBot="1" x14ac:dyDescent="0.35">
      <c r="ER329" s="927"/>
      <c r="ET329" s="53" t="s">
        <v>1094</v>
      </c>
      <c r="EV329" s="53"/>
      <c r="EX329" s="53"/>
      <c r="EZ329" s="53"/>
      <c r="FB329" s="53"/>
      <c r="FD329" s="53"/>
      <c r="FF329" s="53"/>
    </row>
    <row r="330" spans="147:162" ht="18.600000000000001" hidden="1" thickTop="1" x14ac:dyDescent="0.35"/>
    <row r="331" spans="147:162" ht="19.2" hidden="1" thickTop="1" thickBot="1" x14ac:dyDescent="0.4">
      <c r="EQ331" s="53">
        <v>38</v>
      </c>
      <c r="ER331" s="54"/>
      <c r="ES331" s="55"/>
      <c r="ET331" s="55"/>
      <c r="EU331" s="55"/>
      <c r="EV331" s="55"/>
      <c r="EW331" s="55"/>
      <c r="EX331" s="55"/>
      <c r="EY331" s="56"/>
      <c r="EZ331" s="55"/>
      <c r="FA331" s="55"/>
      <c r="FB331" s="55"/>
      <c r="FC331" s="55"/>
      <c r="FD331" s="57"/>
      <c r="FE331" s="55"/>
      <c r="FF331" s="58"/>
    </row>
    <row r="332" spans="147:162" ht="18.600000000000001" hidden="1" thickTop="1" x14ac:dyDescent="0.35">
      <c r="EW332" s="60"/>
      <c r="FB332" s="60"/>
      <c r="FC332" s="60"/>
      <c r="FD332" s="60"/>
      <c r="FE332" s="60"/>
      <c r="FF332" s="60"/>
    </row>
    <row r="333" spans="147:162" ht="15.6" hidden="1" thickTop="1" thickBot="1" x14ac:dyDescent="0.35">
      <c r="ER333" s="925" t="s">
        <v>871</v>
      </c>
      <c r="ET333" s="53" t="s">
        <v>1065</v>
      </c>
      <c r="EV333" s="53"/>
      <c r="EX333" s="53"/>
      <c r="EZ333" s="53"/>
      <c r="FB333" s="53"/>
      <c r="FD333" s="53"/>
      <c r="FF333" s="53"/>
    </row>
    <row r="334" spans="147:162" ht="15" hidden="1" thickTop="1" x14ac:dyDescent="0.3">
      <c r="ER334" s="926"/>
      <c r="FB334" s="60"/>
      <c r="FD334" s="60"/>
      <c r="FF334" s="60"/>
    </row>
    <row r="335" spans="147:162" ht="15.6" hidden="1" thickTop="1" thickBot="1" x14ac:dyDescent="0.35">
      <c r="ER335" s="926"/>
      <c r="ET335" s="53" t="s">
        <v>1068</v>
      </c>
      <c r="EV335" s="53"/>
      <c r="EX335" s="53"/>
      <c r="EZ335" s="53"/>
      <c r="FB335" s="53"/>
      <c r="FD335" s="53"/>
      <c r="FF335" s="53"/>
    </row>
    <row r="336" spans="147:162" ht="15.6" hidden="1" thickTop="1" thickBot="1" x14ac:dyDescent="0.35">
      <c r="ER336" s="926"/>
      <c r="ET336" s="53" t="s">
        <v>1075</v>
      </c>
      <c r="EV336" s="53"/>
      <c r="EX336" s="53"/>
      <c r="EZ336" s="53"/>
      <c r="FB336" s="53"/>
      <c r="FD336" s="53"/>
      <c r="FF336" s="53"/>
    </row>
    <row r="337" spans="147:162" ht="15" hidden="1" thickTop="1" x14ac:dyDescent="0.3">
      <c r="ER337" s="926"/>
      <c r="FB337" s="60"/>
      <c r="FD337" s="60"/>
      <c r="FF337" s="60"/>
    </row>
    <row r="338" spans="147:162" ht="15.6" hidden="1" thickTop="1" thickBot="1" x14ac:dyDescent="0.35">
      <c r="ER338" s="927"/>
      <c r="ET338" s="53" t="s">
        <v>1094</v>
      </c>
      <c r="EV338" s="53"/>
      <c r="EX338" s="53"/>
      <c r="EZ338" s="53"/>
      <c r="FB338" s="53"/>
      <c r="FD338" s="53"/>
      <c r="FF338" s="53"/>
    </row>
    <row r="339" spans="147:162" ht="18.600000000000001" hidden="1" thickTop="1" x14ac:dyDescent="0.35"/>
    <row r="340" spans="147:162" ht="19.2" hidden="1" thickTop="1" thickBot="1" x14ac:dyDescent="0.4">
      <c r="EQ340" s="53">
        <v>39</v>
      </c>
      <c r="ER340" s="54"/>
      <c r="ES340" s="55"/>
      <c r="ET340" s="55"/>
      <c r="EU340" s="55"/>
      <c r="EV340" s="55"/>
      <c r="EW340" s="55"/>
      <c r="EX340" s="55"/>
      <c r="EY340" s="56"/>
      <c r="EZ340" s="55"/>
      <c r="FA340" s="55"/>
      <c r="FB340" s="55"/>
      <c r="FC340" s="55"/>
      <c r="FD340" s="57"/>
      <c r="FE340" s="55"/>
      <c r="FF340" s="58"/>
    </row>
    <row r="341" spans="147:162" ht="18.600000000000001" hidden="1" thickTop="1" x14ac:dyDescent="0.35">
      <c r="EW341" s="60"/>
      <c r="FB341" s="60"/>
      <c r="FC341" s="60"/>
      <c r="FD341" s="60"/>
      <c r="FE341" s="60"/>
      <c r="FF341" s="60"/>
    </row>
    <row r="342" spans="147:162" ht="15.6" hidden="1" thickTop="1" thickBot="1" x14ac:dyDescent="0.35">
      <c r="ER342" s="925" t="s">
        <v>872</v>
      </c>
      <c r="ET342" s="53" t="s">
        <v>1065</v>
      </c>
      <c r="EV342" s="53"/>
      <c r="EX342" s="53"/>
      <c r="EZ342" s="53"/>
      <c r="FB342" s="53"/>
      <c r="FD342" s="53"/>
      <c r="FF342" s="53"/>
    </row>
    <row r="343" spans="147:162" ht="15" hidden="1" thickTop="1" x14ac:dyDescent="0.3">
      <c r="ER343" s="926"/>
      <c r="FB343" s="60"/>
      <c r="FD343" s="60"/>
      <c r="FF343" s="60"/>
    </row>
    <row r="344" spans="147:162" ht="15.6" hidden="1" thickTop="1" thickBot="1" x14ac:dyDescent="0.35">
      <c r="ER344" s="926"/>
      <c r="ET344" s="53" t="s">
        <v>1068</v>
      </c>
      <c r="EV344" s="53"/>
      <c r="EX344" s="53"/>
      <c r="EZ344" s="53"/>
      <c r="FB344" s="53"/>
      <c r="FD344" s="53"/>
      <c r="FF344" s="53"/>
    </row>
    <row r="345" spans="147:162" ht="15.6" hidden="1" thickTop="1" thickBot="1" x14ac:dyDescent="0.35">
      <c r="ER345" s="926"/>
      <c r="ET345" s="53" t="s">
        <v>1075</v>
      </c>
      <c r="EV345" s="53"/>
      <c r="EX345" s="53"/>
      <c r="EZ345" s="53"/>
      <c r="FB345" s="53"/>
      <c r="FD345" s="53"/>
      <c r="FF345" s="53"/>
    </row>
    <row r="346" spans="147:162" ht="15" hidden="1" thickTop="1" x14ac:dyDescent="0.3">
      <c r="ER346" s="926"/>
      <c r="FB346" s="60"/>
      <c r="FD346" s="60"/>
      <c r="FF346" s="60"/>
    </row>
    <row r="347" spans="147:162" ht="15.6" hidden="1" thickTop="1" thickBot="1" x14ac:dyDescent="0.35">
      <c r="ER347" s="927"/>
      <c r="ET347" s="53" t="s">
        <v>1094</v>
      </c>
      <c r="EV347" s="53"/>
      <c r="EX347" s="53"/>
      <c r="EZ347" s="53"/>
      <c r="FB347" s="53"/>
      <c r="FD347" s="53"/>
      <c r="FF347" s="53"/>
    </row>
    <row r="348" spans="147:162" ht="18.600000000000001" hidden="1" thickTop="1" x14ac:dyDescent="0.35"/>
    <row r="349" spans="147:162" ht="19.2" hidden="1" thickTop="1" thickBot="1" x14ac:dyDescent="0.4">
      <c r="EQ349" s="53">
        <v>40</v>
      </c>
      <c r="ER349" s="54"/>
      <c r="ES349" s="55"/>
      <c r="ET349" s="55"/>
      <c r="EU349" s="55"/>
      <c r="EV349" s="55"/>
      <c r="EW349" s="55"/>
      <c r="EX349" s="55"/>
      <c r="EY349" s="56"/>
      <c r="EZ349" s="55"/>
      <c r="FA349" s="55"/>
      <c r="FB349" s="55"/>
      <c r="FC349" s="55"/>
      <c r="FD349" s="57"/>
      <c r="FE349" s="55"/>
      <c r="FF349" s="58"/>
    </row>
    <row r="350" spans="147:162" ht="18.600000000000001" hidden="1" thickTop="1" x14ac:dyDescent="0.35">
      <c r="EW350" s="60"/>
      <c r="FB350" s="60"/>
      <c r="FC350" s="60"/>
      <c r="FD350" s="60"/>
      <c r="FE350" s="60"/>
      <c r="FF350" s="60"/>
    </row>
    <row r="351" spans="147:162" ht="15.6" hidden="1" thickTop="1" thickBot="1" x14ac:dyDescent="0.35">
      <c r="ER351" s="925" t="s">
        <v>873</v>
      </c>
      <c r="ET351" s="53" t="s">
        <v>1065</v>
      </c>
      <c r="EV351" s="53"/>
      <c r="EX351" s="53"/>
      <c r="EZ351" s="53"/>
      <c r="FB351" s="53"/>
      <c r="FD351" s="53"/>
      <c r="FF351" s="53"/>
    </row>
    <row r="352" spans="147:162" ht="15" hidden="1" thickTop="1" x14ac:dyDescent="0.3">
      <c r="ER352" s="926"/>
      <c r="FB352" s="60"/>
      <c r="FD352" s="60"/>
      <c r="FF352" s="60"/>
    </row>
    <row r="353" spans="147:162" ht="15.6" hidden="1" thickTop="1" thickBot="1" x14ac:dyDescent="0.35">
      <c r="ER353" s="926"/>
      <c r="ET353" s="53" t="s">
        <v>1068</v>
      </c>
      <c r="EV353" s="53"/>
      <c r="EX353" s="53"/>
      <c r="EZ353" s="53"/>
      <c r="FB353" s="53"/>
      <c r="FD353" s="53"/>
      <c r="FF353" s="53"/>
    </row>
    <row r="354" spans="147:162" ht="15.6" hidden="1" thickTop="1" thickBot="1" x14ac:dyDescent="0.35">
      <c r="ER354" s="926"/>
      <c r="ET354" s="53" t="s">
        <v>1075</v>
      </c>
      <c r="EV354" s="53"/>
      <c r="EX354" s="53"/>
      <c r="EZ354" s="53"/>
      <c r="FB354" s="53"/>
      <c r="FD354" s="53"/>
      <c r="FF354" s="53"/>
    </row>
    <row r="355" spans="147:162" ht="15" hidden="1" thickTop="1" x14ac:dyDescent="0.3">
      <c r="ER355" s="926"/>
      <c r="FB355" s="60"/>
      <c r="FD355" s="60"/>
      <c r="FF355" s="60"/>
    </row>
    <row r="356" spans="147:162" ht="15.6" hidden="1" thickTop="1" thickBot="1" x14ac:dyDescent="0.35">
      <c r="ER356" s="927"/>
      <c r="ET356" s="53" t="s">
        <v>1094</v>
      </c>
      <c r="EV356" s="53"/>
      <c r="EX356" s="53"/>
      <c r="EZ356" s="53"/>
      <c r="FB356" s="53"/>
      <c r="FD356" s="53"/>
      <c r="FF356" s="53"/>
    </row>
    <row r="357" spans="147:162" ht="18.600000000000001" hidden="1" thickTop="1" x14ac:dyDescent="0.35"/>
    <row r="358" spans="147:162" ht="19.2" hidden="1" thickTop="1" thickBot="1" x14ac:dyDescent="0.4">
      <c r="EQ358" s="53">
        <v>41</v>
      </c>
      <c r="ER358" s="54"/>
      <c r="ES358" s="55"/>
      <c r="ET358" s="55"/>
      <c r="EU358" s="55"/>
      <c r="EV358" s="55"/>
      <c r="EW358" s="55"/>
      <c r="EX358" s="55"/>
      <c r="EY358" s="56"/>
      <c r="EZ358" s="55"/>
      <c r="FA358" s="55"/>
      <c r="FB358" s="55"/>
      <c r="FC358" s="55"/>
      <c r="FD358" s="57"/>
      <c r="FE358" s="55"/>
      <c r="FF358" s="58"/>
    </row>
  </sheetData>
  <mergeCells count="40">
    <mergeCell ref="ER39:ER44"/>
    <mergeCell ref="ER93:ER98"/>
    <mergeCell ref="DW4:DW9"/>
    <mergeCell ref="DW13:DW18"/>
    <mergeCell ref="DW22:DW27"/>
    <mergeCell ref="ER30:ER35"/>
    <mergeCell ref="ER48:ER53"/>
    <mergeCell ref="ER57:ER62"/>
    <mergeCell ref="ER66:ER71"/>
    <mergeCell ref="ER75:ER80"/>
    <mergeCell ref="ER84:ER89"/>
    <mergeCell ref="ER201:ER206"/>
    <mergeCell ref="ER102:ER107"/>
    <mergeCell ref="ER111:ER116"/>
    <mergeCell ref="ER120:ER125"/>
    <mergeCell ref="ER129:ER134"/>
    <mergeCell ref="ER138:ER143"/>
    <mergeCell ref="ER147:ER152"/>
    <mergeCell ref="ER156:ER161"/>
    <mergeCell ref="ER165:ER170"/>
    <mergeCell ref="ER174:ER179"/>
    <mergeCell ref="ER183:ER188"/>
    <mergeCell ref="ER192:ER197"/>
    <mergeCell ref="ER306:ER311"/>
    <mergeCell ref="ER210:ER215"/>
    <mergeCell ref="ER219:ER224"/>
    <mergeCell ref="ER228:ER233"/>
    <mergeCell ref="ER237:ER242"/>
    <mergeCell ref="ER244:ER248"/>
    <mergeCell ref="ER252:ER257"/>
    <mergeCell ref="ER261:ER266"/>
    <mergeCell ref="ER270:ER275"/>
    <mergeCell ref="ER279:ER284"/>
    <mergeCell ref="ER288:ER293"/>
    <mergeCell ref="ER297:ER302"/>
    <mergeCell ref="ER315:ER320"/>
    <mergeCell ref="ER324:ER329"/>
    <mergeCell ref="ER333:ER338"/>
    <mergeCell ref="ER342:ER347"/>
    <mergeCell ref="ER351:ER356"/>
  </mergeCells>
  <phoneticPr fontId="35" type="noConversion"/>
  <conditionalFormatting sqref="ER28:ER1048576 DW1:DW27">
    <cfRule type="duplicateValues" dxfId="10" priority="134"/>
  </conditionalFormatting>
  <conditionalFormatting sqref="A2:DT27">
    <cfRule type="containsText" dxfId="9" priority="2" operator="containsText" text="PIPAVAV, IN">
      <formula>NOT(ISERROR(SEARCH("PIPAVAV, IN",A2)))</formula>
    </cfRule>
    <cfRule type="containsText" dxfId="8" priority="142" operator="containsText" text="MUNDRA, IN">
      <formula>NOT(ISERROR(SEARCH("MUNDRA, IN",A2)))</formula>
    </cfRule>
    <cfRule type="containsText" dxfId="7" priority="143" operator="containsText" text="HAZIRA, IN">
      <formula>NOT(ISERROR(SEARCH("HAZIRA, IN",A2)))</formula>
    </cfRule>
  </conditionalFormatting>
  <hyperlinks>
    <hyperlink ref="EX150" r:id="rId1" xr:uid="{F7B37FCD-60B1-46A1-9862-7EB1E13ECBF9}"/>
    <hyperlink ref="EX152" r:id="rId2" xr:uid="{304DAC16-06F8-4DFE-B0A6-23DC1BCEE756}"/>
    <hyperlink ref="EV152" r:id="rId3" xr:uid="{F38C49F7-7E2B-47DE-9DBD-3C3A3E3137FF}"/>
    <hyperlink ref="EV150" r:id="rId4" xr:uid="{E16DD28F-30B0-4685-B7E8-78508B871400}"/>
    <hyperlink ref="DW4:DW9" location="'RATE SHEET ALL CARRIER'!A1" display="MSC" xr:uid="{CD9CC96B-9BFD-46EE-9F1B-D38E3D145CB6}"/>
    <hyperlink ref="DW13:DW18" location="'RATE SHEET ALL CARRIER'!A501" display="COSCO" xr:uid="{27C953F3-0258-4846-8BC7-50DADC508F48}"/>
    <hyperlink ref="DW22:DW27" location="'RATE SHEET ALL CARRIER'!A1001" display="CMA" xr:uid="{A9EFEE90-E513-4EFB-9EC2-651DA636B384}"/>
    <hyperlink ref="ER30:ER35" location="'RATE SHEET ALL CARRIER'!A1501" display="HAPAG" xr:uid="{749A68B4-9930-4EAF-8672-C627F48225CF}"/>
    <hyperlink ref="ER48:ER53" location="'RATE SHEET ALL CARRIER'!A2501" display="WAN HAI" xr:uid="{954B3F18-73D0-4CCE-B120-E4E40AC9514B}"/>
    <hyperlink ref="EC9" r:id="rId5" xr:uid="{F37F974F-5C34-4780-84C3-6B3AAC6E4B5D}"/>
  </hyperlinks>
  <pageMargins left="0.19685039370078741" right="0.19685039370078741" top="0.19685039370078741" bottom="0.19685039370078741" header="0.19685039370078741" footer="0.19685039370078741"/>
  <pageSetup paperSize="9" scale="10" orientation="portrait" r:id="rId6"/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BF0CA07-D1BB-43C2-9F25-E7FFBAD08705}">
            <xm:f>NOT(ISERROR(SEARCH("NHAVA SHEVA, IN",A2)))</xm:f>
            <xm:f>"NHAVA SHEVA, IN"</xm:f>
            <x14:dxf>
              <font>
                <b/>
                <i/>
                <color theme="0"/>
              </font>
              <fill>
                <patternFill>
                  <bgColor theme="9"/>
                </patternFill>
              </fill>
              <border>
                <vertical/>
                <horizontal/>
              </border>
            </x14:dxf>
          </x14:cfRule>
          <xm:sqref>A2:DT27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INDEX</vt:lpstr>
      <vt:lpstr>AIR</vt:lpstr>
      <vt:lpstr>SEA</vt:lpstr>
      <vt:lpstr>LCL</vt:lpstr>
      <vt:lpstr>MONACHEM</vt:lpstr>
      <vt:lpstr>REQUEST</vt:lpstr>
      <vt:lpstr>PDF RATES</vt:lpstr>
      <vt:lpstr>RATE SHEET</vt:lpstr>
      <vt:lpstr>GEN</vt:lpstr>
      <vt:lpstr>FILETER</vt:lpstr>
      <vt:lpstr>LOCAL</vt:lpstr>
      <vt:lpstr>ROUTING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cp:revision/>
  <cp:lastPrinted>2026-03-05T08:39:36Z</cp:lastPrinted>
  <dcterms:created xsi:type="dcterms:W3CDTF">2015-06-05T18:17:20Z</dcterms:created>
  <dcterms:modified xsi:type="dcterms:W3CDTF">2026-03-05T12:23:19Z</dcterms:modified>
  <cp:category/>
  <cp:contentStatus/>
</cp:coreProperties>
</file>